
<file path=[Content_Types].xml><?xml version="1.0" encoding="utf-8"?>
<Types xmlns="http://schemas.openxmlformats.org/package/2006/content-types"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AS\Cuy-system\docs\"/>
    </mc:Choice>
  </mc:AlternateContent>
  <xr:revisionPtr revIDLastSave="0" documentId="8_{90BF6EB4-18FC-4A0B-90CE-2D17D1AA7655}" xr6:coauthVersionLast="47" xr6:coauthVersionMax="47" xr10:uidLastSave="{00000000-0000-0000-0000-000000000000}"/>
  <bookViews>
    <workbookView xWindow="2160" yWindow="2160" windowWidth="17280" windowHeight="8880" activeTab="1" xr2:uid="{936B710D-5838-4CA0-8F7C-5A23440BA8F3}"/>
  </bookViews>
  <sheets>
    <sheet name="2025" sheetId="6" r:id="rId1"/>
    <sheet name="2026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7" l="1"/>
  <c r="H23" i="7" s="1"/>
  <c r="I19" i="7"/>
  <c r="H19" i="7"/>
  <c r="G19" i="7"/>
  <c r="J19" i="7"/>
  <c r="S18" i="7"/>
  <c r="H26" i="7" s="1"/>
  <c r="H22" i="7"/>
  <c r="H24" i="7"/>
  <c r="K19" i="7"/>
  <c r="L19" i="7"/>
  <c r="S12" i="7"/>
  <c r="S9" i="7"/>
  <c r="S10" i="7"/>
  <c r="S8" i="7"/>
  <c r="S17" i="7"/>
  <c r="S19" i="7" s="1"/>
  <c r="S6" i="7"/>
  <c r="S15" i="7"/>
  <c r="S16" i="7"/>
  <c r="S7" i="7"/>
  <c r="S13" i="7"/>
  <c r="S11" i="7"/>
  <c r="P22" i="6"/>
  <c r="J20" i="6"/>
  <c r="P24" i="6"/>
  <c r="P23" i="6"/>
  <c r="J23" i="6"/>
  <c r="J25" i="6"/>
  <c r="E11" i="6"/>
  <c r="B14" i="6" s="1"/>
  <c r="U18" i="6"/>
  <c r="T18" i="6"/>
  <c r="V18" i="6"/>
  <c r="W19" i="6"/>
  <c r="W20" i="6"/>
  <c r="Z9" i="6"/>
  <c r="M20" i="6"/>
  <c r="L20" i="6"/>
  <c r="K20" i="6"/>
  <c r="P20" i="6"/>
  <c r="K25" i="6" s="1"/>
  <c r="O20" i="6"/>
  <c r="N20" i="6"/>
  <c r="F19" i="7"/>
  <c r="B17" i="7"/>
  <c r="Z15" i="6"/>
  <c r="Z14" i="6"/>
  <c r="Z13" i="6"/>
  <c r="Z12" i="6"/>
  <c r="Z11" i="6"/>
  <c r="Z10" i="6"/>
  <c r="W8" i="6"/>
  <c r="W13" i="6"/>
  <c r="W14" i="6"/>
  <c r="W15" i="6"/>
  <c r="W17" i="6"/>
  <c r="I20" i="6"/>
  <c r="H20" i="6"/>
  <c r="W16" i="6"/>
  <c r="W12" i="6"/>
  <c r="W11" i="6"/>
  <c r="W10" i="6"/>
  <c r="W9" i="6"/>
  <c r="W7" i="6"/>
  <c r="E12" i="6"/>
  <c r="B15" i="6" s="1"/>
  <c r="E10" i="6"/>
  <c r="E9" i="6"/>
  <c r="E8" i="6"/>
  <c r="E7" i="6"/>
  <c r="E6" i="6"/>
  <c r="H25" i="7" l="1"/>
  <c r="I22" i="7"/>
  <c r="I23" i="7" s="1"/>
  <c r="Z16" i="6"/>
  <c r="Z17" i="6"/>
  <c r="I24" i="7" l="1"/>
</calcChain>
</file>

<file path=xl/sharedStrings.xml><?xml version="1.0" encoding="utf-8"?>
<sst xmlns="http://schemas.openxmlformats.org/spreadsheetml/2006/main" count="152" uniqueCount="62">
  <si>
    <t>MES 2025</t>
  </si>
  <si>
    <t>Nacimientos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</si>
  <si>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</si>
  <si>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</si>
  <si>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</si>
  <si>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</si>
  <si>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</si>
  <si>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</si>
  <si>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</si>
  <si>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</si>
  <si>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</si>
  <si>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</si>
  <si>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Mortalidad (Unidad)</t>
  </si>
  <si>
    <t>Ventas</t>
  </si>
  <si>
    <t>Conejos</t>
  </si>
  <si>
    <t>TOTAL</t>
  </si>
  <si>
    <t>FEBRERO</t>
  </si>
  <si>
    <t>Cuyes</t>
  </si>
  <si>
    <t>MORTALIDAD</t>
  </si>
  <si>
    <t xml:space="preserve">Conejos </t>
  </si>
  <si>
    <t>NACIMIENTOS</t>
  </si>
  <si>
    <t>Reproductoras Hembras</t>
  </si>
  <si>
    <t>Reproductoras Machos</t>
  </si>
  <si>
    <t>Gazapos</t>
  </si>
  <si>
    <t>Reemplazo Hembras</t>
  </si>
  <si>
    <t>Reemplazo Machos</t>
  </si>
  <si>
    <t>Venta Machos</t>
  </si>
  <si>
    <t>Venta Hembras</t>
  </si>
  <si>
    <t>CLASIFICACION</t>
  </si>
  <si>
    <t>CANTIDAD</t>
  </si>
  <si>
    <t>POBLACION ACTUAL</t>
  </si>
  <si>
    <t>TOTAL CUYES</t>
  </si>
  <si>
    <t>TOTAL CONEJOS</t>
  </si>
  <si>
    <t>HEMBRAS</t>
  </si>
  <si>
    <t>MACHOS</t>
  </si>
  <si>
    <t>GAZAPOS</t>
  </si>
  <si>
    <t>Peru</t>
  </si>
  <si>
    <t>Andina</t>
  </si>
  <si>
    <t>Mantaro</t>
  </si>
  <si>
    <t>Inti</t>
  </si>
  <si>
    <t>Tipo 2</t>
  </si>
  <si>
    <t>Tipo 3</t>
  </si>
  <si>
    <t>Tipo 4</t>
  </si>
  <si>
    <t>Linea criolla Negra</t>
  </si>
  <si>
    <t>Venta Recria</t>
  </si>
  <si>
    <t>Sanidad</t>
  </si>
  <si>
    <r>
      <t xml:space="preserve">UNIDAD DE CUYES Y CONEJOS - FACULTAD DE ZOOTECNIA - UNAS 2026 </t>
    </r>
    <r>
      <rPr>
        <b/>
        <sz val="16"/>
        <color theme="1"/>
        <rFont val="Aptos"/>
        <family val="2"/>
      </rPr>
      <t>REGISTRO DE MORTALIDAD Y VENTA MENSUAL</t>
    </r>
    <r>
      <rPr>
        <b/>
        <sz val="16"/>
        <color rgb="FFC00000"/>
        <rFont val="Aptos"/>
        <family val="2"/>
      </rPr>
      <t xml:space="preserve"> </t>
    </r>
    <r>
      <rPr>
        <b/>
        <sz val="16"/>
        <color theme="1"/>
        <rFont val="Aptos"/>
        <family val="2"/>
      </rPr>
      <t>20</t>
    </r>
    <r>
      <rPr>
        <b/>
        <sz val="16"/>
        <rFont val="Aptos"/>
        <family val="2"/>
      </rPr>
      <t>26</t>
    </r>
  </si>
  <si>
    <t>ENERO</t>
  </si>
  <si>
    <t>Recria</t>
  </si>
  <si>
    <t>Reproductor</t>
  </si>
  <si>
    <t>CONEJO</t>
  </si>
  <si>
    <r>
      <t xml:space="preserve">UNIDAD DE CUYES Y CONEJOS - FACULTAD DE ZOOTECNIA - UNAS 2025 </t>
    </r>
    <r>
      <rPr>
        <b/>
        <sz val="16"/>
        <color theme="1"/>
        <rFont val="Aptos"/>
        <family val="2"/>
      </rPr>
      <t>REGISTRO DE MORTALIDAD Y VENTA MENSUAL</t>
    </r>
    <r>
      <rPr>
        <b/>
        <sz val="16"/>
        <color rgb="FFC00000"/>
        <rFont val="Aptos"/>
        <family val="2"/>
      </rPr>
      <t xml:space="preserve"> </t>
    </r>
    <r>
      <rPr>
        <b/>
        <sz val="16"/>
        <color theme="1"/>
        <rFont val="Aptos"/>
        <family val="2"/>
      </rPr>
      <t>20</t>
    </r>
    <r>
      <rPr>
        <b/>
        <sz val="16"/>
        <rFont val="Aptos"/>
        <family val="2"/>
      </rPr>
      <t>25</t>
    </r>
  </si>
  <si>
    <t>Descarte</t>
  </si>
  <si>
    <t>01 DE ENERO 2026</t>
  </si>
  <si>
    <t>8 DE FEBRERO DEL 2025 LLEGADA DE CUYES</t>
  </si>
  <si>
    <t>VENTAS</t>
  </si>
  <si>
    <t>Poblacio inicial</t>
  </si>
  <si>
    <t>Mortalidad</t>
  </si>
  <si>
    <t>Poblacion Final</t>
  </si>
  <si>
    <t xml:space="preserve">  </t>
  </si>
  <si>
    <t>Remplazo Hembras</t>
  </si>
  <si>
    <t>27 DE JULIO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</si>
</sst>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F800]dddd\,\ mmmm\ dd\,\ yyyy"/>
  </numFmts>
  <fonts count="1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6"/>
      <color rgb="FFC00000"/>
      <name val="Aptos"/>
      <family val="2"/>
    </font>
    <font>
      <b/>
      <sz val="16"/>
      <color theme="1"/>
      <name val="Aptos"/>
      <family val="2"/>
    </font>
    <font>
      <b/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6"/>
      <name val="Aptos"/>
      <family val="2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7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3" borderId="0" xfId="0" applyFont="1" applyFill="1"/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0" borderId="0" xfId="0" applyFont="1"/>
    <xf numFmtId="0" fontId="1" fillId="0" borderId="1" xfId="0" applyFont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1" applyNumberFormat="1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7" fillId="3" borderId="0" xfId="0" applyFont="1" applyFill="1" applyAlignment="1">
      <alignment horizontal="center" vertical="center"/>
    </xf>
    <xf numFmtId="0" fontId="3" fillId="0" borderId="0" xfId="1" applyNumberFormat="1" applyFont="1" applyBorder="1" applyAlignment="1">
      <alignment vertical="center"/>
    </xf>
    <xf numFmtId="0" fontId="3" fillId="3" borderId="0" xfId="0" applyFont="1" applyFill="1" applyAlignment="1">
      <alignment horizontal="center"/>
    </xf>
    <xf numFmtId="0" fontId="7" fillId="3" borderId="0" xfId="0" applyFont="1" applyFill="1" applyAlignment="1">
      <alignment vertical="center"/>
    </xf>
    <xf numFmtId="0" fontId="3" fillId="3" borderId="3" xfId="0" applyFont="1" applyFill="1" applyBorder="1"/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7" fillId="0" borderId="1" xfId="0" applyFont="1" applyBorder="1" applyAlignment="1">
      <alignment horizontal="center"/>
    </xf>
    <xf numFmtId="0" fontId="3" fillId="0" borderId="0" xfId="0" applyFont="1" applyAlignment="1">
      <alignment vertical="top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7" fontId="3" fillId="0" borderId="1" xfId="1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fif"/><Relationship Id="rId1" Type="http://schemas.openxmlformats.org/officeDocument/2006/relationships/image" Target="../media/image1.jf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fif"/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0</xdr:rowOff>
    </xdr:from>
    <xdr:to>
      <xdr:col>0</xdr:col>
      <xdr:colOff>952499</xdr:colOff>
      <xdr:row>1</xdr:row>
      <xdr:rowOff>397511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FA04A1F4-7AC3-4090-9712-D5D574B97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0"/>
          <a:ext cx="647699" cy="673736"/>
        </a:xfrm>
        <a:prstGeom prst="rect">
          <a:avLst/>
        </a:prstGeom>
      </xdr:spPr>
    </xdr:pic>
    <xdr:clientData/>
  </xdr:twoCellAnchor>
  <xdr:twoCellAnchor editAs="oneCell">
    <xdr:from>
      <xdr:col>14</xdr:col>
      <xdr:colOff>666750</xdr:colOff>
      <xdr:row>0</xdr:row>
      <xdr:rowOff>0</xdr:rowOff>
    </xdr:from>
    <xdr:to>
      <xdr:col>15</xdr:col>
      <xdr:colOff>523875</xdr:colOff>
      <xdr:row>1</xdr:row>
      <xdr:rowOff>422851</xdr:rowOff>
    </xdr:to>
    <xdr:pic>
      <xdr:nvPicPr>
        <xdr:cNvPr id="3" name="Imagen 2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E2BCDFAA-D3DA-4FBB-8410-DD7A9442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5825" y="0"/>
          <a:ext cx="666750" cy="6990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97789</xdr:rowOff>
    </xdr:from>
    <xdr:to>
      <xdr:col>0</xdr:col>
      <xdr:colOff>752474</xdr:colOff>
      <xdr:row>1</xdr:row>
      <xdr:rowOff>581025</xdr:rowOff>
    </xdr:to>
    <xdr:pic>
      <xdr:nvPicPr>
        <xdr:cNvPr id="4" name="Imagen 3" descr="Logotipo&#10;&#10;Descripción generada automáticamente">
          <a:extLst>
            <a:ext uri="{FF2B5EF4-FFF2-40B4-BE49-F238E27FC236}">
              <a16:creationId xmlns:a16="http://schemas.microsoft.com/office/drawing/2014/main" id="{D1B308F7-F3B9-6A7C-3CD1-A2F931387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97789"/>
          <a:ext cx="647699" cy="673736"/>
        </a:xfrm>
        <a:prstGeom prst="rect">
          <a:avLst/>
        </a:prstGeom>
      </xdr:spPr>
    </xdr:pic>
    <xdr:clientData/>
  </xdr:twoCellAnchor>
  <xdr:twoCellAnchor editAs="oneCell">
    <xdr:from>
      <xdr:col>15</xdr:col>
      <xdr:colOff>114300</xdr:colOff>
      <xdr:row>0</xdr:row>
      <xdr:rowOff>83878</xdr:rowOff>
    </xdr:from>
    <xdr:to>
      <xdr:col>15</xdr:col>
      <xdr:colOff>781050</xdr:colOff>
      <xdr:row>1</xdr:row>
      <xdr:rowOff>592454</xdr:rowOff>
    </xdr:to>
    <xdr:pic>
      <xdr:nvPicPr>
        <xdr:cNvPr id="5" name="Imagen 4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C8CE7FF5-960E-EAA8-9FCE-CF98187D4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83878"/>
          <a:ext cx="666750" cy="6990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1D-E93F-4FC6-8B70-16A6FDB27BE9}">
  <dimension ref="A1:AA28"/>
  <sheetViews>
    <sheetView topLeftCell="M2" workbookViewId="0">
      <selection activeCell="Q2" sqref="Q2"/>
    </sheetView>
  </sheetViews>
  <sheetFormatPr baseColWidth="10" defaultRowHeight="14.4" x14ac:dyDescent="0.3"/>
  <cols>
    <col min="1" max="1" width="19.44140625" customWidth="1"/>
    <col min="2" max="2" width="12.33203125" customWidth="1"/>
    <col min="6" max="6" width="6.109375" customWidth="1"/>
    <col min="7" max="7" width="14.33203125" customWidth="1"/>
    <col min="12" max="12" width="13" customWidth="1"/>
    <col min="13" max="13" width="18.109375" customWidth="1"/>
    <col min="15" max="15" width="12.109375" customWidth="1"/>
    <col min="17" max="17" width="6.44140625" customWidth="1"/>
    <col min="18" max="18" width="5.6640625" customWidth="1"/>
    <col min="19" max="19" width="18.88671875" customWidth="1"/>
    <col min="20" max="20" width="12.88671875" customWidth="1"/>
    <col min="25" max="25" width="22.33203125" customWidth="1"/>
    <col min="26" max="26" width="13.44140625" customWidth="1"/>
    <col min="27" max="27" width="21.6640625" customWidth="1"/>
  </cols>
  <sheetData>
    <row r="1" spans="1:27" ht="21.75" customHeight="1" x14ac:dyDescent="0.3">
      <c r="A1" s="53" t="s">
        <v>51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20"/>
    </row>
    <row r="2" spans="1:27" ht="39.7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20"/>
    </row>
    <row r="3" spans="1:27" ht="15.75" customHeight="1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27" ht="15.6" x14ac:dyDescent="0.3">
      <c r="A4" s="69" t="s">
        <v>54</v>
      </c>
      <c r="B4" s="69"/>
      <c r="C4" s="69"/>
      <c r="D4" s="69"/>
      <c r="E4" s="69"/>
    </row>
    <row r="5" spans="1:27" ht="21" customHeight="1" x14ac:dyDescent="0.3">
      <c r="A5" s="6" t="s">
        <v>28</v>
      </c>
      <c r="B5" s="6" t="s">
        <v>33</v>
      </c>
      <c r="C5" s="6" t="s">
        <v>34</v>
      </c>
      <c r="D5" s="6" t="s">
        <v>35</v>
      </c>
      <c r="E5" s="5" t="s">
        <v>15</v>
      </c>
      <c r="G5" s="54" t="s">
        <v>0</v>
      </c>
      <c r="H5" s="55" t="s">
        <v>1</v>
      </c>
      <c r="I5" s="55"/>
      <c r="J5" s="51" t="s">
        <v>12</v>
      </c>
      <c r="K5" s="56"/>
      <c r="L5" s="56"/>
      <c r="M5" s="52"/>
      <c r="N5" s="57" t="s">
        <v>13</v>
      </c>
      <c r="O5" s="58"/>
      <c r="P5" s="59"/>
      <c r="Q5" s="26"/>
      <c r="S5" s="65">
        <v>46022</v>
      </c>
      <c r="T5" s="65"/>
      <c r="U5" s="65"/>
      <c r="V5" s="65"/>
      <c r="W5" s="65"/>
      <c r="Y5" s="63" t="s">
        <v>11</v>
      </c>
      <c r="Z5" s="63"/>
      <c r="AA5" s="30"/>
    </row>
    <row r="6" spans="1:27" ht="15.75" customHeight="1" x14ac:dyDescent="0.3">
      <c r="A6" s="2" t="s">
        <v>36</v>
      </c>
      <c r="B6" s="4">
        <v>48</v>
      </c>
      <c r="C6" s="4">
        <v>7</v>
      </c>
      <c r="D6" s="4"/>
      <c r="E6" s="4">
        <f t="shared" ref="E6:E12" si="0">SUM(B6:D6)</f>
        <v>55</v>
      </c>
      <c r="G6" s="54"/>
      <c r="H6" s="55"/>
      <c r="I6" s="55"/>
      <c r="J6" s="51" t="s">
        <v>17</v>
      </c>
      <c r="K6" s="56"/>
      <c r="L6" s="56"/>
      <c r="M6" s="52"/>
      <c r="N6" s="60"/>
      <c r="O6" s="61"/>
      <c r="P6" s="62"/>
      <c r="Q6" s="26"/>
      <c r="S6" s="6" t="s">
        <v>28</v>
      </c>
      <c r="T6" s="6" t="s">
        <v>33</v>
      </c>
      <c r="U6" s="6" t="s">
        <v>34</v>
      </c>
      <c r="V6" s="6" t="s">
        <v>35</v>
      </c>
      <c r="W6" s="6" t="s">
        <v>15</v>
      </c>
      <c r="Y6" s="55" t="s">
        <v>28</v>
      </c>
      <c r="Z6" s="55" t="s">
        <v>29</v>
      </c>
      <c r="AA6" s="31"/>
    </row>
    <row r="7" spans="1:27" ht="20.25" customHeight="1" x14ac:dyDescent="0.3">
      <c r="A7" s="2" t="s">
        <v>37</v>
      </c>
      <c r="B7" s="4">
        <v>63</v>
      </c>
      <c r="C7" s="4">
        <v>9</v>
      </c>
      <c r="D7" s="4"/>
      <c r="E7" s="4">
        <f t="shared" si="0"/>
        <v>72</v>
      </c>
      <c r="G7" s="54"/>
      <c r="H7" s="11" t="s">
        <v>17</v>
      </c>
      <c r="I7" s="11" t="s">
        <v>19</v>
      </c>
      <c r="J7" s="11" t="s">
        <v>23</v>
      </c>
      <c r="K7" s="11" t="s">
        <v>48</v>
      </c>
      <c r="L7" s="11" t="s">
        <v>49</v>
      </c>
      <c r="M7" s="11" t="s">
        <v>14</v>
      </c>
      <c r="N7" s="11" t="s">
        <v>48</v>
      </c>
      <c r="O7" s="12" t="s">
        <v>52</v>
      </c>
      <c r="P7" s="12" t="s">
        <v>14</v>
      </c>
      <c r="Q7" s="27"/>
      <c r="S7" s="2" t="s">
        <v>36</v>
      </c>
      <c r="T7" s="4">
        <v>52</v>
      </c>
      <c r="U7" s="4">
        <v>8</v>
      </c>
      <c r="V7" s="4">
        <v>18</v>
      </c>
      <c r="W7" s="4">
        <f t="shared" ref="W7:W16" si="1">SUM(T7:V7)</f>
        <v>78</v>
      </c>
      <c r="Y7" s="55"/>
      <c r="Z7" s="55"/>
      <c r="AA7" s="31"/>
    </row>
    <row r="8" spans="1:27" ht="15.6" x14ac:dyDescent="0.3">
      <c r="A8" s="2" t="s">
        <v>39</v>
      </c>
      <c r="B8" s="4">
        <v>51</v>
      </c>
      <c r="C8" s="4">
        <v>8</v>
      </c>
      <c r="D8" s="4"/>
      <c r="E8" s="4">
        <f t="shared" si="0"/>
        <v>59</v>
      </c>
      <c r="G8" s="7" t="s">
        <v>47</v>
      </c>
      <c r="H8" s="1">
        <v>0</v>
      </c>
      <c r="I8" s="1">
        <v>5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8">
        <v>0</v>
      </c>
      <c r="P8" s="19">
        <v>0</v>
      </c>
      <c r="Q8" s="28"/>
      <c r="S8" s="2" t="s">
        <v>38</v>
      </c>
      <c r="T8" s="4">
        <v>4</v>
      </c>
      <c r="U8" s="4">
        <v>1</v>
      </c>
      <c r="V8" s="4">
        <v>0</v>
      </c>
      <c r="W8" s="4">
        <f>SUM(T8:V8)</f>
        <v>5</v>
      </c>
      <c r="Y8" s="51" t="s">
        <v>30</v>
      </c>
      <c r="Z8" s="52"/>
      <c r="AA8" s="26"/>
    </row>
    <row r="9" spans="1:27" ht="15.6" x14ac:dyDescent="0.3">
      <c r="A9" s="2" t="s">
        <v>40</v>
      </c>
      <c r="B9" s="4">
        <v>18</v>
      </c>
      <c r="C9" s="4">
        <v>2</v>
      </c>
      <c r="D9" s="4"/>
      <c r="E9" s="4">
        <f t="shared" si="0"/>
        <v>20</v>
      </c>
      <c r="G9" s="7" t="s">
        <v>16</v>
      </c>
      <c r="H9" s="1">
        <v>3</v>
      </c>
      <c r="I9" s="1">
        <v>0</v>
      </c>
      <c r="J9" s="1">
        <v>0</v>
      </c>
      <c r="K9" s="1">
        <v>1</v>
      </c>
      <c r="L9" s="1">
        <v>10</v>
      </c>
      <c r="M9" s="1">
        <v>0</v>
      </c>
      <c r="N9" s="1">
        <v>0</v>
      </c>
      <c r="O9" s="8">
        <v>1</v>
      </c>
      <c r="P9" s="9">
        <v>1</v>
      </c>
      <c r="Q9" s="29"/>
      <c r="S9" s="2" t="s">
        <v>37</v>
      </c>
      <c r="T9" s="4">
        <v>66</v>
      </c>
      <c r="U9" s="4">
        <v>10</v>
      </c>
      <c r="V9" s="4">
        <v>10</v>
      </c>
      <c r="W9" s="4">
        <f t="shared" si="1"/>
        <v>86</v>
      </c>
      <c r="Y9" s="2" t="s">
        <v>21</v>
      </c>
      <c r="Z9" s="4">
        <f>SUM(T7:T14)</f>
        <v>244</v>
      </c>
      <c r="AA9" s="3"/>
    </row>
    <row r="10" spans="1:27" ht="15.6" x14ac:dyDescent="0.3">
      <c r="A10" s="2" t="s">
        <v>41</v>
      </c>
      <c r="B10" s="4">
        <v>10</v>
      </c>
      <c r="C10" s="4">
        <v>1</v>
      </c>
      <c r="D10" s="4"/>
      <c r="E10" s="4">
        <f t="shared" si="0"/>
        <v>11</v>
      </c>
      <c r="G10" s="2" t="s">
        <v>2</v>
      </c>
      <c r="H10" s="4">
        <v>6</v>
      </c>
      <c r="I10" s="4">
        <v>0</v>
      </c>
      <c r="J10" s="4">
        <v>0</v>
      </c>
      <c r="K10" s="4">
        <v>0</v>
      </c>
      <c r="L10" s="4">
        <v>5</v>
      </c>
      <c r="M10" s="4">
        <v>2</v>
      </c>
      <c r="N10" s="4">
        <v>0</v>
      </c>
      <c r="O10" s="4">
        <v>5</v>
      </c>
      <c r="P10" s="9">
        <v>0</v>
      </c>
      <c r="Q10" s="29"/>
      <c r="S10" s="2" t="s">
        <v>39</v>
      </c>
      <c r="T10" s="4">
        <v>69</v>
      </c>
      <c r="U10" s="4">
        <v>9</v>
      </c>
      <c r="V10" s="4">
        <v>7</v>
      </c>
      <c r="W10" s="4">
        <f t="shared" si="1"/>
        <v>85</v>
      </c>
      <c r="Y10" s="2" t="s">
        <v>22</v>
      </c>
      <c r="Z10" s="4">
        <f>SUM(U7:U14)</f>
        <v>43</v>
      </c>
      <c r="AA10" s="3"/>
    </row>
    <row r="11" spans="1:27" ht="15.6" x14ac:dyDescent="0.3">
      <c r="A11" s="2" t="s">
        <v>43</v>
      </c>
      <c r="B11" s="4">
        <v>17</v>
      </c>
      <c r="C11" s="4">
        <v>4</v>
      </c>
      <c r="D11" s="4">
        <v>6</v>
      </c>
      <c r="E11" s="4">
        <f>SUM(B11:D11)</f>
        <v>27</v>
      </c>
      <c r="G11" s="2" t="s">
        <v>3</v>
      </c>
      <c r="H11" s="4">
        <v>20</v>
      </c>
      <c r="I11" s="4">
        <v>0</v>
      </c>
      <c r="J11" s="4">
        <v>15</v>
      </c>
      <c r="K11" s="4">
        <v>0</v>
      </c>
      <c r="L11" s="4">
        <v>2</v>
      </c>
      <c r="M11" s="4">
        <v>0</v>
      </c>
      <c r="N11" s="4">
        <v>0</v>
      </c>
      <c r="O11" s="4">
        <v>5</v>
      </c>
      <c r="P11" s="9">
        <v>2</v>
      </c>
      <c r="Q11" s="29"/>
      <c r="S11" s="2" t="s">
        <v>40</v>
      </c>
      <c r="T11" s="4">
        <v>28</v>
      </c>
      <c r="U11" s="4">
        <v>5</v>
      </c>
      <c r="V11" s="4">
        <v>8</v>
      </c>
      <c r="W11" s="4">
        <f t="shared" si="1"/>
        <v>41</v>
      </c>
      <c r="Y11" s="2" t="s">
        <v>23</v>
      </c>
      <c r="Z11" s="4">
        <f>SUM(V7:V14)</f>
        <v>57</v>
      </c>
      <c r="AA11" s="3"/>
    </row>
    <row r="12" spans="1:27" ht="15.6" x14ac:dyDescent="0.3">
      <c r="A12" s="23" t="s">
        <v>14</v>
      </c>
      <c r="B12" s="4">
        <v>12</v>
      </c>
      <c r="C12" s="4">
        <v>3</v>
      </c>
      <c r="D12" s="4">
        <v>5</v>
      </c>
      <c r="E12" s="4">
        <f t="shared" si="0"/>
        <v>20</v>
      </c>
      <c r="G12" s="2" t="s">
        <v>4</v>
      </c>
      <c r="H12" s="4">
        <v>33</v>
      </c>
      <c r="I12" s="4">
        <v>0</v>
      </c>
      <c r="J12" s="4">
        <v>13</v>
      </c>
      <c r="K12" s="4">
        <v>0</v>
      </c>
      <c r="L12" s="4">
        <v>3</v>
      </c>
      <c r="M12" s="4">
        <v>0</v>
      </c>
      <c r="N12" s="4">
        <v>0</v>
      </c>
      <c r="O12" s="4">
        <v>8</v>
      </c>
      <c r="P12" s="9">
        <v>2</v>
      </c>
      <c r="Q12" s="29"/>
      <c r="S12" s="2" t="s">
        <v>41</v>
      </c>
      <c r="T12" s="4">
        <v>6</v>
      </c>
      <c r="U12" s="4">
        <v>6</v>
      </c>
      <c r="V12" s="4">
        <v>0</v>
      </c>
      <c r="W12" s="4">
        <f t="shared" si="1"/>
        <v>12</v>
      </c>
      <c r="Y12" s="2" t="s">
        <v>24</v>
      </c>
      <c r="Z12" s="4">
        <f>SUM(T16)</f>
        <v>46</v>
      </c>
      <c r="AA12" s="3"/>
    </row>
    <row r="13" spans="1:27" ht="15.6" x14ac:dyDescent="0.3">
      <c r="A13" s="22"/>
      <c r="B13" s="22"/>
      <c r="C13" s="22"/>
      <c r="D13" s="22"/>
      <c r="E13" s="22"/>
      <c r="G13" s="2" t="s">
        <v>5</v>
      </c>
      <c r="H13" s="4">
        <v>164</v>
      </c>
      <c r="I13" s="4">
        <v>0</v>
      </c>
      <c r="J13" s="4">
        <v>20</v>
      </c>
      <c r="K13" s="4">
        <v>0</v>
      </c>
      <c r="L13" s="4">
        <v>8</v>
      </c>
      <c r="M13" s="4">
        <v>0</v>
      </c>
      <c r="N13" s="4">
        <v>0</v>
      </c>
      <c r="O13" s="4">
        <v>0</v>
      </c>
      <c r="P13" s="9">
        <v>1</v>
      </c>
      <c r="Q13" s="29"/>
      <c r="S13" s="2" t="s">
        <v>42</v>
      </c>
      <c r="T13" s="4">
        <v>4</v>
      </c>
      <c r="U13" s="4">
        <v>1</v>
      </c>
      <c r="V13" s="4">
        <v>11</v>
      </c>
      <c r="W13" s="4">
        <f>SUM(T13:V13)</f>
        <v>16</v>
      </c>
      <c r="Y13" s="2" t="s">
        <v>25</v>
      </c>
      <c r="Z13" s="4">
        <f>SUM(U16)</f>
        <v>0</v>
      </c>
      <c r="AA13" s="3"/>
    </row>
    <row r="14" spans="1:27" ht="15.6" x14ac:dyDescent="0.3">
      <c r="A14" s="24" t="s">
        <v>31</v>
      </c>
      <c r="B14" s="25">
        <f>SUM(E6:E11)</f>
        <v>244</v>
      </c>
      <c r="C14" s="22"/>
      <c r="D14" s="22"/>
      <c r="E14" s="22"/>
      <c r="G14" s="2" t="s">
        <v>6</v>
      </c>
      <c r="H14" s="4">
        <v>55</v>
      </c>
      <c r="I14" s="4">
        <v>0</v>
      </c>
      <c r="J14" s="4">
        <v>17</v>
      </c>
      <c r="K14" s="4">
        <v>1</v>
      </c>
      <c r="L14" s="4">
        <v>1</v>
      </c>
      <c r="M14" s="4">
        <v>0</v>
      </c>
      <c r="N14" s="4">
        <v>22</v>
      </c>
      <c r="O14" s="4">
        <v>0</v>
      </c>
      <c r="P14" s="9">
        <v>0</v>
      </c>
      <c r="Q14" s="29"/>
      <c r="S14" s="2" t="s">
        <v>43</v>
      </c>
      <c r="T14" s="4">
        <v>15</v>
      </c>
      <c r="U14" s="4">
        <v>3</v>
      </c>
      <c r="V14" s="4">
        <v>3</v>
      </c>
      <c r="W14" s="4">
        <f>SUM(T14:V14)</f>
        <v>21</v>
      </c>
      <c r="Y14" s="2" t="s">
        <v>26</v>
      </c>
      <c r="Z14" s="4">
        <f>SUM(U15)</f>
        <v>81</v>
      </c>
      <c r="AA14" s="3"/>
    </row>
    <row r="15" spans="1:27" ht="15.6" x14ac:dyDescent="0.3">
      <c r="A15" s="24" t="s">
        <v>32</v>
      </c>
      <c r="B15" s="25">
        <f>SUM(E12)</f>
        <v>20</v>
      </c>
      <c r="C15" s="22"/>
      <c r="D15" s="22"/>
      <c r="E15" s="22"/>
      <c r="G15" s="2" t="s">
        <v>7</v>
      </c>
      <c r="H15" s="4">
        <v>14</v>
      </c>
      <c r="I15" s="4">
        <v>0</v>
      </c>
      <c r="J15" s="4">
        <v>4</v>
      </c>
      <c r="K15" s="4">
        <v>8</v>
      </c>
      <c r="L15" s="4">
        <v>1</v>
      </c>
      <c r="M15" s="4">
        <v>0</v>
      </c>
      <c r="N15" s="4">
        <v>87</v>
      </c>
      <c r="O15" s="4">
        <v>1</v>
      </c>
      <c r="P15" s="9">
        <v>0</v>
      </c>
      <c r="Q15" s="29"/>
      <c r="S15" s="2" t="s">
        <v>44</v>
      </c>
      <c r="T15" s="4">
        <v>23</v>
      </c>
      <c r="U15" s="4">
        <v>81</v>
      </c>
      <c r="V15" s="4">
        <v>0</v>
      </c>
      <c r="W15" s="4">
        <f>SUM(T15:V15)</f>
        <v>104</v>
      </c>
      <c r="Y15" s="2" t="s">
        <v>27</v>
      </c>
      <c r="Z15" s="4">
        <f>SUM(T15)</f>
        <v>23</v>
      </c>
      <c r="AA15" s="3"/>
    </row>
    <row r="16" spans="1:27" ht="15.6" x14ac:dyDescent="0.3">
      <c r="G16" s="2" t="s">
        <v>8</v>
      </c>
      <c r="H16" s="4">
        <v>254</v>
      </c>
      <c r="I16" s="4">
        <v>0</v>
      </c>
      <c r="J16" s="4">
        <v>70</v>
      </c>
      <c r="K16" s="4">
        <v>16</v>
      </c>
      <c r="L16" s="4">
        <v>3</v>
      </c>
      <c r="M16" s="4">
        <v>0</v>
      </c>
      <c r="N16" s="4">
        <v>9</v>
      </c>
      <c r="O16" s="4">
        <v>0</v>
      </c>
      <c r="P16" s="9">
        <v>0</v>
      </c>
      <c r="Q16" s="29"/>
      <c r="S16" s="2" t="s">
        <v>24</v>
      </c>
      <c r="T16" s="4">
        <v>46</v>
      </c>
      <c r="U16" s="4">
        <v>0</v>
      </c>
      <c r="V16" s="4">
        <v>0</v>
      </c>
      <c r="W16" s="4">
        <f t="shared" si="1"/>
        <v>46</v>
      </c>
      <c r="Y16" s="2" t="s">
        <v>14</v>
      </c>
      <c r="Z16" s="4">
        <f>SUM(W17)</f>
        <v>11</v>
      </c>
      <c r="AA16" s="3"/>
    </row>
    <row r="17" spans="7:27" ht="15.6" x14ac:dyDescent="0.3">
      <c r="G17" s="2" t="s">
        <v>9</v>
      </c>
      <c r="H17" s="4">
        <v>151</v>
      </c>
      <c r="I17" s="4">
        <v>0</v>
      </c>
      <c r="J17" s="4">
        <v>41</v>
      </c>
      <c r="K17" s="4">
        <v>4</v>
      </c>
      <c r="L17" s="4">
        <v>7</v>
      </c>
      <c r="M17" s="4">
        <v>0</v>
      </c>
      <c r="N17" s="4">
        <v>10</v>
      </c>
      <c r="O17" s="4">
        <v>0</v>
      </c>
      <c r="P17" s="9">
        <v>0</v>
      </c>
      <c r="Q17" s="29"/>
      <c r="S17" s="2" t="s">
        <v>14</v>
      </c>
      <c r="T17" s="4">
        <v>9</v>
      </c>
      <c r="U17" s="4">
        <v>2</v>
      </c>
      <c r="V17" s="4"/>
      <c r="W17" s="4">
        <f>SUM(T17:V17)</f>
        <v>11</v>
      </c>
      <c r="Y17" s="15" t="s">
        <v>31</v>
      </c>
      <c r="Z17" s="13">
        <f>SUM(Z9:Z15)</f>
        <v>494</v>
      </c>
      <c r="AA17" s="17"/>
    </row>
    <row r="18" spans="7:27" ht="15.6" x14ac:dyDescent="0.3">
      <c r="G18" s="2" t="s">
        <v>10</v>
      </c>
      <c r="H18" s="4">
        <v>66</v>
      </c>
      <c r="I18" s="4">
        <v>0</v>
      </c>
      <c r="J18" s="4">
        <v>20</v>
      </c>
      <c r="K18" s="4">
        <v>16</v>
      </c>
      <c r="L18" s="4">
        <v>2</v>
      </c>
      <c r="M18" s="4">
        <v>1</v>
      </c>
      <c r="N18" s="4">
        <v>64</v>
      </c>
      <c r="O18" s="4">
        <v>5</v>
      </c>
      <c r="P18" s="9">
        <v>0</v>
      </c>
      <c r="Q18" s="29"/>
      <c r="S18" s="36"/>
      <c r="T18" s="37">
        <f>SUM(T7:T16)</f>
        <v>313</v>
      </c>
      <c r="U18" s="37">
        <f>SUM(U7:U16)</f>
        <v>124</v>
      </c>
      <c r="V18" s="37">
        <f>SUM(V7:V16)</f>
        <v>57</v>
      </c>
      <c r="W18" s="37"/>
      <c r="Y18" s="15" t="s">
        <v>32</v>
      </c>
      <c r="Z18" s="13">
        <v>11</v>
      </c>
      <c r="AA18" s="17"/>
    </row>
    <row r="19" spans="7:27" ht="15.6" x14ac:dyDescent="0.3">
      <c r="G19" s="2" t="s">
        <v>11</v>
      </c>
      <c r="H19" s="4">
        <v>163</v>
      </c>
      <c r="I19" s="4">
        <v>0</v>
      </c>
      <c r="J19" s="4">
        <v>34</v>
      </c>
      <c r="K19" s="4">
        <v>26</v>
      </c>
      <c r="L19" s="4">
        <v>4</v>
      </c>
      <c r="M19" s="4">
        <v>0</v>
      </c>
      <c r="N19" s="4">
        <v>107</v>
      </c>
      <c r="O19" s="4">
        <v>3</v>
      </c>
      <c r="P19" s="9">
        <v>0</v>
      </c>
      <c r="Q19" s="29"/>
      <c r="S19" s="66" t="s">
        <v>31</v>
      </c>
      <c r="T19" s="66"/>
      <c r="U19" s="66"/>
      <c r="V19" s="66"/>
      <c r="W19" s="13">
        <f>SUM(W7:W16)</f>
        <v>494</v>
      </c>
    </row>
    <row r="20" spans="7:27" ht="15.6" x14ac:dyDescent="0.3">
      <c r="G20" s="5" t="s">
        <v>15</v>
      </c>
      <c r="H20" s="5">
        <f t="shared" ref="H20:P20" si="2">SUM(H8:H19)</f>
        <v>929</v>
      </c>
      <c r="I20" s="5">
        <f t="shared" si="2"/>
        <v>5</v>
      </c>
      <c r="J20" s="5">
        <f>SUM(J8:J19)</f>
        <v>234</v>
      </c>
      <c r="K20" s="5">
        <f t="shared" si="2"/>
        <v>72</v>
      </c>
      <c r="L20" s="5">
        <f t="shared" si="2"/>
        <v>46</v>
      </c>
      <c r="M20" s="5">
        <f t="shared" si="2"/>
        <v>3</v>
      </c>
      <c r="N20" s="5">
        <f t="shared" si="2"/>
        <v>299</v>
      </c>
      <c r="O20" s="5">
        <f t="shared" si="2"/>
        <v>28</v>
      </c>
      <c r="P20" s="10">
        <f t="shared" si="2"/>
        <v>6</v>
      </c>
      <c r="Q20" s="21"/>
      <c r="S20" s="68" t="s">
        <v>32</v>
      </c>
      <c r="T20" s="68"/>
      <c r="U20" s="68"/>
      <c r="V20" s="68"/>
      <c r="W20" s="14">
        <f>SUM(W17)</f>
        <v>11</v>
      </c>
    </row>
    <row r="21" spans="7:27" ht="15" customHeight="1" x14ac:dyDescent="0.3">
      <c r="S21" s="35"/>
      <c r="T21" s="35"/>
      <c r="U21" s="35"/>
      <c r="V21" s="35"/>
      <c r="W21" s="32"/>
    </row>
    <row r="22" spans="7:27" ht="15.6" x14ac:dyDescent="0.3">
      <c r="I22" s="3"/>
      <c r="J22" s="12"/>
      <c r="K22" s="12" t="s">
        <v>50</v>
      </c>
      <c r="M22" s="64" t="s">
        <v>56</v>
      </c>
      <c r="N22" s="64"/>
      <c r="O22" s="37">
        <v>244</v>
      </c>
      <c r="P22" s="48">
        <f>O22+O23</f>
        <v>1173</v>
      </c>
      <c r="Q22" s="49"/>
    </row>
    <row r="23" spans="7:27" ht="15.6" x14ac:dyDescent="0.3">
      <c r="H23" s="67" t="s">
        <v>20</v>
      </c>
      <c r="I23" s="67"/>
      <c r="J23" s="13">
        <f>SUM(H20)</f>
        <v>929</v>
      </c>
      <c r="K23" s="13">
        <v>5</v>
      </c>
      <c r="M23" s="64" t="s">
        <v>1</v>
      </c>
      <c r="N23" s="64"/>
      <c r="O23" s="37">
        <v>929</v>
      </c>
      <c r="P23" s="48">
        <f>P22-O24</f>
        <v>846</v>
      </c>
      <c r="Q23" s="49"/>
    </row>
    <row r="24" spans="7:27" ht="15.6" x14ac:dyDescent="0.3">
      <c r="H24" s="67" t="s">
        <v>18</v>
      </c>
      <c r="I24" s="67"/>
      <c r="J24" s="13">
        <v>352</v>
      </c>
      <c r="K24" s="13">
        <v>3</v>
      </c>
      <c r="M24" s="64" t="s">
        <v>13</v>
      </c>
      <c r="N24" s="64"/>
      <c r="O24" s="37">
        <v>327</v>
      </c>
      <c r="P24" s="50">
        <f>P23-O25</f>
        <v>494</v>
      </c>
      <c r="Q24" s="49"/>
    </row>
    <row r="25" spans="7:27" ht="15.6" x14ac:dyDescent="0.3">
      <c r="H25" s="67" t="s">
        <v>55</v>
      </c>
      <c r="I25" s="67"/>
      <c r="J25" s="13">
        <f>SUM(N20:O20)</f>
        <v>327</v>
      </c>
      <c r="K25" s="13">
        <f>SUM(P20)</f>
        <v>6</v>
      </c>
      <c r="M25" s="64" t="s">
        <v>57</v>
      </c>
      <c r="N25" s="64"/>
      <c r="O25" s="37">
        <v>352</v>
      </c>
      <c r="P25" s="49"/>
      <c r="Q25" s="49"/>
    </row>
    <row r="26" spans="7:27" ht="15.6" x14ac:dyDescent="0.3">
      <c r="H26" s="16"/>
      <c r="I26" s="16"/>
      <c r="J26" s="34"/>
      <c r="K26" s="34"/>
      <c r="M26" s="67" t="s">
        <v>58</v>
      </c>
      <c r="N26" s="67"/>
      <c r="O26" s="13">
        <v>494</v>
      </c>
    </row>
    <row r="27" spans="7:27" ht="15.6" x14ac:dyDescent="0.3">
      <c r="J27" s="45"/>
      <c r="K27" s="46"/>
    </row>
    <row r="28" spans="7:27" ht="15.6" x14ac:dyDescent="0.3">
      <c r="J28" s="47"/>
      <c r="K28" s="34"/>
    </row>
  </sheetData>
  <mergeCells count="22">
    <mergeCell ref="M26:N26"/>
    <mergeCell ref="A1:P2"/>
    <mergeCell ref="G5:G7"/>
    <mergeCell ref="H5:I6"/>
    <mergeCell ref="J6:M6"/>
    <mergeCell ref="H25:I25"/>
    <mergeCell ref="A4:E4"/>
    <mergeCell ref="N5:P6"/>
    <mergeCell ref="J5:M5"/>
    <mergeCell ref="Y5:Z5"/>
    <mergeCell ref="Y6:Y7"/>
    <mergeCell ref="Z6:Z7"/>
    <mergeCell ref="Y8:Z8"/>
    <mergeCell ref="S5:W5"/>
    <mergeCell ref="S19:V19"/>
    <mergeCell ref="M25:N25"/>
    <mergeCell ref="S20:V20"/>
    <mergeCell ref="H23:I23"/>
    <mergeCell ref="H24:I24"/>
    <mergeCell ref="M22:N22"/>
    <mergeCell ref="M23:N23"/>
    <mergeCell ref="M24:N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381B-5D56-4B0C-B860-F126A8DC74B2}">
  <dimension ref="A1:S27"/>
  <sheetViews>
    <sheetView tabSelected="1" topLeftCell="C1" workbookViewId="0">
      <selection activeCell="O13" sqref="O13"/>
    </sheetView>
  </sheetViews>
  <sheetFormatPr baseColWidth="10" defaultRowHeight="14.4" x14ac:dyDescent="0.3"/>
  <cols>
    <col min="1" max="1" width="22.5546875" customWidth="1"/>
    <col min="2" max="2" width="15" customWidth="1"/>
    <col min="3" max="3" width="5.6640625" customWidth="1"/>
    <col min="4" max="4" width="14.6640625" customWidth="1"/>
    <col min="5" max="5" width="10.109375" customWidth="1"/>
    <col min="6" max="8" width="9.6640625" customWidth="1"/>
    <col min="9" max="9" width="13.6640625" customWidth="1"/>
    <col min="10" max="10" width="9.88671875" customWidth="1"/>
    <col min="11" max="11" width="12.6640625" customWidth="1"/>
    <col min="12" max="12" width="10.33203125" customWidth="1"/>
    <col min="13" max="13" width="9" customWidth="1"/>
    <col min="14" max="14" width="7.44140625" customWidth="1"/>
    <col min="15" max="15" width="18.5546875" customWidth="1"/>
    <col min="16" max="16" width="12.6640625" customWidth="1"/>
  </cols>
  <sheetData>
    <row r="1" spans="1:19" ht="15" customHeight="1" x14ac:dyDescent="0.3">
      <c r="A1" s="53" t="s">
        <v>46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20"/>
    </row>
    <row r="2" spans="1:19" ht="48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20"/>
    </row>
    <row r="4" spans="1:19" ht="15.6" x14ac:dyDescent="0.3">
      <c r="D4" s="54" t="s">
        <v>0</v>
      </c>
      <c r="E4" s="55" t="s">
        <v>1</v>
      </c>
      <c r="F4" s="55"/>
      <c r="G4" s="51" t="s">
        <v>12</v>
      </c>
      <c r="H4" s="56"/>
      <c r="I4" s="56"/>
      <c r="J4" s="52"/>
      <c r="K4" s="57" t="s">
        <v>13</v>
      </c>
      <c r="L4" s="58"/>
      <c r="M4" s="59"/>
      <c r="O4" s="65" t="s">
        <v>61</v>
      </c>
      <c r="P4" s="65"/>
      <c r="Q4" s="65"/>
      <c r="R4" s="65"/>
      <c r="S4" s="65"/>
    </row>
    <row r="5" spans="1:19" ht="15.6" x14ac:dyDescent="0.3">
      <c r="A5" s="63" t="s">
        <v>53</v>
      </c>
      <c r="B5" s="63"/>
      <c r="C5" s="33"/>
      <c r="D5" s="54"/>
      <c r="E5" s="55"/>
      <c r="F5" s="55"/>
      <c r="G5" s="51" t="s">
        <v>17</v>
      </c>
      <c r="H5" s="56"/>
      <c r="I5" s="56"/>
      <c r="J5" s="52"/>
      <c r="K5" s="60"/>
      <c r="L5" s="61"/>
      <c r="M5" s="62"/>
      <c r="O5" s="6" t="s">
        <v>28</v>
      </c>
      <c r="P5" s="6" t="s">
        <v>33</v>
      </c>
      <c r="Q5" s="6" t="s">
        <v>34</v>
      </c>
      <c r="R5" s="6" t="s">
        <v>35</v>
      </c>
      <c r="S5" s="6" t="s">
        <v>15</v>
      </c>
    </row>
    <row r="6" spans="1:19" ht="15" customHeight="1" x14ac:dyDescent="0.3">
      <c r="A6" s="55" t="s">
        <v>28</v>
      </c>
      <c r="B6" s="55" t="s">
        <v>29</v>
      </c>
      <c r="C6" s="33"/>
      <c r="D6" s="54"/>
      <c r="E6" s="11" t="s">
        <v>17</v>
      </c>
      <c r="F6" s="11" t="s">
        <v>19</v>
      </c>
      <c r="G6" s="11" t="s">
        <v>23</v>
      </c>
      <c r="H6" s="11" t="s">
        <v>48</v>
      </c>
      <c r="I6" s="11" t="s">
        <v>49</v>
      </c>
      <c r="J6" s="11" t="s">
        <v>14</v>
      </c>
      <c r="K6" s="11" t="s">
        <v>48</v>
      </c>
      <c r="L6" s="12" t="s">
        <v>52</v>
      </c>
      <c r="M6" s="12" t="s">
        <v>14</v>
      </c>
      <c r="O6" s="2" t="s">
        <v>36</v>
      </c>
      <c r="P6" s="4">
        <v>81</v>
      </c>
      <c r="Q6" s="4">
        <v>8</v>
      </c>
      <c r="R6" s="4">
        <v>55</v>
      </c>
      <c r="S6" s="4">
        <f t="shared" ref="S6:S16" si="0">SUM(P6:R6)</f>
        <v>144</v>
      </c>
    </row>
    <row r="7" spans="1:19" ht="15" customHeight="1" x14ac:dyDescent="0.3">
      <c r="A7" s="55"/>
      <c r="B7" s="55"/>
      <c r="C7" s="33"/>
      <c r="D7" s="7" t="s">
        <v>47</v>
      </c>
      <c r="E7" s="1">
        <v>233</v>
      </c>
      <c r="F7" s="1">
        <v>0</v>
      </c>
      <c r="G7" s="1">
        <v>46</v>
      </c>
      <c r="H7" s="1">
        <v>20</v>
      </c>
      <c r="I7" s="1">
        <v>4</v>
      </c>
      <c r="J7" s="1"/>
      <c r="K7" s="1">
        <v>143</v>
      </c>
      <c r="L7" s="18">
        <v>1</v>
      </c>
      <c r="M7" s="19">
        <v>0</v>
      </c>
      <c r="O7" s="2" t="s">
        <v>38</v>
      </c>
      <c r="P7" s="4">
        <v>4</v>
      </c>
      <c r="Q7" s="4">
        <v>1</v>
      </c>
      <c r="R7" s="4"/>
      <c r="S7" s="4">
        <f t="shared" si="0"/>
        <v>5</v>
      </c>
    </row>
    <row r="8" spans="1:19" ht="15.6" x14ac:dyDescent="0.3">
      <c r="A8" s="51" t="s">
        <v>30</v>
      </c>
      <c r="B8" s="52"/>
      <c r="C8" s="33"/>
      <c r="D8" s="7" t="s">
        <v>16</v>
      </c>
      <c r="E8" s="1">
        <v>10</v>
      </c>
      <c r="F8" s="1">
        <v>0</v>
      </c>
      <c r="G8" s="1">
        <v>4</v>
      </c>
      <c r="H8" s="1">
        <v>19</v>
      </c>
      <c r="I8" s="1">
        <v>5</v>
      </c>
      <c r="J8" s="1"/>
      <c r="K8" s="1">
        <v>74</v>
      </c>
      <c r="L8" s="8"/>
      <c r="M8" s="4"/>
      <c r="O8" s="2" t="s">
        <v>37</v>
      </c>
      <c r="P8" s="4">
        <v>76</v>
      </c>
      <c r="Q8" s="4">
        <v>9</v>
      </c>
      <c r="R8" s="4">
        <v>36</v>
      </c>
      <c r="S8" s="4">
        <f>SUM(P8:R8)</f>
        <v>121</v>
      </c>
    </row>
    <row r="9" spans="1:19" ht="15.6" x14ac:dyDescent="0.3">
      <c r="A9" s="2" t="s">
        <v>21</v>
      </c>
      <c r="B9" s="4">
        <v>244</v>
      </c>
      <c r="C9" s="33"/>
      <c r="D9" s="2" t="s">
        <v>2</v>
      </c>
      <c r="E9" s="4">
        <v>174</v>
      </c>
      <c r="F9" s="1">
        <v>0</v>
      </c>
      <c r="G9" s="4">
        <v>11</v>
      </c>
      <c r="H9" s="4">
        <v>10</v>
      </c>
      <c r="I9" s="4">
        <v>4</v>
      </c>
      <c r="J9" s="4">
        <v>1</v>
      </c>
      <c r="K9" s="4">
        <v>18</v>
      </c>
      <c r="L9" s="4"/>
      <c r="M9" s="4"/>
      <c r="O9" s="2" t="s">
        <v>39</v>
      </c>
      <c r="P9" s="4">
        <v>92</v>
      </c>
      <c r="Q9" s="4">
        <v>8</v>
      </c>
      <c r="R9" s="4">
        <v>58</v>
      </c>
      <c r="S9" s="4">
        <f>SUM(P9:R9)</f>
        <v>158</v>
      </c>
    </row>
    <row r="10" spans="1:19" ht="15.6" x14ac:dyDescent="0.3">
      <c r="A10" s="2" t="s">
        <v>22</v>
      </c>
      <c r="B10" s="4">
        <v>43</v>
      </c>
      <c r="C10" s="33"/>
      <c r="D10" s="2" t="s">
        <v>3</v>
      </c>
      <c r="E10" s="4">
        <v>252</v>
      </c>
      <c r="F10" s="1">
        <v>0</v>
      </c>
      <c r="G10" s="4">
        <v>19</v>
      </c>
      <c r="H10" s="4">
        <v>12</v>
      </c>
      <c r="I10" s="4">
        <v>11</v>
      </c>
      <c r="J10" s="4"/>
      <c r="K10" s="4">
        <v>35</v>
      </c>
      <c r="L10" s="4"/>
      <c r="M10" s="4"/>
      <c r="O10" s="2" t="s">
        <v>40</v>
      </c>
      <c r="P10" s="4">
        <v>30</v>
      </c>
      <c r="Q10" s="4">
        <v>5</v>
      </c>
      <c r="R10" s="4">
        <v>10</v>
      </c>
      <c r="S10" s="4">
        <f>SUM(P10:R10)</f>
        <v>45</v>
      </c>
    </row>
    <row r="11" spans="1:19" ht="15.6" x14ac:dyDescent="0.3">
      <c r="A11" s="2" t="s">
        <v>23</v>
      </c>
      <c r="B11" s="4">
        <v>57</v>
      </c>
      <c r="C11" s="33"/>
      <c r="D11" s="2" t="s">
        <v>4</v>
      </c>
      <c r="E11" s="4">
        <v>81</v>
      </c>
      <c r="F11" s="1">
        <v>0</v>
      </c>
      <c r="G11" s="4">
        <v>2</v>
      </c>
      <c r="H11" s="4">
        <v>10</v>
      </c>
      <c r="I11" s="4">
        <v>12</v>
      </c>
      <c r="J11" s="4"/>
      <c r="K11" s="4">
        <v>188</v>
      </c>
      <c r="L11" s="4"/>
      <c r="M11" s="4"/>
      <c r="O11" s="2" t="s">
        <v>41</v>
      </c>
      <c r="P11" s="4">
        <v>6</v>
      </c>
      <c r="Q11" s="4">
        <v>6</v>
      </c>
      <c r="R11" s="4"/>
      <c r="S11" s="4">
        <f t="shared" si="0"/>
        <v>12</v>
      </c>
    </row>
    <row r="12" spans="1:19" ht="15.6" x14ac:dyDescent="0.3">
      <c r="A12" s="2" t="s">
        <v>24</v>
      </c>
      <c r="B12" s="4">
        <v>46</v>
      </c>
      <c r="C12" s="33"/>
      <c r="D12" s="2" t="s">
        <v>5</v>
      </c>
      <c r="E12" s="4">
        <v>29</v>
      </c>
      <c r="F12" s="1">
        <v>0</v>
      </c>
      <c r="G12" s="4">
        <v>7</v>
      </c>
      <c r="H12" s="4">
        <v>17</v>
      </c>
      <c r="I12" s="4">
        <v>9</v>
      </c>
      <c r="J12" s="4"/>
      <c r="K12" s="4">
        <v>58</v>
      </c>
      <c r="L12" s="4"/>
      <c r="M12" s="4">
        <v>1</v>
      </c>
      <c r="O12" s="2" t="s">
        <v>42</v>
      </c>
      <c r="P12" s="4">
        <v>6</v>
      </c>
      <c r="Q12" s="4">
        <v>5</v>
      </c>
      <c r="R12" s="4"/>
      <c r="S12" s="4">
        <f>SUM(P12:R12)</f>
        <v>11</v>
      </c>
    </row>
    <row r="13" spans="1:19" ht="15.6" x14ac:dyDescent="0.3">
      <c r="A13" s="2" t="s">
        <v>25</v>
      </c>
      <c r="B13" s="4">
        <v>0</v>
      </c>
      <c r="C13" s="33"/>
      <c r="D13" s="2" t="s">
        <v>6</v>
      </c>
      <c r="E13" s="4">
        <v>170</v>
      </c>
      <c r="F13" s="1">
        <v>0</v>
      </c>
      <c r="G13" s="4">
        <v>5</v>
      </c>
      <c r="H13" s="4">
        <v>6</v>
      </c>
      <c r="I13" s="4">
        <v>5</v>
      </c>
      <c r="J13" s="4"/>
      <c r="K13" s="4">
        <v>116</v>
      </c>
      <c r="L13" s="4"/>
      <c r="M13" s="4"/>
      <c r="O13" s="2" t="s">
        <v>43</v>
      </c>
      <c r="P13" s="4">
        <v>20</v>
      </c>
      <c r="Q13" s="4">
        <v>4</v>
      </c>
      <c r="R13" s="4">
        <v>6</v>
      </c>
      <c r="S13" s="4">
        <f t="shared" si="0"/>
        <v>30</v>
      </c>
    </row>
    <row r="14" spans="1:19" ht="15.6" x14ac:dyDescent="0.3">
      <c r="A14" s="2" t="s">
        <v>26</v>
      </c>
      <c r="B14" s="4">
        <v>81</v>
      </c>
      <c r="C14" s="33"/>
      <c r="D14" s="2" t="s">
        <v>7</v>
      </c>
      <c r="E14" s="4"/>
      <c r="F14" s="1"/>
      <c r="G14" s="4"/>
      <c r="H14" s="4"/>
      <c r="I14" s="4"/>
      <c r="J14" s="4"/>
      <c r="K14" s="4"/>
      <c r="L14" s="4"/>
      <c r="M14" s="4"/>
      <c r="O14" s="2" t="s">
        <v>44</v>
      </c>
      <c r="P14" s="4">
        <v>0</v>
      </c>
      <c r="Q14" s="4">
        <v>40</v>
      </c>
      <c r="R14" s="4"/>
      <c r="S14" s="4">
        <v>37</v>
      </c>
    </row>
    <row r="15" spans="1:19" ht="15.6" x14ac:dyDescent="0.3">
      <c r="A15" s="2" t="s">
        <v>27</v>
      </c>
      <c r="B15" s="4">
        <v>23</v>
      </c>
      <c r="C15" s="33"/>
      <c r="D15" s="2" t="s">
        <v>8</v>
      </c>
      <c r="E15" s="4"/>
      <c r="F15" s="1"/>
      <c r="G15" s="4"/>
      <c r="H15" s="4"/>
      <c r="I15" s="4"/>
      <c r="J15" s="4"/>
      <c r="K15" s="4"/>
      <c r="L15" s="4"/>
      <c r="M15" s="4"/>
      <c r="O15" s="2" t="s">
        <v>60</v>
      </c>
      <c r="P15" s="4">
        <v>9</v>
      </c>
      <c r="Q15" s="4">
        <v>0</v>
      </c>
      <c r="R15" s="4"/>
      <c r="S15" s="4">
        <f t="shared" si="0"/>
        <v>9</v>
      </c>
    </row>
    <row r="16" spans="1:19" ht="15.6" x14ac:dyDescent="0.3">
      <c r="A16" s="2" t="s">
        <v>14</v>
      </c>
      <c r="B16" s="4">
        <v>11</v>
      </c>
      <c r="C16" s="33"/>
      <c r="D16" s="2" t="s">
        <v>9</v>
      </c>
      <c r="E16" s="4"/>
      <c r="F16" s="4"/>
      <c r="G16" s="4"/>
      <c r="H16" s="4"/>
      <c r="I16" s="4"/>
      <c r="J16" s="4"/>
      <c r="K16" s="4"/>
      <c r="L16" s="4"/>
      <c r="M16" s="4"/>
      <c r="O16" s="2" t="s">
        <v>45</v>
      </c>
      <c r="P16" s="4">
        <v>0</v>
      </c>
      <c r="Q16" s="4">
        <v>0</v>
      </c>
      <c r="R16" s="4"/>
      <c r="S16" s="4">
        <f t="shared" si="0"/>
        <v>0</v>
      </c>
    </row>
    <row r="17" spans="1:19" ht="15.6" x14ac:dyDescent="0.3">
      <c r="A17" s="15" t="s">
        <v>31</v>
      </c>
      <c r="B17" s="13">
        <f>SUM(B9:B15)</f>
        <v>494</v>
      </c>
      <c r="C17" s="33"/>
      <c r="D17" s="2" t="s">
        <v>10</v>
      </c>
      <c r="E17" s="4"/>
      <c r="F17" s="4"/>
      <c r="G17" s="4"/>
      <c r="H17" s="4"/>
      <c r="I17" s="4"/>
      <c r="J17" s="4"/>
      <c r="K17" s="4"/>
      <c r="L17" s="4"/>
      <c r="M17" s="4"/>
      <c r="O17" s="39" t="s">
        <v>14</v>
      </c>
      <c r="P17" s="38">
        <v>7</v>
      </c>
      <c r="Q17" s="38">
        <v>2</v>
      </c>
      <c r="R17" s="38"/>
      <c r="S17" s="38">
        <f>SUM(P17:R17)</f>
        <v>9</v>
      </c>
    </row>
    <row r="18" spans="1:19" ht="15.6" x14ac:dyDescent="0.3">
      <c r="A18" s="15" t="s">
        <v>32</v>
      </c>
      <c r="B18" s="13">
        <v>11</v>
      </c>
      <c r="C18" s="33"/>
      <c r="D18" s="2" t="s">
        <v>11</v>
      </c>
      <c r="E18" s="4"/>
      <c r="F18" s="4"/>
      <c r="G18" s="4"/>
      <c r="H18" s="4"/>
      <c r="I18" s="4"/>
      <c r="J18" s="4"/>
      <c r="K18" s="4"/>
      <c r="L18" s="4"/>
      <c r="M18" s="4"/>
      <c r="O18" s="66" t="s">
        <v>31</v>
      </c>
      <c r="P18" s="66"/>
      <c r="Q18" s="66"/>
      <c r="R18" s="66"/>
      <c r="S18" s="13">
        <f>SUM(S6:S16)</f>
        <v>572</v>
      </c>
    </row>
    <row r="19" spans="1:19" ht="15.6" x14ac:dyDescent="0.3">
      <c r="D19" s="5" t="s">
        <v>15</v>
      </c>
      <c r="E19" s="5">
        <f>SUM(E7:E18)</f>
        <v>949</v>
      </c>
      <c r="F19" s="5">
        <f t="shared" ref="F19:J19" si="1">SUM(F7:F18)</f>
        <v>0</v>
      </c>
      <c r="G19" s="5">
        <f>SUM(G7:G18)</f>
        <v>94</v>
      </c>
      <c r="H19" s="5">
        <f>SUM(H7:H18)</f>
        <v>94</v>
      </c>
      <c r="I19" s="5">
        <f>SUM(I7:I18)</f>
        <v>50</v>
      </c>
      <c r="J19" s="5">
        <f t="shared" si="1"/>
        <v>1</v>
      </c>
      <c r="K19" s="5">
        <f>SUM(K7:K18)</f>
        <v>632</v>
      </c>
      <c r="L19" s="5">
        <f>SUM(L7:L18)</f>
        <v>1</v>
      </c>
      <c r="M19" s="40">
        <v>1</v>
      </c>
      <c r="O19" s="66" t="s">
        <v>32</v>
      </c>
      <c r="P19" s="66"/>
      <c r="Q19" s="66"/>
      <c r="R19" s="66"/>
      <c r="S19" s="13">
        <f>SUM(S17)</f>
        <v>9</v>
      </c>
    </row>
    <row r="21" spans="1:19" ht="15.6" x14ac:dyDescent="0.3">
      <c r="G21" s="3"/>
      <c r="H21" s="27"/>
      <c r="I21" s="41"/>
      <c r="K21" s="42"/>
      <c r="L21" s="21"/>
    </row>
    <row r="22" spans="1:19" ht="15.6" x14ac:dyDescent="0.3">
      <c r="F22" s="64" t="s">
        <v>56</v>
      </c>
      <c r="G22" s="64"/>
      <c r="H22" s="37">
        <f>SUM(B17)</f>
        <v>494</v>
      </c>
      <c r="I22" s="41">
        <f>H22+H23</f>
        <v>1443</v>
      </c>
      <c r="K22" s="42"/>
      <c r="L22" s="21"/>
    </row>
    <row r="23" spans="1:19" ht="15.6" x14ac:dyDescent="0.3">
      <c r="F23" s="64" t="s">
        <v>1</v>
      </c>
      <c r="G23" s="64"/>
      <c r="H23" s="37">
        <f>SUM(E19)</f>
        <v>949</v>
      </c>
      <c r="I23" s="41">
        <f>I22-H24</f>
        <v>810</v>
      </c>
      <c r="K23" s="42"/>
      <c r="L23" s="21"/>
    </row>
    <row r="24" spans="1:19" ht="15.6" x14ac:dyDescent="0.3">
      <c r="F24" s="64" t="s">
        <v>13</v>
      </c>
      <c r="G24" s="64"/>
      <c r="H24" s="37">
        <f>SUM(K19+L19)</f>
        <v>633</v>
      </c>
      <c r="I24" s="41">
        <f>I23-H25</f>
        <v>572</v>
      </c>
      <c r="K24" s="42"/>
      <c r="L24" s="21"/>
    </row>
    <row r="25" spans="1:19" ht="15.6" x14ac:dyDescent="0.3">
      <c r="F25" s="64" t="s">
        <v>57</v>
      </c>
      <c r="G25" s="64"/>
      <c r="H25" s="37">
        <f>SUM(G19+H19+I19)</f>
        <v>238</v>
      </c>
      <c r="I25" s="41"/>
      <c r="K25" s="42"/>
      <c r="L25" s="21"/>
    </row>
    <row r="26" spans="1:19" ht="15" customHeight="1" x14ac:dyDescent="0.3">
      <c r="F26" s="67" t="s">
        <v>58</v>
      </c>
      <c r="G26" s="67"/>
      <c r="H26" s="13">
        <f>SUM(S18)</f>
        <v>572</v>
      </c>
      <c r="K26" s="42" t="s">
        <v>59</v>
      </c>
      <c r="L26" s="21"/>
    </row>
    <row r="27" spans="1:19" x14ac:dyDescent="0.3">
      <c r="K27" s="44"/>
      <c r="L27" s="43"/>
      <c r="M27" s="43"/>
      <c r="N27" s="43"/>
    </row>
  </sheetData>
  <mergeCells count="18">
    <mergeCell ref="F25:G25"/>
    <mergeCell ref="O4:S4"/>
    <mergeCell ref="O18:R18"/>
    <mergeCell ref="O19:R19"/>
    <mergeCell ref="F26:G26"/>
    <mergeCell ref="F22:G22"/>
    <mergeCell ref="F23:G23"/>
    <mergeCell ref="F24:G24"/>
    <mergeCell ref="A8:B8"/>
    <mergeCell ref="A1:P2"/>
    <mergeCell ref="D4:D6"/>
    <mergeCell ref="E4:F5"/>
    <mergeCell ref="G4:J4"/>
    <mergeCell ref="K4:M5"/>
    <mergeCell ref="G5:J5"/>
    <mergeCell ref="A5:B5"/>
    <mergeCell ref="A6:A7"/>
    <mergeCell ref="B6:B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Guder E. Perez Mendoza - Docente Zoot</dc:creator>
  <cp:lastModifiedBy>Cristopher Leandro Davila Isidro-Ing. en Informatica y</cp:lastModifiedBy>
  <dcterms:created xsi:type="dcterms:W3CDTF">2025-12-05T17:19:35Z</dcterms:created>
  <dcterms:modified xsi:type="dcterms:W3CDTF">2026-08-19T04:41:51Z</dcterms:modified>
</cp:coreProperties>
</file>