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AS\Desktop\REGISTRO CUYES 2025\"/>
    </mc:Choice>
  </mc:AlternateContent>
  <xr:revisionPtr revIDLastSave="0" documentId="13_ncr:1_{B5CE693F-9AA0-4620-A084-FAA7D37B0ED0}" xr6:coauthVersionLast="47" xr6:coauthVersionMax="47" xr10:uidLastSave="{00000000-0000-0000-0000-000000000000}"/>
  <bookViews>
    <workbookView xWindow="-120" yWindow="-120" windowWidth="20730" windowHeight="11160" firstSheet="11" activeTab="20" xr2:uid="{69F8473D-F2AF-4999-B31A-E1AAC785D06F}"/>
  </bookViews>
  <sheets>
    <sheet name="U01-U20" sheetId="1" r:id="rId1"/>
    <sheet name="U21-U40" sheetId="2" r:id="rId2"/>
    <sheet name="U41-U60" sheetId="4" r:id="rId3"/>
    <sheet name="U61-U80" sheetId="5" r:id="rId4"/>
    <sheet name="U81-U100" sheetId="15" r:id="rId5"/>
    <sheet name="U101-U121" sheetId="7" r:id="rId6"/>
    <sheet name="U122-U141" sheetId="8" r:id="rId7"/>
    <sheet name="U142-U161" sheetId="13" r:id="rId8"/>
    <sheet name="U162-U180" sheetId="10" r:id="rId9"/>
    <sheet name="U181-U191" sheetId="14" r:id="rId10"/>
    <sheet name="U192..." sheetId="16" r:id="rId11"/>
    <sheet name="U266..." sheetId="18" r:id="rId12"/>
    <sheet name="U274..." sheetId="19" r:id="rId13"/>
    <sheet name="U287" sheetId="17" r:id="rId14"/>
    <sheet name="305" sheetId="20" r:id="rId15"/>
    <sheet name="U336" sheetId="21" r:id="rId16"/>
    <sheet name="U345" sheetId="22" r:id="rId17"/>
    <sheet name="U385" sheetId="23" r:id="rId18"/>
    <sheet name="437" sheetId="24" r:id="rId19"/>
    <sheet name="429" sheetId="25" r:id="rId20"/>
    <sheet name="U477" sheetId="26" r:id="rId21"/>
    <sheet name="U421" sheetId="27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5" i="23" l="1"/>
  <c r="M125" i="23"/>
  <c r="W126" i="24"/>
  <c r="M126" i="24"/>
  <c r="M78" i="24"/>
  <c r="W173" i="23"/>
  <c r="M173" i="23"/>
  <c r="M209" i="23"/>
  <c r="M18" i="27"/>
  <c r="W18" i="27"/>
  <c r="W221" i="23"/>
  <c r="M221" i="23"/>
  <c r="M233" i="23"/>
  <c r="W233" i="23"/>
  <c r="M66" i="24"/>
  <c r="W66" i="24"/>
  <c r="W130" i="8"/>
  <c r="M130" i="8"/>
  <c r="M20" i="20"/>
  <c r="W10" i="8"/>
  <c r="M10" i="8"/>
  <c r="W178" i="10"/>
  <c r="M178" i="10"/>
  <c r="M202" i="2"/>
  <c r="W202" i="2"/>
  <c r="W22" i="1"/>
  <c r="M22" i="1"/>
  <c r="M82" i="1"/>
  <c r="W82" i="1"/>
  <c r="W34" i="4"/>
  <c r="M34" i="4"/>
  <c r="W226" i="7"/>
  <c r="M226" i="7"/>
  <c r="M166" i="10"/>
  <c r="W166" i="10"/>
  <c r="W118" i="8"/>
  <c r="M118" i="8"/>
  <c r="M190" i="10"/>
  <c r="W190" i="10"/>
  <c r="M130" i="2"/>
  <c r="W130" i="1"/>
  <c r="M130" i="1"/>
  <c r="M250" i="7"/>
  <c r="W250" i="7"/>
  <c r="W202" i="7"/>
  <c r="M202" i="7"/>
  <c r="W166" i="2"/>
  <c r="M166" i="2"/>
  <c r="M190" i="2"/>
  <c r="M118" i="2"/>
  <c r="W118" i="2"/>
  <c r="W154" i="8"/>
  <c r="M154" i="8"/>
  <c r="W226" i="13"/>
  <c r="M226" i="13"/>
  <c r="W210" i="19"/>
  <c r="M210" i="19"/>
  <c r="W238" i="7"/>
  <c r="M238" i="7"/>
  <c r="W58" i="10"/>
  <c r="M58" i="10"/>
  <c r="W10" i="10"/>
  <c r="M10" i="10"/>
  <c r="W150" i="19"/>
  <c r="W222" i="16"/>
  <c r="M222" i="16"/>
  <c r="W154" i="10"/>
  <c r="M154" i="10"/>
  <c r="W190" i="7"/>
  <c r="M190" i="7"/>
  <c r="M32" i="20"/>
  <c r="W32" i="20"/>
  <c r="W17" i="23"/>
  <c r="M17" i="23"/>
  <c r="W101" i="23"/>
  <c r="M101" i="23"/>
  <c r="W89" i="23"/>
  <c r="M89" i="23"/>
  <c r="W106" i="1"/>
  <c r="M106" i="1"/>
  <c r="W138" i="16"/>
  <c r="M138" i="16"/>
  <c r="M226" i="4"/>
  <c r="W30" i="19"/>
  <c r="M30" i="19"/>
  <c r="M126" i="18"/>
  <c r="M138" i="18"/>
  <c r="W138" i="18"/>
  <c r="W5" i="23"/>
  <c r="M113" i="22"/>
  <c r="W113" i="22"/>
  <c r="M101" i="22"/>
  <c r="W101" i="22"/>
  <c r="W77" i="22"/>
  <c r="M77" i="22"/>
  <c r="W90" i="17"/>
  <c r="M90" i="17"/>
  <c r="M53" i="22"/>
  <c r="W53" i="22"/>
  <c r="M17" i="22"/>
  <c r="W17" i="22"/>
  <c r="M5" i="22"/>
  <c r="W5" i="22"/>
  <c r="M77" i="21"/>
  <c r="W77" i="21"/>
  <c r="W17" i="21"/>
  <c r="M17" i="21"/>
  <c r="M5" i="21"/>
  <c r="W5" i="21"/>
  <c r="W175" i="20"/>
  <c r="M175" i="20"/>
  <c r="W163" i="20"/>
  <c r="M163" i="20"/>
  <c r="W151" i="20"/>
  <c r="M151" i="20"/>
  <c r="M139" i="20"/>
  <c r="W139" i="20"/>
  <c r="M104" i="20"/>
  <c r="W104" i="20"/>
  <c r="W44" i="20"/>
  <c r="M44" i="20"/>
  <c r="W20" i="20"/>
  <c r="M8" i="20"/>
  <c r="W8" i="20"/>
  <c r="W173" i="19"/>
  <c r="M173" i="19"/>
  <c r="M150" i="19"/>
  <c r="W137" i="19"/>
  <c r="M137" i="19"/>
  <c r="M125" i="19"/>
  <c r="W66" i="19"/>
  <c r="M66" i="19"/>
  <c r="W54" i="19"/>
  <c r="M54" i="19"/>
  <c r="W18" i="19"/>
  <c r="M18" i="19"/>
  <c r="W234" i="18"/>
  <c r="M234" i="18"/>
  <c r="M222" i="18"/>
  <c r="W222" i="18"/>
  <c r="M186" i="18"/>
  <c r="W186" i="18"/>
  <c r="M114" i="18"/>
  <c r="W114" i="18"/>
  <c r="W102" i="18"/>
  <c r="W90" i="18"/>
  <c r="M90" i="18"/>
  <c r="W78" i="18"/>
  <c r="M78" i="18"/>
  <c r="W66" i="18"/>
  <c r="M66" i="18"/>
  <c r="W54" i="18"/>
  <c r="M54" i="18"/>
  <c r="W42" i="18"/>
  <c r="M42" i="18"/>
  <c r="W30" i="18"/>
  <c r="M30" i="18"/>
  <c r="M6" i="18"/>
  <c r="W6" i="18"/>
  <c r="W18" i="18"/>
  <c r="W210" i="17"/>
  <c r="M210" i="17"/>
  <c r="W198" i="17"/>
  <c r="M198" i="17"/>
  <c r="W150" i="17"/>
  <c r="M150" i="17"/>
  <c r="W126" i="17"/>
  <c r="M126" i="17"/>
  <c r="W138" i="17"/>
  <c r="M138" i="17"/>
  <c r="W30" i="17"/>
  <c r="M30" i="17"/>
  <c r="W18" i="17"/>
  <c r="M18" i="17"/>
  <c r="W6" i="17"/>
  <c r="M6" i="17"/>
  <c r="M234" i="16"/>
  <c r="W234" i="16"/>
  <c r="M198" i="16"/>
  <c r="W198" i="16"/>
  <c r="W186" i="16"/>
  <c r="M186" i="16"/>
  <c r="M174" i="16"/>
  <c r="W174" i="16"/>
  <c r="M162" i="16"/>
  <c r="W162" i="16"/>
  <c r="W150" i="16"/>
  <c r="M150" i="16"/>
  <c r="W66" i="16"/>
  <c r="M66" i="16"/>
  <c r="M18" i="16"/>
  <c r="W18" i="16"/>
  <c r="W6" i="16"/>
  <c r="M6" i="16"/>
  <c r="W213" i="10"/>
  <c r="M213" i="10"/>
  <c r="W130" i="10"/>
  <c r="M130" i="10"/>
  <c r="W118" i="10"/>
  <c r="M118" i="10"/>
  <c r="W106" i="10"/>
  <c r="M106" i="10"/>
  <c r="W82" i="10"/>
  <c r="M82" i="10"/>
  <c r="W46" i="13"/>
  <c r="M46" i="13"/>
  <c r="W34" i="13"/>
  <c r="M34" i="13"/>
  <c r="W10" i="13"/>
  <c r="M10" i="13"/>
  <c r="M238" i="8"/>
  <c r="W226" i="8"/>
  <c r="M226" i="8"/>
  <c r="W213" i="8"/>
  <c r="M213" i="8"/>
  <c r="W189" i="8"/>
  <c r="M189" i="8"/>
  <c r="W105" i="8"/>
  <c r="M105" i="8"/>
  <c r="W93" i="8"/>
  <c r="M93" i="8"/>
  <c r="W57" i="8"/>
  <c r="M57" i="8"/>
  <c r="W46" i="8"/>
  <c r="M46" i="8"/>
  <c r="M22" i="8"/>
  <c r="W22" i="8"/>
  <c r="W178" i="7"/>
  <c r="M178" i="7"/>
  <c r="W142" i="7"/>
  <c r="M142" i="7"/>
  <c r="W118" i="7"/>
  <c r="M118" i="7"/>
  <c r="W106" i="7"/>
  <c r="M106" i="7"/>
  <c r="M94" i="7"/>
  <c r="W94" i="7"/>
  <c r="M82" i="7"/>
  <c r="W82" i="7"/>
  <c r="M70" i="7"/>
  <c r="W70" i="7"/>
  <c r="M58" i="7"/>
  <c r="W58" i="7"/>
  <c r="M46" i="7"/>
  <c r="W46" i="7"/>
  <c r="M34" i="7"/>
  <c r="W34" i="7"/>
  <c r="W22" i="7"/>
  <c r="M22" i="7"/>
  <c r="W9" i="7"/>
  <c r="M9" i="7"/>
  <c r="W225" i="15"/>
  <c r="M225" i="15"/>
  <c r="M189" i="15"/>
  <c r="W189" i="15"/>
  <c r="W94" i="15"/>
  <c r="M94" i="15"/>
  <c r="M57" i="15"/>
  <c r="W57" i="15"/>
  <c r="M45" i="15"/>
  <c r="W45" i="15"/>
  <c r="M33" i="15"/>
  <c r="W33" i="15"/>
  <c r="W21" i="15"/>
  <c r="M21" i="15"/>
  <c r="M9" i="15"/>
  <c r="W9" i="15"/>
  <c r="W237" i="5"/>
  <c r="M237" i="5"/>
  <c r="W190" i="5"/>
  <c r="M190" i="5"/>
  <c r="M129" i="5"/>
  <c r="W129" i="5"/>
  <c r="W117" i="5"/>
  <c r="M117" i="5"/>
  <c r="M93" i="5"/>
  <c r="W93" i="5"/>
  <c r="M81" i="5"/>
  <c r="W81" i="5"/>
  <c r="W69" i="5"/>
  <c r="M69" i="5"/>
  <c r="M57" i="5"/>
  <c r="W57" i="5"/>
  <c r="M46" i="5"/>
  <c r="W46" i="5"/>
  <c r="M10" i="5"/>
  <c r="W10" i="5"/>
  <c r="W178" i="4"/>
  <c r="M178" i="4"/>
  <c r="W153" i="4"/>
  <c r="M153" i="4"/>
  <c r="W130" i="4"/>
  <c r="M130" i="4"/>
  <c r="M118" i="4"/>
  <c r="W118" i="4"/>
  <c r="M45" i="4"/>
  <c r="W45" i="4"/>
  <c r="W22" i="4"/>
  <c r="M22" i="4"/>
  <c r="M214" i="2"/>
  <c r="W214" i="2"/>
  <c r="M178" i="2"/>
  <c r="W178" i="2"/>
  <c r="M153" i="2"/>
  <c r="W153" i="2"/>
  <c r="W94" i="2"/>
  <c r="W82" i="2"/>
  <c r="M82" i="2"/>
  <c r="M58" i="2"/>
  <c r="W58" i="2"/>
  <c r="W45" i="2"/>
  <c r="M45" i="2"/>
  <c r="W33" i="2"/>
  <c r="M33" i="2"/>
  <c r="M238" i="1"/>
  <c r="W238" i="1"/>
  <c r="M226" i="1"/>
  <c r="W226" i="1"/>
  <c r="M189" i="1"/>
  <c r="W189" i="1"/>
  <c r="W34" i="1"/>
  <c r="M34" i="1"/>
  <c r="W65" i="22"/>
  <c r="M65" i="22"/>
  <c r="M189" i="13"/>
  <c r="M149" i="19"/>
  <c r="W201" i="2"/>
  <c r="M201" i="2"/>
  <c r="W177" i="1"/>
  <c r="M177" i="1"/>
  <c r="W93" i="1"/>
  <c r="M93" i="1"/>
  <c r="W81" i="1"/>
  <c r="M81" i="1"/>
  <c r="M18" i="14"/>
  <c r="W33" i="10"/>
  <c r="M33" i="10"/>
  <c r="W165" i="7"/>
  <c r="M165" i="7"/>
  <c r="M165" i="1"/>
  <c r="M237" i="13"/>
  <c r="W237" i="13"/>
  <c r="M117" i="7"/>
  <c r="N69" i="7"/>
  <c r="W9" i="13"/>
  <c r="M9" i="13"/>
  <c r="W237" i="8"/>
  <c r="M237" i="8"/>
  <c r="M141" i="8"/>
  <c r="W177" i="8"/>
  <c r="M177" i="8"/>
  <c r="W225" i="7"/>
  <c r="M225" i="7"/>
  <c r="M189" i="7"/>
  <c r="W189" i="7"/>
  <c r="W201" i="7"/>
  <c r="M201" i="7"/>
  <c r="W141" i="5"/>
  <c r="M141" i="5"/>
  <c r="W189" i="2"/>
  <c r="M189" i="2"/>
  <c r="W69" i="1"/>
  <c r="M69" i="1"/>
  <c r="M225" i="2"/>
  <c r="W57" i="10"/>
  <c r="M57" i="10"/>
  <c r="W189" i="10"/>
  <c r="M189" i="10"/>
  <c r="W225" i="1"/>
  <c r="M225" i="1"/>
  <c r="W105" i="15"/>
  <c r="M105" i="15"/>
  <c r="W153" i="15"/>
  <c r="M153" i="15"/>
  <c r="W42" i="14"/>
  <c r="M42" i="14"/>
  <c r="M81" i="7"/>
  <c r="W45" i="13"/>
  <c r="M45" i="13"/>
  <c r="M237" i="7"/>
  <c r="W237" i="7"/>
  <c r="W45" i="10"/>
  <c r="M45" i="10"/>
  <c r="W9" i="4"/>
  <c r="M9" i="4"/>
  <c r="W237" i="1"/>
  <c r="M237" i="1"/>
  <c r="W21" i="5"/>
  <c r="M21" i="5"/>
  <c r="W117" i="8"/>
  <c r="M117" i="8"/>
  <c r="M9" i="10"/>
  <c r="W9" i="10"/>
  <c r="W92" i="20"/>
  <c r="M92" i="20"/>
  <c r="W33" i="4"/>
  <c r="M33" i="4"/>
  <c r="W213" i="1"/>
  <c r="M213" i="1"/>
  <c r="W153" i="8"/>
  <c r="M153" i="8"/>
  <c r="W209" i="16"/>
  <c r="M209" i="16"/>
  <c r="W65" i="18"/>
  <c r="M65" i="18"/>
  <c r="W209" i="17"/>
  <c r="M209" i="17"/>
  <c r="M197" i="17"/>
  <c r="W197" i="17"/>
  <c r="W5" i="18"/>
  <c r="M5" i="18"/>
  <c r="W149" i="16"/>
  <c r="M149" i="16"/>
  <c r="W213" i="5"/>
  <c r="M213" i="5"/>
  <c r="M129" i="1"/>
  <c r="W129" i="1"/>
  <c r="W129" i="2"/>
  <c r="M129" i="2"/>
  <c r="W237" i="2"/>
  <c r="M237" i="2"/>
  <c r="W57" i="1"/>
  <c r="M57" i="1"/>
  <c r="W45" i="8"/>
  <c r="M45" i="8"/>
  <c r="W21" i="7"/>
  <c r="M21" i="7"/>
  <c r="W21" i="4"/>
  <c r="M21" i="4"/>
  <c r="M153" i="1"/>
  <c r="W153" i="1"/>
  <c r="M33" i="5"/>
  <c r="W33" i="5"/>
  <c r="M141" i="2"/>
  <c r="W141" i="2"/>
  <c r="W33" i="13"/>
  <c r="M33" i="13"/>
  <c r="W177" i="10"/>
  <c r="M177" i="10"/>
  <c r="W33" i="8"/>
  <c r="M33" i="8"/>
  <c r="M81" i="10"/>
  <c r="W81" i="10"/>
  <c r="W21" i="1"/>
  <c r="M21" i="1"/>
  <c r="W57" i="4"/>
  <c r="M57" i="4"/>
  <c r="W45" i="5"/>
  <c r="M45" i="5"/>
  <c r="W9" i="5"/>
  <c r="M9" i="5"/>
  <c r="W69" i="15"/>
  <c r="M69" i="15"/>
  <c r="M21" i="13"/>
  <c r="W93" i="7"/>
  <c r="M93" i="7"/>
  <c r="W201" i="5"/>
  <c r="M201" i="5"/>
  <c r="M93" i="15"/>
  <c r="W93" i="15"/>
  <c r="W225" i="8"/>
  <c r="M225" i="8"/>
  <c r="M153" i="10"/>
  <c r="W153" i="10"/>
  <c r="W81" i="13"/>
  <c r="M81" i="13"/>
  <c r="M117" i="1"/>
  <c r="W117" i="1"/>
  <c r="M165" i="10"/>
  <c r="W93" i="4"/>
  <c r="M93" i="4"/>
  <c r="W213" i="2"/>
  <c r="M213" i="2"/>
  <c r="W33" i="7"/>
  <c r="M33" i="7"/>
  <c r="W125" i="16"/>
  <c r="M125" i="16"/>
  <c r="W117" i="10"/>
  <c r="M117" i="10"/>
  <c r="W129" i="10"/>
  <c r="M129" i="10"/>
  <c r="W141" i="7"/>
  <c r="M141" i="7"/>
  <c r="W141" i="1"/>
  <c r="M141" i="1"/>
  <c r="W9" i="8"/>
  <c r="M9" i="8"/>
  <c r="W41" i="18"/>
  <c r="M41" i="18"/>
  <c r="W129" i="8"/>
  <c r="M129" i="8"/>
  <c r="W165" i="8"/>
  <c r="M165" i="8"/>
  <c r="W225" i="13"/>
  <c r="M225" i="13"/>
  <c r="M141" i="10"/>
  <c r="W141" i="10"/>
  <c r="W129" i="15"/>
  <c r="M129" i="15"/>
  <c r="W89" i="16"/>
  <c r="M89" i="16"/>
  <c r="W189" i="5"/>
  <c r="M189" i="5"/>
  <c r="W69" i="10"/>
  <c r="M69" i="10"/>
  <c r="W177" i="7"/>
  <c r="M177" i="7"/>
  <c r="W105" i="7"/>
  <c r="M105" i="7"/>
  <c r="W57" i="13"/>
  <c r="M57" i="13"/>
  <c r="W57" i="7"/>
  <c r="M57" i="7"/>
  <c r="M105" i="1"/>
  <c r="W105" i="1"/>
  <c r="M93" i="10"/>
  <c r="W65" i="16"/>
  <c r="M65" i="16"/>
  <c r="W101" i="18"/>
  <c r="M101" i="18"/>
  <c r="W17" i="16"/>
  <c r="M17" i="16"/>
  <c r="W5" i="17"/>
  <c r="M5" i="17"/>
  <c r="W29" i="18"/>
  <c r="M29" i="18"/>
  <c r="W197" i="16"/>
  <c r="M197" i="16"/>
  <c r="W221" i="16"/>
  <c r="M221" i="16"/>
  <c r="M173" i="18"/>
  <c r="W161" i="17"/>
  <c r="M161" i="17"/>
  <c r="W29" i="16"/>
  <c r="M29" i="16"/>
  <c r="M90" i="14"/>
  <c r="M93" i="2"/>
  <c r="W93" i="2"/>
  <c r="W19" i="20"/>
  <c r="M19" i="20"/>
  <c r="M185" i="17"/>
  <c r="W173" i="16"/>
  <c r="M173" i="16"/>
  <c r="M29" i="19"/>
  <c r="W173" i="17"/>
  <c r="M173" i="17"/>
  <c r="W233" i="18"/>
  <c r="M233" i="18"/>
  <c r="W137" i="18"/>
  <c r="M137" i="18"/>
  <c r="W31" i="20"/>
  <c r="M31" i="20"/>
  <c r="W221" i="18"/>
  <c r="M221" i="18"/>
  <c r="W43" i="20"/>
  <c r="M43" i="20"/>
  <c r="M5" i="16"/>
  <c r="W5" i="19"/>
  <c r="M5" i="19"/>
  <c r="W7" i="20"/>
  <c r="M7" i="20"/>
  <c r="M57" i="2"/>
  <c r="M105" i="2"/>
  <c r="M104" i="13"/>
  <c r="W92" i="5"/>
  <c r="M92" i="5"/>
  <c r="W56" i="15"/>
  <c r="M56" i="15"/>
  <c r="M8" i="15"/>
  <c r="W200" i="10"/>
  <c r="M200" i="10"/>
  <c r="W164" i="5"/>
  <c r="M164" i="5"/>
  <c r="M224" i="15"/>
  <c r="M224" i="5"/>
  <c r="M80" i="5"/>
  <c r="W152" i="4"/>
  <c r="M152" i="4"/>
  <c r="W177" i="13"/>
  <c r="M177" i="13"/>
  <c r="W20" i="2"/>
  <c r="M20" i="2"/>
  <c r="M80" i="8"/>
  <c r="W80" i="8"/>
  <c r="W152" i="2"/>
  <c r="M152" i="2"/>
  <c r="W188" i="1"/>
  <c r="M188" i="1"/>
  <c r="W200" i="4"/>
  <c r="M200" i="4"/>
  <c r="W20" i="15"/>
  <c r="M20" i="15"/>
  <c r="W104" i="8"/>
  <c r="M104" i="8"/>
  <c r="M140" i="15"/>
  <c r="W56" i="5"/>
  <c r="M56" i="5"/>
  <c r="M44" i="2"/>
  <c r="W188" i="8"/>
  <c r="W56" i="8"/>
  <c r="M56" i="8"/>
  <c r="W212" i="15"/>
  <c r="M212" i="15"/>
  <c r="W188" i="15"/>
  <c r="M188" i="15"/>
  <c r="M44" i="15"/>
  <c r="W44" i="15"/>
  <c r="W32" i="15"/>
  <c r="M32" i="15"/>
  <c r="W237" i="4"/>
  <c r="M237" i="4"/>
  <c r="W92" i="8"/>
  <c r="M92" i="8"/>
  <c r="W44" i="4"/>
  <c r="M44" i="4"/>
  <c r="W224" i="4"/>
  <c r="M224" i="4"/>
  <c r="M20" i="5"/>
  <c r="W68" i="4"/>
  <c r="M68" i="4"/>
  <c r="W8" i="8"/>
  <c r="M8" i="8"/>
  <c r="M128" i="10"/>
  <c r="W176" i="7"/>
  <c r="W188" i="7"/>
  <c r="M188" i="7"/>
  <c r="W212" i="5"/>
  <c r="M212" i="5"/>
  <c r="M80" i="10"/>
  <c r="W8" i="10"/>
  <c r="M8" i="10"/>
  <c r="W212" i="1"/>
  <c r="M212" i="1"/>
  <c r="W32" i="10"/>
  <c r="M32" i="10"/>
  <c r="W152" i="10"/>
  <c r="M152" i="10"/>
  <c r="W236" i="1"/>
  <c r="M236" i="1"/>
  <c r="M56" i="13"/>
  <c r="W56" i="13"/>
  <c r="W176" i="1"/>
  <c r="M176" i="1"/>
  <c r="W152" i="8"/>
  <c r="M152" i="8"/>
  <c r="W164" i="8"/>
  <c r="M164" i="8"/>
  <c r="W200" i="7"/>
  <c r="W140" i="5"/>
  <c r="M140" i="5"/>
  <c r="W56" i="4"/>
  <c r="M56" i="4"/>
  <c r="W92" i="1"/>
  <c r="M92" i="1"/>
  <c r="W188" i="2"/>
  <c r="M188" i="2"/>
  <c r="W164" i="1"/>
  <c r="M164" i="1"/>
  <c r="W152" i="15"/>
  <c r="M152" i="15"/>
  <c r="M68" i="13"/>
  <c r="W236" i="7"/>
  <c r="M236" i="7"/>
  <c r="W32" i="7"/>
  <c r="M32" i="7"/>
  <c r="M32" i="5"/>
  <c r="M224" i="2"/>
  <c r="W8" i="4"/>
  <c r="M8" i="4"/>
  <c r="W116" i="2"/>
  <c r="M116" i="2"/>
  <c r="W104" i="4"/>
  <c r="M104" i="4"/>
  <c r="W44" i="13"/>
  <c r="M44" i="13"/>
  <c r="W32" i="4"/>
  <c r="M32" i="4"/>
  <c r="W20" i="13"/>
  <c r="M20" i="13"/>
  <c r="W140" i="7"/>
  <c r="M140" i="7"/>
  <c r="W32" i="13"/>
  <c r="M32" i="13"/>
  <c r="W8" i="5"/>
  <c r="M8" i="5"/>
  <c r="M164" i="2"/>
  <c r="W236" i="8"/>
  <c r="M236" i="8"/>
  <c r="W176" i="8"/>
  <c r="M176" i="8"/>
  <c r="W224" i="8"/>
  <c r="M224" i="8"/>
  <c r="M140" i="2"/>
  <c r="M44" i="10"/>
  <c r="S44" i="10" s="1"/>
  <c r="W44" i="10" s="1"/>
  <c r="W152" i="1"/>
  <c r="M152" i="1"/>
  <c r="W236" i="2"/>
  <c r="M236" i="2"/>
  <c r="W200" i="2"/>
  <c r="M200" i="2"/>
  <c r="W128" i="1"/>
  <c r="M128" i="1"/>
  <c r="W20" i="4"/>
  <c r="M20" i="4"/>
  <c r="M212" i="2"/>
  <c r="W212" i="2"/>
  <c r="W8" i="13"/>
  <c r="M8" i="13"/>
  <c r="W139" i="8"/>
  <c r="M139" i="8"/>
  <c r="W140" i="8"/>
  <c r="M140" i="8"/>
  <c r="W32" i="8"/>
  <c r="M32" i="8"/>
  <c r="W8" i="2"/>
  <c r="M8" i="2"/>
  <c r="M116" i="10"/>
  <c r="W176" i="10"/>
  <c r="M176" i="10"/>
  <c r="W175" i="10"/>
  <c r="M175" i="10"/>
  <c r="W236" i="13"/>
  <c r="M236" i="13"/>
  <c r="W140" i="1"/>
  <c r="M140" i="1"/>
  <c r="W176" i="5"/>
  <c r="M176" i="5"/>
  <c r="M116" i="7"/>
  <c r="W20" i="8"/>
  <c r="M20" i="8"/>
  <c r="M176" i="4"/>
  <c r="W224" i="13"/>
  <c r="M224" i="13"/>
  <c r="W128" i="15"/>
  <c r="M128" i="15"/>
  <c r="M92" i="15"/>
  <c r="W92" i="15"/>
  <c r="W104" i="7"/>
  <c r="W68" i="15"/>
  <c r="M68" i="15"/>
  <c r="M188" i="5"/>
  <c r="M116" i="8"/>
  <c r="W20" i="1"/>
  <c r="M20" i="1"/>
  <c r="W92" i="10"/>
  <c r="M92" i="10"/>
  <c r="W164" i="10"/>
  <c r="M164" i="10"/>
  <c r="W80" i="13"/>
  <c r="M80" i="13"/>
  <c r="W152" i="5"/>
  <c r="M152" i="5"/>
  <c r="W68" i="1"/>
  <c r="M68" i="1"/>
  <c r="W104" i="10"/>
  <c r="M104" i="10"/>
  <c r="W200" i="5"/>
  <c r="M200" i="5"/>
  <c r="W116" i="1"/>
  <c r="M116" i="1"/>
  <c r="W8" i="1"/>
  <c r="M8" i="1"/>
  <c r="R8" i="1"/>
  <c r="W140" i="10"/>
  <c r="M140" i="10"/>
  <c r="W41" i="14"/>
  <c r="M41" i="14"/>
  <c r="M17" i="14"/>
  <c r="W6" i="14"/>
  <c r="M6" i="14"/>
  <c r="M115" i="13"/>
  <c r="W115" i="13"/>
  <c r="W236" i="4"/>
  <c r="M236" i="4"/>
  <c r="M128" i="4"/>
  <c r="W128" i="4"/>
  <c r="M7" i="15"/>
  <c r="M113" i="14"/>
  <c r="W113" i="14"/>
  <c r="W31" i="2"/>
  <c r="M31" i="2"/>
  <c r="W77" i="14"/>
  <c r="M77" i="14"/>
  <c r="W91" i="8"/>
  <c r="M91" i="8"/>
  <c r="W187" i="8"/>
  <c r="M187" i="8"/>
  <c r="M55" i="15"/>
  <c r="W7" i="7"/>
  <c r="M7" i="7"/>
  <c r="W223" i="10"/>
  <c r="M223" i="10"/>
  <c r="W151" i="4"/>
  <c r="M151" i="4"/>
  <c r="W43" i="2"/>
  <c r="M43" i="2"/>
  <c r="W199" i="10"/>
  <c r="M199" i="10"/>
  <c r="W103" i="8"/>
  <c r="M103" i="8"/>
  <c r="M31" i="15"/>
  <c r="M211" i="15"/>
  <c r="W139" i="15"/>
  <c r="M139" i="15"/>
  <c r="W199" i="15"/>
  <c r="M199" i="15"/>
  <c r="W211" i="8"/>
  <c r="M211" i="8"/>
  <c r="M67" i="5"/>
  <c r="W103" i="13"/>
  <c r="M103" i="13"/>
  <c r="W53" i="14"/>
  <c r="M53" i="14"/>
  <c r="M55" i="8"/>
  <c r="W55" i="8"/>
  <c r="W175" i="7"/>
  <c r="M175" i="7"/>
  <c r="W79" i="10"/>
  <c r="M79" i="10"/>
  <c r="W235" i="13"/>
  <c r="M235" i="13"/>
  <c r="M127" i="7"/>
  <c r="W65" i="14"/>
  <c r="M65" i="14"/>
  <c r="M103" i="10"/>
  <c r="W103" i="10"/>
  <c r="M31" i="13"/>
  <c r="W31" i="13"/>
  <c r="W125" i="14"/>
  <c r="M125" i="14"/>
  <c r="W175" i="13"/>
  <c r="M175" i="13"/>
  <c r="W115" i="15"/>
  <c r="M115" i="15"/>
  <c r="W163" i="1"/>
  <c r="M163" i="1"/>
  <c r="W163" i="2"/>
  <c r="M163" i="2"/>
  <c r="W151" i="7"/>
  <c r="M151" i="7"/>
  <c r="W43" i="1"/>
  <c r="M43" i="1"/>
  <c r="M19" i="4"/>
  <c r="W19" i="4"/>
  <c r="W7" i="2"/>
  <c r="M7" i="2"/>
  <c r="M79" i="5"/>
  <c r="W115" i="5"/>
  <c r="M115" i="5"/>
  <c r="M43" i="13"/>
  <c r="W43" i="13"/>
  <c r="W67" i="7"/>
  <c r="M67" i="7"/>
  <c r="M55" i="7"/>
  <c r="W55" i="7"/>
  <c r="W235" i="4"/>
  <c r="M235" i="4"/>
  <c r="W7" i="10"/>
  <c r="M7" i="10"/>
  <c r="W187" i="10"/>
  <c r="M187" i="10"/>
  <c r="M91" i="2"/>
  <c r="W91" i="2"/>
  <c r="W55" i="13"/>
  <c r="M55" i="13"/>
  <c r="M139" i="1"/>
  <c r="W139" i="1"/>
  <c r="M19" i="8"/>
  <c r="W19" i="8"/>
  <c r="W67" i="1"/>
  <c r="M67" i="1"/>
  <c r="W103" i="4"/>
  <c r="M103" i="4"/>
  <c r="W43" i="10"/>
  <c r="M43" i="10"/>
  <c r="M103" i="15"/>
  <c r="W103" i="15"/>
  <c r="W235" i="1"/>
  <c r="M19" i="2"/>
  <c r="W19" i="2"/>
  <c r="W7" i="1"/>
  <c r="M7" i="1"/>
  <c r="M79" i="15"/>
  <c r="W55" i="5"/>
  <c r="M55" i="5"/>
  <c r="W67" i="10"/>
  <c r="M67" i="10"/>
  <c r="M163" i="7"/>
  <c r="W163" i="7"/>
  <c r="W43" i="8"/>
  <c r="M43" i="8"/>
  <c r="W151" i="10"/>
  <c r="M151" i="10"/>
  <c r="M55" i="2"/>
  <c r="W55" i="2"/>
  <c r="W7" i="5"/>
  <c r="M7" i="5"/>
  <c r="M91" i="13"/>
  <c r="W91" i="13"/>
  <c r="W151" i="15"/>
  <c r="M151" i="15"/>
  <c r="W19" i="15"/>
  <c r="M19" i="15"/>
  <c r="W223" i="4"/>
  <c r="M223" i="4"/>
  <c r="M127" i="4"/>
  <c r="W127" i="4"/>
  <c r="W67" i="2"/>
  <c r="W199" i="1"/>
  <c r="M199" i="1"/>
  <c r="W175" i="8"/>
  <c r="M175" i="8"/>
  <c r="W79" i="2"/>
  <c r="M79" i="2"/>
  <c r="W151" i="2"/>
  <c r="M151" i="2"/>
  <c r="W187" i="1"/>
  <c r="M187" i="1"/>
  <c r="W19" i="13"/>
  <c r="M19" i="13"/>
  <c r="M115" i="10"/>
  <c r="W55" i="10"/>
  <c r="M55" i="10"/>
  <c r="W19" i="1"/>
  <c r="M19" i="1"/>
  <c r="M31" i="8"/>
  <c r="W31" i="8"/>
  <c r="W103" i="5"/>
  <c r="M103" i="5"/>
  <c r="M175" i="2"/>
  <c r="W187" i="4"/>
  <c r="M187" i="4"/>
  <c r="M67" i="4"/>
  <c r="W163" i="15"/>
  <c r="M163" i="15"/>
  <c r="W31" i="7"/>
  <c r="M176" i="7"/>
  <c r="M200" i="7"/>
  <c r="W56" i="7"/>
  <c r="M56" i="7"/>
  <c r="W68" i="13"/>
  <c r="W224" i="7"/>
  <c r="M224" i="7"/>
  <c r="W212" i="7"/>
  <c r="M212" i="7"/>
  <c r="W164" i="7"/>
  <c r="M164" i="7"/>
  <c r="W43" i="7"/>
  <c r="W44" i="7"/>
  <c r="M44" i="7"/>
  <c r="M43" i="7"/>
  <c r="W80" i="7"/>
  <c r="M80" i="7"/>
  <c r="W152" i="7"/>
  <c r="M152" i="7"/>
  <c r="W128" i="7"/>
  <c r="M128" i="7"/>
  <c r="W116" i="7"/>
  <c r="W92" i="7"/>
  <c r="M92" i="7"/>
  <c r="W68" i="7"/>
  <c r="M68" i="7"/>
  <c r="M104" i="7"/>
  <c r="W19" i="7"/>
  <c r="M19" i="7"/>
  <c r="M31" i="7"/>
  <c r="W235" i="7"/>
  <c r="W139" i="7"/>
  <c r="M139" i="7"/>
</calcChain>
</file>

<file path=xl/sharedStrings.xml><?xml version="1.0" encoding="utf-8"?>
<sst xmlns="http://schemas.openxmlformats.org/spreadsheetml/2006/main" count="14006" uniqueCount="587">
  <si>
    <t>UNIDAD DE CUYES Y CONEJOS - FACULTAD DE ZOOTECNIA - UNAS</t>
  </si>
  <si>
    <t>Registro Individual de Cuyes</t>
  </si>
  <si>
    <t>Código Reproductora:</t>
  </si>
  <si>
    <t>U01</t>
  </si>
  <si>
    <t>Raza</t>
  </si>
  <si>
    <t>Perú</t>
  </si>
  <si>
    <t>Fecha de Nacimiento:</t>
  </si>
  <si>
    <t>Partiuclaridades:</t>
  </si>
  <si>
    <t>Parto</t>
  </si>
  <si>
    <t>Código Macho Empadre</t>
  </si>
  <si>
    <t>Fecha Empadre</t>
  </si>
  <si>
    <t>Fecha Nacimiento</t>
  </si>
  <si>
    <t>Tamaño Camada Nacimiento</t>
  </si>
  <si>
    <t>Muertos al Nacimiento</t>
  </si>
  <si>
    <t>Peso al nacimiento por cría (gr)</t>
  </si>
  <si>
    <t>Peso Promedio Nac.</t>
  </si>
  <si>
    <t>Fecha Destete</t>
  </si>
  <si>
    <t>Tamaño Camada Destete</t>
  </si>
  <si>
    <t>Muertos al Destete</t>
  </si>
  <si>
    <t>Peso en gramos al destete</t>
  </si>
  <si>
    <t>Peso Promedio Dest.</t>
  </si>
  <si>
    <t>M</t>
  </si>
  <si>
    <t>H</t>
  </si>
  <si>
    <t>UM03</t>
  </si>
  <si>
    <t>UM02</t>
  </si>
  <si>
    <t>U02</t>
  </si>
  <si>
    <t>U03</t>
  </si>
  <si>
    <t>UM04</t>
  </si>
  <si>
    <t>VACIA</t>
  </si>
  <si>
    <t>UM01</t>
  </si>
  <si>
    <t>U04</t>
  </si>
  <si>
    <t>U05</t>
  </si>
  <si>
    <t>U06</t>
  </si>
  <si>
    <t>U07</t>
  </si>
  <si>
    <t>U08</t>
  </si>
  <si>
    <t>U09</t>
  </si>
  <si>
    <t>U10</t>
  </si>
  <si>
    <t>U11</t>
  </si>
  <si>
    <t>U12</t>
  </si>
  <si>
    <t>U13</t>
  </si>
  <si>
    <t>U14</t>
  </si>
  <si>
    <t>U15</t>
  </si>
  <si>
    <t>U16</t>
  </si>
  <si>
    <t>U17</t>
  </si>
  <si>
    <t>MURIO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</si>
  <si>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</si>
  <si>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</si>
  <si>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</si>
  <si>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</si>
  <si>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</si>
  <si>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</si>
  <si>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</si>
  <si>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</si>
  <si>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</si>
  <si>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</si>
  <si>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</si>
  <si>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</si>
  <si>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</si>
  <si>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</si>
  <si>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</si>
  <si>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</si>
  <si>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</si>
  <si>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</si>
  <si>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</si>
  <si>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</si>
  <si>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</si>
  <si>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</si>
  <si>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</si>
  <si>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</si>
  <si>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</si>
  <si>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</si>
  <si>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</si>
  <si>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</si>
  <si>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</si>
  <si>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</si>
  <si>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</si>
  <si>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</si>
  <si>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ANDINA</t>
  </si>
  <si>
    <t>UM07</t>
  </si>
  <si>
    <t>UM10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</si>
  <si>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</si>
  <si>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</si>
  <si>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</si>
  <si>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</si>
  <si>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</si>
  <si>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</si>
  <si>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</si>
  <si>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</si>
  <si>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</si>
  <si>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</si>
  <si>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</si>
  <si>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</si>
  <si>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</si>
  <si>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</si>
  <si>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ABORTO</t>
  </si>
  <si>
    <t>U64</t>
  </si>
  <si>
    <t>U65</t>
  </si>
  <si>
    <t>UM08</t>
  </si>
  <si>
    <t>U66</t>
  </si>
  <si>
    <t>UM68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</si>
  <si>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</si>
  <si>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</si>
  <si>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</si>
  <si>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</si>
  <si>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</si>
  <si>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</si>
  <si>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</si>
  <si>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</si>
  <si>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</si>
  <si>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</si>
  <si>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</si>
  <si>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</si>
  <si>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</si>
  <si>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</si>
  <si>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</si>
  <si>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</si>
  <si>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</si>
  <si>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</si>
  <si>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</si>
  <si>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</si>
  <si>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</si>
  <si>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</si>
  <si>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</si>
  <si>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</si>
  <si>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</si>
  <si>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</si>
  <si>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</si>
  <si>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</si>
  <si>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</si>
  <si>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</si>
  <si>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</si>
  <si>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</si>
  <si>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</si>
  <si>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</si>
  <si>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</si>
  <si>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Andina</t>
  </si>
  <si>
    <t>23/04/25</t>
  </si>
  <si>
    <t>31/7/2025</t>
  </si>
  <si>
    <t>U180</t>
  </si>
  <si>
    <t>Inti</t>
  </si>
  <si>
    <t>UM20</t>
  </si>
  <si>
    <t>22/03/25</t>
  </si>
  <si>
    <t>U103</t>
  </si>
  <si>
    <t>U104</t>
  </si>
  <si>
    <t>UM17</t>
  </si>
  <si>
    <t>UM18</t>
  </si>
  <si>
    <t>U105</t>
  </si>
  <si>
    <t>U106</t>
  </si>
  <si>
    <t>U107</t>
  </si>
  <si>
    <t>U108</t>
  </si>
  <si>
    <t>U109</t>
  </si>
  <si>
    <t>inti</t>
  </si>
  <si>
    <t>U110</t>
  </si>
  <si>
    <t>Vacía</t>
  </si>
  <si>
    <t>U111</t>
  </si>
  <si>
    <t>U112</t>
  </si>
  <si>
    <t>U113</t>
  </si>
  <si>
    <t>U114</t>
  </si>
  <si>
    <t>U115</t>
  </si>
  <si>
    <t>UM19</t>
  </si>
  <si>
    <t>222.5</t>
  </si>
  <si>
    <t>U116</t>
  </si>
  <si>
    <t>UM14</t>
  </si>
  <si>
    <t>U117</t>
  </si>
  <si>
    <t>U118</t>
  </si>
  <si>
    <t>U119</t>
  </si>
  <si>
    <t>U120</t>
  </si>
  <si>
    <t>171.5</t>
  </si>
  <si>
    <t>U121</t>
  </si>
  <si>
    <t>384.67</t>
  </si>
  <si>
    <t>U122</t>
  </si>
  <si>
    <t>U123</t>
  </si>
  <si>
    <t>U124</t>
  </si>
  <si>
    <t>U125</t>
  </si>
  <si>
    <t>U126</t>
  </si>
  <si>
    <t>UM15</t>
  </si>
  <si>
    <t>U127</t>
  </si>
  <si>
    <t>U128</t>
  </si>
  <si>
    <t>U129</t>
  </si>
  <si>
    <t>U130</t>
  </si>
  <si>
    <t>U131</t>
  </si>
  <si>
    <t>UM21</t>
  </si>
  <si>
    <t>U132</t>
  </si>
  <si>
    <t>U133</t>
  </si>
  <si>
    <t>149.3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</si>
  <si>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</si>
  <si>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</si>
  <si>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</si>
  <si>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</si>
  <si>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</si>
  <si>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</si>
  <si>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</si>
  <si>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</si>
  <si>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</si>
  <si>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</si>
  <si>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</si>
  <si>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</si>
  <si>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</si>
  <si>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</si>
  <si>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</si>
  <si>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</si>
  <si>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</si>
  <si>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</si>
  <si>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UM24</t>
  </si>
  <si>
    <t>U152</t>
  </si>
  <si>
    <t>U153</t>
  </si>
  <si>
    <t>U154</t>
  </si>
  <si>
    <t>U155</t>
  </si>
  <si>
    <t>Tipo 3</t>
  </si>
  <si>
    <t xml:space="preserve">Vacio </t>
  </si>
  <si>
    <t>U156</t>
  </si>
  <si>
    <t>UM 24</t>
  </si>
  <si>
    <t>UM16</t>
  </si>
  <si>
    <t>U158</t>
  </si>
  <si>
    <t>U159</t>
  </si>
  <si>
    <t>U160</t>
  </si>
  <si>
    <t>TIPO 2</t>
  </si>
  <si>
    <t>UM23</t>
  </si>
  <si>
    <t>U179</t>
  </si>
  <si>
    <t>Murio</t>
  </si>
  <si>
    <t>Primer parto crías Perú</t>
  </si>
  <si>
    <t>U162</t>
  </si>
  <si>
    <t>U163</t>
  </si>
  <si>
    <t>U164</t>
  </si>
  <si>
    <t>U165</t>
  </si>
  <si>
    <t>U166</t>
  </si>
  <si>
    <t>U167</t>
  </si>
  <si>
    <t>UM22</t>
  </si>
  <si>
    <t>U168</t>
  </si>
  <si>
    <t>U169</t>
  </si>
  <si>
    <t>U170</t>
  </si>
  <si>
    <t>UM06</t>
  </si>
  <si>
    <t>UM05</t>
  </si>
  <si>
    <t>UM11</t>
  </si>
  <si>
    <t>UM33</t>
  </si>
  <si>
    <t>UM12</t>
  </si>
  <si>
    <t>UM32</t>
  </si>
  <si>
    <t>UM42</t>
  </si>
  <si>
    <t>UM09</t>
  </si>
  <si>
    <t>UM13</t>
  </si>
  <si>
    <t>UM30</t>
  </si>
  <si>
    <t>UM27</t>
  </si>
  <si>
    <t>UM37</t>
  </si>
  <si>
    <t>UM34</t>
  </si>
  <si>
    <t>UM26</t>
  </si>
  <si>
    <t>U161</t>
  </si>
  <si>
    <t>U171</t>
  </si>
  <si>
    <t>U172</t>
  </si>
  <si>
    <t>U173</t>
  </si>
  <si>
    <t>U174</t>
  </si>
  <si>
    <t>U175</t>
  </si>
  <si>
    <t>UM28</t>
  </si>
  <si>
    <t>U176</t>
  </si>
  <si>
    <t>U177</t>
  </si>
  <si>
    <t>U178</t>
  </si>
  <si>
    <t>U181</t>
  </si>
  <si>
    <t>U182</t>
  </si>
  <si>
    <t>U183</t>
  </si>
  <si>
    <t>U184</t>
  </si>
  <si>
    <t>U185</t>
  </si>
  <si>
    <t>Codigo Reproductora</t>
  </si>
  <si>
    <t>U186</t>
  </si>
  <si>
    <t>codigo Reproductora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</si>
  <si>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</si>
  <si>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</si>
  <si>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</si>
  <si>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</si>
  <si>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</si>
  <si>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</si>
  <si>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</si>
  <si>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</si>
  <si>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</si>
  <si>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</si>
  <si>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</si>
  <si>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U201</t>
  </si>
  <si>
    <t>U212</t>
  </si>
  <si>
    <t>U209</t>
  </si>
  <si>
    <t>09/10/205</t>
  </si>
  <si>
    <t>U260</t>
  </si>
  <si>
    <t>U208</t>
  </si>
  <si>
    <t>U207</t>
  </si>
  <si>
    <t>U210</t>
  </si>
  <si>
    <t>U228</t>
  </si>
  <si>
    <t/>
  </si>
  <si>
    <t>U204</t>
  </si>
  <si>
    <t>U205</t>
  </si>
  <si>
    <t>U283</t>
  </si>
  <si>
    <t>U282</t>
  </si>
  <si>
    <t>U286</t>
  </si>
  <si>
    <t>U289</t>
  </si>
  <si>
    <t>U287</t>
  </si>
  <si>
    <t>U263</t>
  </si>
  <si>
    <t>U264</t>
  </si>
  <si>
    <t>U288</t>
  </si>
  <si>
    <t>U227</t>
  </si>
  <si>
    <t>UM31</t>
  </si>
  <si>
    <t>U225</t>
  </si>
  <si>
    <t>U230</t>
  </si>
  <si>
    <t>U229</t>
  </si>
  <si>
    <t>U215</t>
  </si>
  <si>
    <t>U221</t>
  </si>
  <si>
    <t>U236</t>
  </si>
  <si>
    <t>U222</t>
  </si>
  <si>
    <t>U219</t>
  </si>
  <si>
    <t>U224</t>
  </si>
  <si>
    <t>U217</t>
  </si>
  <si>
    <t>U218</t>
  </si>
  <si>
    <t>U272</t>
  </si>
  <si>
    <t>U245</t>
  </si>
  <si>
    <t>U266</t>
  </si>
  <si>
    <t>U232</t>
  </si>
  <si>
    <t>U270</t>
  </si>
  <si>
    <t>U240</t>
  </si>
  <si>
    <t>U246</t>
  </si>
  <si>
    <t>U268</t>
  </si>
  <si>
    <t>U262</t>
  </si>
  <si>
    <t>U271</t>
  </si>
  <si>
    <t>U267</t>
  </si>
  <si>
    <t>U244</t>
  </si>
  <si>
    <t>U231</t>
  </si>
  <si>
    <t>U238</t>
  </si>
  <si>
    <t>U241</t>
  </si>
  <si>
    <t>U234</t>
  </si>
  <si>
    <t>U237</t>
  </si>
  <si>
    <t>U252</t>
  </si>
  <si>
    <t>UM36</t>
  </si>
  <si>
    <t>U250</t>
  </si>
  <si>
    <t>U247</t>
  </si>
  <si>
    <t>U274</t>
  </si>
  <si>
    <t>U276</t>
  </si>
  <si>
    <t>U256</t>
  </si>
  <si>
    <t>U277</t>
  </si>
  <si>
    <t>U248</t>
  </si>
  <si>
    <t>U255</t>
  </si>
  <si>
    <t>U275</t>
  </si>
  <si>
    <t>U254</t>
  </si>
  <si>
    <t>U273</t>
  </si>
  <si>
    <t>U279</t>
  </si>
  <si>
    <t>U292</t>
  </si>
  <si>
    <t>U291</t>
  </si>
  <si>
    <t>U278</t>
  </si>
  <si>
    <t>U293</t>
  </si>
  <si>
    <t>U294</t>
  </si>
  <si>
    <t>U313</t>
  </si>
  <si>
    <t>U281</t>
  </si>
  <si>
    <t>U280</t>
  </si>
  <si>
    <t>U306</t>
  </si>
  <si>
    <t>U305</t>
  </si>
  <si>
    <t>U307</t>
  </si>
  <si>
    <t>U308</t>
  </si>
  <si>
    <t>U300</t>
  </si>
  <si>
    <t>UM29</t>
  </si>
  <si>
    <t>U301</t>
  </si>
  <si>
    <t>U302</t>
  </si>
  <si>
    <t>U303</t>
  </si>
  <si>
    <t>U304</t>
  </si>
  <si>
    <t xml:space="preserve"> </t>
  </si>
  <si>
    <t>UM25</t>
  </si>
  <si>
    <t>Peso en gr+Q89:V90amos al destete</t>
  </si>
  <si>
    <t>Tipo 2</t>
  </si>
  <si>
    <t xml:space="preserve">Tipo 2 </t>
  </si>
  <si>
    <t>Jaula: 19</t>
  </si>
  <si>
    <t>Jaula: 01</t>
  </si>
  <si>
    <t>U102</t>
  </si>
  <si>
    <t>Linea Negra</t>
  </si>
  <si>
    <t>Jaula: D211:W21</t>
  </si>
  <si>
    <t>Peru</t>
  </si>
  <si>
    <t xml:space="preserve">Vacia </t>
  </si>
  <si>
    <t>Macho doble</t>
  </si>
  <si>
    <t>tercer empadre recien va a parir</t>
  </si>
  <si>
    <t xml:space="preserve">Codigo Reproductora: </t>
  </si>
  <si>
    <t>Vacia</t>
  </si>
  <si>
    <t xml:space="preserve">Aborto </t>
  </si>
  <si>
    <t>Aborto</t>
  </si>
  <si>
    <t>Jaula: 13</t>
  </si>
  <si>
    <t>27/20/2025</t>
  </si>
  <si>
    <t xml:space="preserve">Jaula: 01 </t>
  </si>
  <si>
    <t>Jaula 03</t>
  </si>
  <si>
    <t>Jaula: 02</t>
  </si>
  <si>
    <t>Jaula: 05</t>
  </si>
  <si>
    <t>Jaula: 03</t>
  </si>
  <si>
    <t>Jaula: 07</t>
  </si>
  <si>
    <t>Jaula: 06</t>
  </si>
  <si>
    <t>Jaula: 04</t>
  </si>
  <si>
    <t>Jaula: 14</t>
  </si>
  <si>
    <t>Jaula: 15</t>
  </si>
  <si>
    <t>Resulto ser macho</t>
  </si>
  <si>
    <t>Jaula: 16</t>
  </si>
  <si>
    <t>Jaula: 17</t>
  </si>
  <si>
    <t>Jaula: 21</t>
  </si>
  <si>
    <t>Jaula: 18</t>
  </si>
  <si>
    <t>Jaula: 20</t>
  </si>
  <si>
    <t>Jaula: 25</t>
  </si>
  <si>
    <t>Jaula: 26</t>
  </si>
  <si>
    <t>Jaula: 28</t>
  </si>
  <si>
    <t>Jaula: 27</t>
  </si>
  <si>
    <t>Jaula: 31</t>
  </si>
  <si>
    <t>Jaula: 29</t>
  </si>
  <si>
    <t>Jaula: 30</t>
  </si>
  <si>
    <t>Jaula: 37</t>
  </si>
  <si>
    <t>Jaula: 38</t>
  </si>
  <si>
    <t xml:space="preserve">Jaula: 38 </t>
  </si>
  <si>
    <t>Jaula: 39</t>
  </si>
  <si>
    <t>Jaula: 41</t>
  </si>
  <si>
    <t>Jaula: 40</t>
  </si>
  <si>
    <t xml:space="preserve">Jaula: 47  </t>
  </si>
  <si>
    <t>Jaula: 45</t>
  </si>
  <si>
    <t>Jaula: 47</t>
  </si>
  <si>
    <t>Jaula: 48</t>
  </si>
  <si>
    <t>Jaula: 24</t>
  </si>
  <si>
    <t>Jaula: 23</t>
  </si>
  <si>
    <t>Jaula: 08</t>
  </si>
  <si>
    <t>Jaula: 09</t>
  </si>
  <si>
    <t>Jaula: 10</t>
  </si>
  <si>
    <t>Jaula: 22</t>
  </si>
  <si>
    <t>Jaula: 32</t>
  </si>
  <si>
    <t>Jaula: 33</t>
  </si>
  <si>
    <t>Jaula: 34</t>
  </si>
  <si>
    <t>Jaula: 42</t>
  </si>
  <si>
    <t>Jaula: 43</t>
  </si>
  <si>
    <t>Jaula : 43</t>
  </si>
  <si>
    <t>Jaula: 46</t>
  </si>
  <si>
    <t>UM43</t>
  </si>
  <si>
    <t>Codigo Reproductora:</t>
  </si>
  <si>
    <t>Jaula: 44</t>
  </si>
  <si>
    <t>Tipo 4</t>
  </si>
  <si>
    <t>Jaula: 11</t>
  </si>
  <si>
    <t>Mantaro</t>
  </si>
  <si>
    <t>vacia</t>
  </si>
  <si>
    <t>29/2/2025</t>
  </si>
  <si>
    <t xml:space="preserve">vacia </t>
  </si>
  <si>
    <t>04/0182026</t>
  </si>
  <si>
    <t>005/01/2026</t>
  </si>
  <si>
    <t>28/112025</t>
  </si>
  <si>
    <t>U259</t>
  </si>
  <si>
    <t>aborto</t>
  </si>
  <si>
    <t>vendido descarte</t>
  </si>
  <si>
    <t>venddo descarte</t>
  </si>
  <si>
    <t>U330</t>
  </si>
  <si>
    <t>U335</t>
  </si>
  <si>
    <t>U339</t>
  </si>
  <si>
    <t>U338</t>
  </si>
  <si>
    <t>U318</t>
  </si>
  <si>
    <t>U316</t>
  </si>
  <si>
    <t>U328</t>
  </si>
  <si>
    <t>U337</t>
  </si>
  <si>
    <t>U336</t>
  </si>
  <si>
    <t>UM41</t>
  </si>
  <si>
    <t>UM35</t>
  </si>
  <si>
    <t>UM38</t>
  </si>
  <si>
    <t>U319</t>
  </si>
  <si>
    <t>U329</t>
  </si>
  <si>
    <t>U327</t>
  </si>
  <si>
    <t>U331</t>
  </si>
  <si>
    <t>U320</t>
  </si>
  <si>
    <t>U333</t>
  </si>
  <si>
    <t>U332</t>
  </si>
  <si>
    <t>U317</t>
  </si>
  <si>
    <t>Jaula: 12</t>
  </si>
  <si>
    <t>U309</t>
  </si>
  <si>
    <t>U345</t>
  </si>
  <si>
    <t>U348</t>
  </si>
  <si>
    <t>U343</t>
  </si>
  <si>
    <t>U311</t>
  </si>
  <si>
    <t>U310</t>
  </si>
  <si>
    <t>U312</t>
  </si>
  <si>
    <t>U365</t>
  </si>
  <si>
    <t>Jaula: 35</t>
  </si>
  <si>
    <t>U378</t>
  </si>
  <si>
    <t>U374</t>
  </si>
  <si>
    <t>U367</t>
  </si>
  <si>
    <t>U385</t>
  </si>
  <si>
    <t>U370</t>
  </si>
  <si>
    <t>U409</t>
  </si>
  <si>
    <t>Jaula: 36</t>
  </si>
  <si>
    <t>U379</t>
  </si>
  <si>
    <t>U389</t>
  </si>
  <si>
    <t>U410</t>
  </si>
  <si>
    <t>U390</t>
  </si>
  <si>
    <t>U387</t>
  </si>
  <si>
    <t>U359</t>
  </si>
  <si>
    <t xml:space="preserve">MURIO </t>
  </si>
  <si>
    <t>U413</t>
  </si>
  <si>
    <t>U233</t>
  </si>
  <si>
    <t>U239</t>
  </si>
  <si>
    <t>Jaula: 94</t>
  </si>
  <si>
    <t>UM39</t>
  </si>
  <si>
    <t>UM40</t>
  </si>
  <si>
    <t>12/</t>
  </si>
  <si>
    <t>oreja pintada</t>
  </si>
  <si>
    <t>con cria</t>
  </si>
  <si>
    <t>299/03/22</t>
  </si>
  <si>
    <t>cria muert</t>
  </si>
  <si>
    <t>Uum26</t>
  </si>
  <si>
    <t>Jaula: 116</t>
  </si>
  <si>
    <t>27/04/026</t>
  </si>
  <si>
    <t>Jaula: 115</t>
  </si>
  <si>
    <t>Uum01</t>
  </si>
  <si>
    <t xml:space="preserve">Jaula: </t>
  </si>
  <si>
    <t>Jaula: 56</t>
  </si>
  <si>
    <t>U417</t>
  </si>
  <si>
    <t>U414</t>
  </si>
  <si>
    <t>U415</t>
  </si>
  <si>
    <t>U416</t>
  </si>
  <si>
    <t>U444</t>
  </si>
  <si>
    <t>Jaula: 55</t>
  </si>
  <si>
    <t>U443</t>
  </si>
  <si>
    <t>U442</t>
  </si>
  <si>
    <t>U445</t>
  </si>
  <si>
    <t>U440</t>
  </si>
  <si>
    <t>U437</t>
  </si>
  <si>
    <t>Jaula: 54</t>
  </si>
  <si>
    <t>U439</t>
  </si>
  <si>
    <t>U438</t>
  </si>
  <si>
    <t>U479</t>
  </si>
  <si>
    <t>U436</t>
  </si>
  <si>
    <t>U441</t>
  </si>
  <si>
    <t>Jaula: 112</t>
  </si>
  <si>
    <t>U480</t>
  </si>
  <si>
    <t>U481</t>
  </si>
  <si>
    <t>U482</t>
  </si>
  <si>
    <t>U483</t>
  </si>
  <si>
    <t>U484</t>
  </si>
  <si>
    <t>U485</t>
  </si>
  <si>
    <t>U486</t>
  </si>
  <si>
    <t>Jaula: 114</t>
  </si>
  <si>
    <t>U434</t>
  </si>
  <si>
    <t>UM47</t>
  </si>
  <si>
    <t>U433</t>
  </si>
  <si>
    <t>U432</t>
  </si>
  <si>
    <t>U425</t>
  </si>
  <si>
    <t>U426</t>
  </si>
  <si>
    <t>U427</t>
  </si>
  <si>
    <t>U428</t>
  </si>
  <si>
    <t>U429</t>
  </si>
  <si>
    <t>U430</t>
  </si>
  <si>
    <t>U465</t>
  </si>
  <si>
    <t>Jaula: 52</t>
  </si>
  <si>
    <t>U475</t>
  </si>
  <si>
    <t>U466</t>
  </si>
  <si>
    <t>U472</t>
  </si>
  <si>
    <t>U476</t>
  </si>
  <si>
    <t>Jaula: 111</t>
  </si>
  <si>
    <t>U458</t>
  </si>
  <si>
    <t>U459</t>
  </si>
  <si>
    <t>U469</t>
  </si>
  <si>
    <t>U462</t>
  </si>
  <si>
    <t>U471</t>
  </si>
  <si>
    <t>U473</t>
  </si>
  <si>
    <t>U478</t>
  </si>
  <si>
    <t>U488</t>
  </si>
  <si>
    <t>Linea criolla negra</t>
  </si>
  <si>
    <t>UM45</t>
  </si>
  <si>
    <t>U489</t>
  </si>
  <si>
    <t>U431</t>
  </si>
  <si>
    <t>U421</t>
  </si>
  <si>
    <t>U477</t>
  </si>
  <si>
    <t>Jaula: 49</t>
  </si>
  <si>
    <t>U470</t>
  </si>
  <si>
    <t>U463</t>
  </si>
  <si>
    <t>U468</t>
  </si>
  <si>
    <t>U464</t>
  </si>
  <si>
    <t>U474</t>
  </si>
  <si>
    <t>U461</t>
  </si>
  <si>
    <t>Jaula: 50</t>
  </si>
  <si>
    <t>U447</t>
  </si>
  <si>
    <t>U448</t>
  </si>
  <si>
    <t>U457</t>
  </si>
  <si>
    <t>U452</t>
  </si>
  <si>
    <t>U454</t>
  </si>
  <si>
    <t>U451</t>
  </si>
  <si>
    <t>Jaula: 51</t>
  </si>
  <si>
    <t>U449</t>
  </si>
  <si>
    <t>U456</t>
  </si>
  <si>
    <t>U455</t>
  </si>
  <si>
    <t>U450</t>
  </si>
  <si>
    <t>U446</t>
  </si>
  <si>
    <t>U423</t>
  </si>
  <si>
    <t>Jaula: 53</t>
  </si>
  <si>
    <t>U420</t>
  </si>
  <si>
    <t>U419</t>
  </si>
  <si>
    <t>U418</t>
  </si>
  <si>
    <t>U422</t>
  </si>
  <si>
    <t>U424</t>
  </si>
  <si>
    <t>U490</t>
  </si>
  <si>
    <t>U412</t>
  </si>
  <si>
    <t>F. destetar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</si>
</sst>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C00000"/>
      <name val="Aptos"/>
      <family val="2"/>
    </font>
    <font>
      <b/>
      <sz val="18"/>
      <color theme="6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  <font>
      <b/>
      <sz val="12"/>
      <color rgb="FF000000"/>
      <name val="Arial"/>
      <charset val="1"/>
    </font>
    <font>
      <sz val="12"/>
      <color theme="1"/>
      <name val="Arial"/>
    </font>
    <font>
      <b/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rgb="FFFF0000"/>
      <name val="Arial"/>
      <family val="2"/>
    </font>
    <font>
      <b/>
      <sz val="11"/>
      <color theme="3" tint="0.249977111117893"/>
      <name val="Aptos Narrow"/>
      <family val="2"/>
    </font>
    <font>
      <b/>
      <sz val="11"/>
      <color theme="7" tint="-0.499984740745262"/>
      <name val="Arial"/>
      <family val="2"/>
    </font>
    <font>
      <b/>
      <sz val="12"/>
      <color theme="7" tint="-0.499984740745262"/>
      <name val="Arial"/>
      <family val="2"/>
    </font>
    <font>
      <sz val="12"/>
      <color theme="1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b/>
      <sz val="11"/>
      <color theme="7" tint="-0.49998474074526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1" xfId="0" applyFont="1" applyBorder="1"/>
    <xf numFmtId="0" fontId="7" fillId="0" borderId="5" xfId="0" applyFont="1" applyBorder="1"/>
    <xf numFmtId="0" fontId="7" fillId="0" borderId="7" xfId="0" applyFont="1" applyBorder="1"/>
    <xf numFmtId="0" fontId="7" fillId="0" borderId="8" xfId="0" applyFont="1" applyBorder="1"/>
    <xf numFmtId="14" fontId="8" fillId="0" borderId="1" xfId="0" applyNumberFormat="1" applyFont="1" applyBorder="1"/>
    <xf numFmtId="14" fontId="7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10" fillId="0" borderId="0" xfId="0" applyNumberFormat="1" applyFont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/>
    <xf numFmtId="14" fontId="7" fillId="0" borderId="17" xfId="0" applyNumberFormat="1" applyFont="1" applyBorder="1" applyAlignment="1">
      <alignment horizontal="center"/>
    </xf>
    <xf numFmtId="0" fontId="7" fillId="0" borderId="14" xfId="0" applyFont="1" applyBorder="1"/>
    <xf numFmtId="14" fontId="10" fillId="0" borderId="0" xfId="0" applyNumberFormat="1" applyFont="1" applyAlignment="1">
      <alignment horizontal="center" wrapText="1"/>
    </xf>
    <xf numFmtId="0" fontId="7" fillId="0" borderId="18" xfId="0" applyFont="1" applyBorder="1" applyAlignment="1">
      <alignment horizontal="center"/>
    </xf>
    <xf numFmtId="0" fontId="7" fillId="0" borderId="18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7" fillId="0" borderId="1" xfId="0" applyNumberFormat="1" applyFont="1" applyBorder="1"/>
    <xf numFmtId="164" fontId="7" fillId="0" borderId="5" xfId="0" applyNumberFormat="1" applyFont="1" applyBorder="1"/>
    <xf numFmtId="0" fontId="4" fillId="2" borderId="4" xfId="0" applyFont="1" applyFill="1" applyBorder="1" applyAlignment="1">
      <alignment horizontal="center" vertical="center"/>
    </xf>
    <xf numFmtId="14" fontId="7" fillId="0" borderId="1" xfId="0" quotePrefix="1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5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4" fontId="17" fillId="0" borderId="0" xfId="0" applyNumberFormat="1" applyFont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7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14" fontId="17" fillId="0" borderId="0" xfId="0" applyNumberFormat="1" applyFont="1"/>
    <xf numFmtId="164" fontId="7" fillId="0" borderId="8" xfId="0" applyNumberFormat="1" applyFont="1" applyBorder="1"/>
    <xf numFmtId="164" fontId="7" fillId="0" borderId="7" xfId="0" applyNumberFormat="1" applyFont="1" applyBorder="1"/>
    <xf numFmtId="0" fontId="4" fillId="0" borderId="18" xfId="0" applyFont="1" applyBorder="1" applyAlignment="1">
      <alignment vertical="center" wrapText="1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14" fontId="17" fillId="0" borderId="17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14" fontId="0" fillId="0" borderId="0" xfId="0" applyNumberFormat="1"/>
    <xf numFmtId="0" fontId="7" fillId="0" borderId="27" xfId="0" applyFont="1" applyBorder="1"/>
    <xf numFmtId="164" fontId="4" fillId="0" borderId="18" xfId="0" applyNumberFormat="1" applyFont="1" applyBorder="1" applyAlignment="1">
      <alignment horizontal="center" vertical="center" wrapText="1"/>
    </xf>
    <xf numFmtId="164" fontId="4" fillId="0" borderId="18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14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14" fontId="19" fillId="0" borderId="0" xfId="0" applyNumberFormat="1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1" fillId="0" borderId="0" xfId="0" applyFont="1"/>
    <xf numFmtId="0" fontId="20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" fontId="7" fillId="0" borderId="5" xfId="0" applyNumberFormat="1" applyFont="1" applyBorder="1"/>
    <xf numFmtId="1" fontId="22" fillId="0" borderId="18" xfId="0" applyNumberFormat="1" applyFont="1" applyBorder="1" applyAlignment="1">
      <alignment horizontal="center" vertical="center" wrapText="1"/>
    </xf>
    <xf numFmtId="0" fontId="1" fillId="3" borderId="0" xfId="0" applyFont="1" applyFill="1"/>
    <xf numFmtId="0" fontId="0" fillId="3" borderId="0" xfId="0" applyFill="1"/>
    <xf numFmtId="0" fontId="2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0" borderId="24" xfId="0" applyFont="1" applyBorder="1" applyAlignment="1">
      <alignment horizontal="center" wrapText="1"/>
    </xf>
    <xf numFmtId="0" fontId="1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13" fillId="0" borderId="1" xfId="0" applyFont="1" applyBorder="1"/>
    <xf numFmtId="0" fontId="6" fillId="2" borderId="10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14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3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6" borderId="24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7" borderId="24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8" borderId="24" xfId="0" applyFont="1" applyFill="1" applyBorder="1" applyAlignment="1">
      <alignment horizontal="center"/>
    </xf>
    <xf numFmtId="0" fontId="6" fillId="9" borderId="10" xfId="0" applyFont="1" applyFill="1" applyBorder="1" applyAlignment="1">
      <alignment horizontal="center"/>
    </xf>
    <xf numFmtId="0" fontId="6" fillId="9" borderId="24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10" borderId="10" xfId="0" applyFont="1" applyFill="1" applyBorder="1" applyAlignment="1">
      <alignment horizontal="center"/>
    </xf>
    <xf numFmtId="0" fontId="6" fillId="10" borderId="2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11" borderId="24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11" borderId="1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12" borderId="10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456B-129C-47CA-B4A5-B5C54D79B1D8}">
  <dimension ref="A1:X240"/>
  <sheetViews>
    <sheetView topLeftCell="A154" workbookViewId="0">
      <selection activeCell="E147" sqref="E147:F147"/>
    </sheetView>
  </sheetViews>
  <sheetFormatPr baseColWidth="10" defaultColWidth="11.42578125" defaultRowHeight="15" x14ac:dyDescent="0.25"/>
  <cols>
    <col min="1" max="1" width="7.5703125" customWidth="1"/>
    <col min="2" max="2" width="12.28515625" customWidth="1"/>
    <col min="3" max="3" width="13" customWidth="1"/>
    <col min="4" max="4" width="12.5703125" bestFit="1" customWidth="1"/>
    <col min="6" max="6" width="11.28515625" customWidth="1"/>
    <col min="7" max="7" width="5.7109375" customWidth="1"/>
    <col min="8" max="9" width="5.28515625" customWidth="1"/>
    <col min="10" max="10" width="6" customWidth="1"/>
    <col min="11" max="11" width="5.140625" customWidth="1"/>
    <col min="12" max="12" width="5.28515625" customWidth="1"/>
    <col min="13" max="13" width="9.5703125" customWidth="1"/>
    <col min="14" max="14" width="13.42578125" customWidth="1"/>
    <col min="15" max="15" width="9.5703125" customWidth="1"/>
    <col min="16" max="16" width="10.7109375" customWidth="1"/>
    <col min="17" max="17" width="5.7109375" customWidth="1"/>
    <col min="18" max="20" width="5.28515625" customWidth="1"/>
    <col min="21" max="21" width="5" customWidth="1"/>
    <col min="22" max="22" width="5.5703125" customWidth="1"/>
  </cols>
  <sheetData>
    <row r="1" spans="1:24" s="4" customFormat="1" ht="20.100000000000001" customHeight="1" x14ac:dyDescent="0.3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s="2" customFormat="1" ht="30" customHeight="1" thickBot="1" x14ac:dyDescent="0.3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4" ht="20.100000000000001" customHeight="1" x14ac:dyDescent="0.25">
      <c r="A3" s="100" t="s">
        <v>2</v>
      </c>
      <c r="B3" s="101"/>
      <c r="C3" s="119" t="s">
        <v>3</v>
      </c>
      <c r="D3" s="120"/>
      <c r="E3" s="111" t="s">
        <v>362</v>
      </c>
      <c r="F3" s="112"/>
      <c r="G3" s="101" t="s">
        <v>4</v>
      </c>
      <c r="H3" s="101"/>
      <c r="I3" s="102" t="s">
        <v>5</v>
      </c>
      <c r="J3" s="102"/>
      <c r="K3" s="102"/>
      <c r="L3" s="102"/>
      <c r="M3" s="102"/>
      <c r="N3" s="102"/>
      <c r="O3" s="101" t="s">
        <v>6</v>
      </c>
      <c r="P3" s="101"/>
      <c r="Q3" s="103"/>
      <c r="R3" s="104"/>
      <c r="S3" s="104"/>
      <c r="T3" s="104"/>
      <c r="U3" s="104"/>
      <c r="V3" s="104"/>
      <c r="W3" s="105"/>
      <c r="X3" s="1"/>
    </row>
    <row r="4" spans="1:24" ht="20.100000000000001" customHeight="1" x14ac:dyDescent="0.25">
      <c r="A4" s="106" t="s">
        <v>7</v>
      </c>
      <c r="B4" s="107"/>
      <c r="C4" s="116" t="s">
        <v>44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09"/>
      <c r="P4" s="109"/>
      <c r="Q4" s="107"/>
      <c r="R4" s="107"/>
      <c r="S4" s="107"/>
      <c r="T4" s="107"/>
      <c r="U4" s="107"/>
      <c r="V4" s="107"/>
      <c r="W4" s="110"/>
      <c r="X4" s="1"/>
    </row>
    <row r="5" spans="1:24" ht="24.95" customHeight="1" x14ac:dyDescent="0.25">
      <c r="A5" s="113" t="s">
        <v>8</v>
      </c>
      <c r="B5" s="114" t="s">
        <v>9</v>
      </c>
      <c r="C5" s="114" t="s">
        <v>10</v>
      </c>
      <c r="D5" s="114" t="s">
        <v>11</v>
      </c>
      <c r="E5" s="114" t="s">
        <v>12</v>
      </c>
      <c r="F5" s="114" t="s">
        <v>13</v>
      </c>
      <c r="G5" s="114" t="s">
        <v>14</v>
      </c>
      <c r="H5" s="114"/>
      <c r="I5" s="114"/>
      <c r="J5" s="114"/>
      <c r="K5" s="114"/>
      <c r="L5" s="114"/>
      <c r="M5" s="114" t="s">
        <v>15</v>
      </c>
      <c r="N5" s="114" t="s">
        <v>16</v>
      </c>
      <c r="O5" s="114" t="s">
        <v>17</v>
      </c>
      <c r="P5" s="114" t="s">
        <v>18</v>
      </c>
      <c r="Q5" s="114" t="s">
        <v>19</v>
      </c>
      <c r="R5" s="114"/>
      <c r="S5" s="114"/>
      <c r="T5" s="114"/>
      <c r="U5" s="114"/>
      <c r="V5" s="114"/>
      <c r="W5" s="115" t="s">
        <v>20</v>
      </c>
      <c r="X5" s="3"/>
    </row>
    <row r="6" spans="1:24" ht="24.95" customHeight="1" x14ac:dyDescent="0.25">
      <c r="A6" s="113"/>
      <c r="B6" s="114"/>
      <c r="C6" s="114"/>
      <c r="D6" s="114"/>
      <c r="E6" s="114"/>
      <c r="F6" s="114"/>
      <c r="G6" s="31" t="s">
        <v>21</v>
      </c>
      <c r="H6" s="31" t="s">
        <v>21</v>
      </c>
      <c r="I6" s="31" t="s">
        <v>21</v>
      </c>
      <c r="J6" s="31" t="s">
        <v>22</v>
      </c>
      <c r="K6" s="31" t="s">
        <v>22</v>
      </c>
      <c r="L6" s="31" t="s">
        <v>22</v>
      </c>
      <c r="M6" s="114"/>
      <c r="N6" s="114"/>
      <c r="O6" s="114"/>
      <c r="P6" s="114"/>
      <c r="Q6" s="31" t="s">
        <v>21</v>
      </c>
      <c r="R6" s="31" t="s">
        <v>21</v>
      </c>
      <c r="S6" s="31" t="s">
        <v>21</v>
      </c>
      <c r="T6" s="31" t="s">
        <v>22</v>
      </c>
      <c r="U6" s="31" t="s">
        <v>22</v>
      </c>
      <c r="V6" s="31" t="s">
        <v>22</v>
      </c>
      <c r="W6" s="115"/>
      <c r="X6" s="3"/>
    </row>
    <row r="7" spans="1:24" ht="17.25" customHeight="1" x14ac:dyDescent="0.25">
      <c r="A7" s="5">
        <v>1</v>
      </c>
      <c r="B7" s="21" t="s">
        <v>23</v>
      </c>
      <c r="C7" s="13">
        <v>45738</v>
      </c>
      <c r="D7" s="20">
        <v>45812</v>
      </c>
      <c r="E7" s="21">
        <v>3</v>
      </c>
      <c r="F7" s="21">
        <v>0</v>
      </c>
      <c r="G7" s="21">
        <v>120</v>
      </c>
      <c r="H7" s="21">
        <v>111</v>
      </c>
      <c r="I7" s="21"/>
      <c r="J7" s="21">
        <v>106</v>
      </c>
      <c r="K7" s="21"/>
      <c r="L7" s="21"/>
      <c r="M7" s="21">
        <f>AVERAGE(G7,H7,J7)</f>
        <v>112.33333333333333</v>
      </c>
      <c r="N7" s="20">
        <v>45833</v>
      </c>
      <c r="O7" s="21">
        <v>3</v>
      </c>
      <c r="P7" s="21"/>
      <c r="Q7" s="21">
        <v>306</v>
      </c>
      <c r="R7" s="21">
        <v>210</v>
      </c>
      <c r="S7" s="21"/>
      <c r="T7" s="21">
        <v>213</v>
      </c>
      <c r="U7" s="21"/>
      <c r="V7" s="21"/>
      <c r="W7" s="22">
        <f>AVERAGE(Q7,R7,T7)</f>
        <v>243</v>
      </c>
    </row>
    <row r="8" spans="1:24" ht="16.5" customHeight="1" x14ac:dyDescent="0.25">
      <c r="A8" s="6">
        <v>2</v>
      </c>
      <c r="B8" s="21" t="s">
        <v>24</v>
      </c>
      <c r="C8" s="13">
        <v>45851</v>
      </c>
      <c r="D8" s="20">
        <v>45919</v>
      </c>
      <c r="E8" s="21">
        <v>4</v>
      </c>
      <c r="F8" s="21">
        <v>1</v>
      </c>
      <c r="G8" s="21">
        <v>144</v>
      </c>
      <c r="H8" s="21"/>
      <c r="I8" s="21"/>
      <c r="J8" s="21">
        <v>136</v>
      </c>
      <c r="K8" s="21">
        <v>86</v>
      </c>
      <c r="L8" s="21"/>
      <c r="M8" s="21">
        <f>AVERAGE(G8:L8)</f>
        <v>122</v>
      </c>
      <c r="N8" s="20">
        <v>45944</v>
      </c>
      <c r="O8" s="21">
        <v>3</v>
      </c>
      <c r="P8" s="21">
        <v>0</v>
      </c>
      <c r="Q8" s="21">
        <v>315</v>
      </c>
      <c r="R8" s="21">
        <f>AVERAGE(G8:M8)</f>
        <v>122</v>
      </c>
      <c r="S8" s="21"/>
      <c r="T8" s="21">
        <v>400</v>
      </c>
      <c r="U8" s="21">
        <v>239</v>
      </c>
      <c r="V8" s="21"/>
      <c r="W8" s="22">
        <f>AVERAGE(Q8:V8)</f>
        <v>269</v>
      </c>
    </row>
    <row r="9" spans="1:24" ht="15.75" customHeight="1" x14ac:dyDescent="0.25">
      <c r="A9" s="6">
        <v>3</v>
      </c>
      <c r="B9" s="21"/>
      <c r="C9" s="8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2"/>
    </row>
    <row r="10" spans="1:24" ht="15.75" customHeight="1" x14ac:dyDescent="0.25">
      <c r="A10" s="5">
        <v>4</v>
      </c>
      <c r="B10" s="21"/>
      <c r="C10" s="8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2"/>
    </row>
    <row r="11" spans="1:24" ht="15.75" customHeight="1" x14ac:dyDescent="0.25">
      <c r="A11" s="5">
        <v>5</v>
      </c>
      <c r="B11" s="21"/>
      <c r="C11" s="8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2"/>
    </row>
    <row r="12" spans="1:24" ht="15" customHeight="1" thickBot="1" x14ac:dyDescent="0.3">
      <c r="A12" s="7">
        <v>6</v>
      </c>
      <c r="B12" s="37"/>
      <c r="C12" s="10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9"/>
    </row>
    <row r="13" spans="1:24" ht="20.100000000000001" customHeight="1" x14ac:dyDescent="0.25"/>
    <row r="14" spans="1:24" ht="20.100000000000001" customHeight="1" thickBot="1" x14ac:dyDescent="0.3"/>
    <row r="15" spans="1:24" ht="20.100000000000001" customHeight="1" x14ac:dyDescent="0.25">
      <c r="A15" s="100" t="s">
        <v>2</v>
      </c>
      <c r="B15" s="101"/>
      <c r="C15" s="111" t="s">
        <v>25</v>
      </c>
      <c r="D15" s="112"/>
      <c r="E15" s="111" t="s">
        <v>376</v>
      </c>
      <c r="F15" s="112"/>
      <c r="G15" s="101" t="s">
        <v>4</v>
      </c>
      <c r="H15" s="101"/>
      <c r="I15" s="102" t="s">
        <v>5</v>
      </c>
      <c r="J15" s="102"/>
      <c r="K15" s="102"/>
      <c r="L15" s="102"/>
      <c r="M15" s="102"/>
      <c r="N15" s="102"/>
      <c r="O15" s="101" t="s">
        <v>6</v>
      </c>
      <c r="P15" s="101"/>
      <c r="Q15" s="103"/>
      <c r="R15" s="104"/>
      <c r="S15" s="104"/>
      <c r="T15" s="104"/>
      <c r="U15" s="104"/>
      <c r="V15" s="104"/>
      <c r="W15" s="105"/>
      <c r="X15" s="1"/>
    </row>
    <row r="16" spans="1:24" ht="20.100000000000001" customHeight="1" x14ac:dyDescent="0.25">
      <c r="A16" s="106" t="s">
        <v>7</v>
      </c>
      <c r="B16" s="107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7"/>
      <c r="R16" s="107"/>
      <c r="S16" s="107"/>
      <c r="T16" s="107"/>
      <c r="U16" s="107"/>
      <c r="V16" s="107"/>
      <c r="W16" s="110"/>
      <c r="X16" s="1"/>
    </row>
    <row r="17" spans="1:24" ht="24.95" customHeight="1" x14ac:dyDescent="0.25">
      <c r="A17" s="113" t="s">
        <v>8</v>
      </c>
      <c r="B17" s="114" t="s">
        <v>9</v>
      </c>
      <c r="C17" s="114" t="s">
        <v>10</v>
      </c>
      <c r="D17" s="114" t="s">
        <v>11</v>
      </c>
      <c r="E17" s="114" t="s">
        <v>12</v>
      </c>
      <c r="F17" s="114" t="s">
        <v>13</v>
      </c>
      <c r="G17" s="114" t="s">
        <v>14</v>
      </c>
      <c r="H17" s="114"/>
      <c r="I17" s="114"/>
      <c r="J17" s="114"/>
      <c r="K17" s="114"/>
      <c r="L17" s="114"/>
      <c r="M17" s="114" t="s">
        <v>15</v>
      </c>
      <c r="N17" s="114" t="s">
        <v>16</v>
      </c>
      <c r="O17" s="114" t="s">
        <v>17</v>
      </c>
      <c r="P17" s="114" t="s">
        <v>18</v>
      </c>
      <c r="Q17" s="114" t="s">
        <v>19</v>
      </c>
      <c r="R17" s="114"/>
      <c r="S17" s="114"/>
      <c r="T17" s="114"/>
      <c r="U17" s="114"/>
      <c r="V17" s="114"/>
      <c r="W17" s="115" t="s">
        <v>20</v>
      </c>
      <c r="X17" s="3"/>
    </row>
    <row r="18" spans="1:24" ht="24.95" customHeight="1" x14ac:dyDescent="0.25">
      <c r="A18" s="113"/>
      <c r="B18" s="114"/>
      <c r="C18" s="114"/>
      <c r="D18" s="114"/>
      <c r="E18" s="114"/>
      <c r="F18" s="114"/>
      <c r="G18" s="31" t="s">
        <v>21</v>
      </c>
      <c r="H18" s="31" t="s">
        <v>21</v>
      </c>
      <c r="I18" s="31" t="s">
        <v>21</v>
      </c>
      <c r="J18" s="31" t="s">
        <v>22</v>
      </c>
      <c r="K18" s="31" t="s">
        <v>22</v>
      </c>
      <c r="L18" s="31" t="s">
        <v>22</v>
      </c>
      <c r="M18" s="114"/>
      <c r="N18" s="114"/>
      <c r="O18" s="114"/>
      <c r="P18" s="114"/>
      <c r="Q18" s="31" t="s">
        <v>21</v>
      </c>
      <c r="R18" s="31" t="s">
        <v>21</v>
      </c>
      <c r="S18" s="31" t="s">
        <v>21</v>
      </c>
      <c r="T18" s="31" t="s">
        <v>22</v>
      </c>
      <c r="U18" s="31" t="s">
        <v>22</v>
      </c>
      <c r="V18" s="31" t="s">
        <v>22</v>
      </c>
      <c r="W18" s="115"/>
      <c r="X18" s="3"/>
    </row>
    <row r="19" spans="1:24" ht="17.25" customHeight="1" x14ac:dyDescent="0.25">
      <c r="A19" s="5">
        <v>1</v>
      </c>
      <c r="B19" s="21" t="s">
        <v>23</v>
      </c>
      <c r="C19" s="13">
        <v>45738</v>
      </c>
      <c r="D19" s="20">
        <v>45806</v>
      </c>
      <c r="E19" s="21">
        <v>2</v>
      </c>
      <c r="F19" s="21">
        <v>0</v>
      </c>
      <c r="G19" s="21">
        <v>144</v>
      </c>
      <c r="H19" s="21"/>
      <c r="I19" s="21"/>
      <c r="J19" s="21">
        <v>142</v>
      </c>
      <c r="K19" s="21"/>
      <c r="L19" s="21"/>
      <c r="M19" s="21">
        <f>AVERAGE(J19,G19)</f>
        <v>143</v>
      </c>
      <c r="N19" s="20">
        <v>45833</v>
      </c>
      <c r="O19" s="21">
        <v>2</v>
      </c>
      <c r="P19" s="21"/>
      <c r="Q19" s="21">
        <v>293</v>
      </c>
      <c r="R19" s="21"/>
      <c r="S19" s="21"/>
      <c r="T19" s="21">
        <v>357</v>
      </c>
      <c r="U19" s="21"/>
      <c r="V19" s="21"/>
      <c r="W19" s="22">
        <f>AVERAGE(T19,Q19)</f>
        <v>325</v>
      </c>
    </row>
    <row r="20" spans="1:24" ht="15.75" customHeight="1" x14ac:dyDescent="0.25">
      <c r="A20" s="6">
        <v>2</v>
      </c>
      <c r="B20" s="21" t="s">
        <v>24</v>
      </c>
      <c r="C20" s="13">
        <v>45851</v>
      </c>
      <c r="D20" s="20">
        <v>45920</v>
      </c>
      <c r="E20" s="21">
        <v>4</v>
      </c>
      <c r="F20" s="21">
        <v>0</v>
      </c>
      <c r="G20" s="21">
        <v>138</v>
      </c>
      <c r="H20" s="21"/>
      <c r="I20" s="21"/>
      <c r="J20" s="21">
        <v>89</v>
      </c>
      <c r="K20" s="21">
        <v>120</v>
      </c>
      <c r="L20" s="21">
        <v>127</v>
      </c>
      <c r="M20" s="80">
        <f>AVERAGE(G20:L20)</f>
        <v>118.5</v>
      </c>
      <c r="N20" s="20">
        <v>45944</v>
      </c>
      <c r="O20" s="21">
        <v>2</v>
      </c>
      <c r="P20" s="21">
        <v>2</v>
      </c>
      <c r="Q20" s="21">
        <v>269</v>
      </c>
      <c r="R20" s="21"/>
      <c r="S20" s="21"/>
      <c r="T20" s="21"/>
      <c r="U20" s="21"/>
      <c r="V20" s="21">
        <v>284</v>
      </c>
      <c r="W20" s="68">
        <f>AVERAGE(Q20:V20)</f>
        <v>276.5</v>
      </c>
    </row>
    <row r="21" spans="1:24" ht="16.5" customHeight="1" x14ac:dyDescent="0.25">
      <c r="A21" s="6">
        <v>3</v>
      </c>
      <c r="B21" s="21" t="s">
        <v>29</v>
      </c>
      <c r="C21" s="13">
        <v>45950</v>
      </c>
      <c r="D21" s="20">
        <v>46024</v>
      </c>
      <c r="E21" s="21">
        <v>2</v>
      </c>
      <c r="F21" s="21">
        <v>0</v>
      </c>
      <c r="G21" s="21">
        <v>150</v>
      </c>
      <c r="H21" s="21">
        <v>162</v>
      </c>
      <c r="I21" s="21"/>
      <c r="J21" s="21"/>
      <c r="K21" s="21"/>
      <c r="L21" s="21"/>
      <c r="M21" s="21">
        <f>AVERAGE(G21:L21)</f>
        <v>156</v>
      </c>
      <c r="N21" s="20">
        <v>46039</v>
      </c>
      <c r="O21" s="21">
        <v>2</v>
      </c>
      <c r="P21" s="21">
        <v>0</v>
      </c>
      <c r="Q21" s="21">
        <v>302</v>
      </c>
      <c r="R21" s="21">
        <v>427</v>
      </c>
      <c r="S21" s="21"/>
      <c r="T21" s="21"/>
      <c r="U21" s="21"/>
      <c r="V21" s="21"/>
      <c r="W21" s="68">
        <f>AVERAGE(Q21:V21)</f>
        <v>364.5</v>
      </c>
    </row>
    <row r="22" spans="1:24" ht="15" customHeight="1" x14ac:dyDescent="0.25">
      <c r="A22" s="5">
        <v>4</v>
      </c>
      <c r="B22" s="21" t="s">
        <v>29</v>
      </c>
      <c r="C22" s="13">
        <v>46070</v>
      </c>
      <c r="D22" s="20">
        <v>46155</v>
      </c>
      <c r="E22" s="21">
        <v>4</v>
      </c>
      <c r="F22" s="21">
        <v>0</v>
      </c>
      <c r="G22" s="21">
        <v>120</v>
      </c>
      <c r="H22" s="21">
        <v>115</v>
      </c>
      <c r="I22" s="21">
        <v>110</v>
      </c>
      <c r="J22" s="21">
        <v>117</v>
      </c>
      <c r="K22" s="21"/>
      <c r="L22" s="21"/>
      <c r="M22" s="80">
        <f>AVERAGE(G22:L22)</f>
        <v>115.5</v>
      </c>
      <c r="N22" s="20">
        <v>46176</v>
      </c>
      <c r="O22" s="21">
        <v>4</v>
      </c>
      <c r="P22" s="21">
        <v>0</v>
      </c>
      <c r="Q22" s="21">
        <v>268</v>
      </c>
      <c r="R22" s="21">
        <v>250</v>
      </c>
      <c r="S22" s="21">
        <v>242</v>
      </c>
      <c r="T22" s="21">
        <v>248</v>
      </c>
      <c r="U22" s="21"/>
      <c r="V22" s="21"/>
      <c r="W22" s="22">
        <f>AVERAGE(Q22:V22)</f>
        <v>252</v>
      </c>
    </row>
    <row r="23" spans="1:24" ht="15" customHeight="1" x14ac:dyDescent="0.25">
      <c r="A23" s="5">
        <v>5</v>
      </c>
      <c r="B23" s="21" t="s">
        <v>29</v>
      </c>
      <c r="C23" s="13">
        <v>46181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4" ht="15" customHeight="1" thickBot="1" x14ac:dyDescent="0.3">
      <c r="A24" s="7">
        <v>6</v>
      </c>
      <c r="B24" s="37"/>
      <c r="C24" s="10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9"/>
    </row>
    <row r="25" spans="1:24" ht="20.100000000000001" customHeight="1" x14ac:dyDescent="0.25"/>
    <row r="26" spans="1:24" ht="20.100000000000001" customHeight="1" thickBot="1" x14ac:dyDescent="0.3"/>
    <row r="27" spans="1:24" ht="20.100000000000001" customHeight="1" x14ac:dyDescent="0.25">
      <c r="A27" s="100" t="s">
        <v>2</v>
      </c>
      <c r="B27" s="101"/>
      <c r="C27" s="111" t="s">
        <v>26</v>
      </c>
      <c r="D27" s="112"/>
      <c r="E27" s="111" t="s">
        <v>377</v>
      </c>
      <c r="F27" s="112"/>
      <c r="G27" s="101" t="s">
        <v>4</v>
      </c>
      <c r="H27" s="101"/>
      <c r="I27" s="102" t="s">
        <v>5</v>
      </c>
      <c r="J27" s="102"/>
      <c r="K27" s="102"/>
      <c r="L27" s="102"/>
      <c r="M27" s="102"/>
      <c r="N27" s="102"/>
      <c r="O27" s="101" t="s">
        <v>6</v>
      </c>
      <c r="P27" s="101"/>
      <c r="Q27" s="103"/>
      <c r="R27" s="104"/>
      <c r="S27" s="104"/>
      <c r="T27" s="104"/>
      <c r="U27" s="104"/>
      <c r="V27" s="104"/>
      <c r="W27" s="105"/>
      <c r="X27" s="1"/>
    </row>
    <row r="28" spans="1:24" ht="20.100000000000001" customHeight="1" x14ac:dyDescent="0.25">
      <c r="A28" s="106" t="s">
        <v>7</v>
      </c>
      <c r="B28" s="107"/>
      <c r="C28" s="116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09"/>
      <c r="P28" s="109"/>
      <c r="Q28" s="107"/>
      <c r="R28" s="107"/>
      <c r="S28" s="107"/>
      <c r="T28" s="107"/>
      <c r="U28" s="107"/>
      <c r="V28" s="107"/>
      <c r="W28" s="110"/>
      <c r="X28" s="1"/>
    </row>
    <row r="29" spans="1:24" ht="24.95" customHeight="1" x14ac:dyDescent="0.25">
      <c r="A29" s="113" t="s">
        <v>8</v>
      </c>
      <c r="B29" s="114" t="s">
        <v>9</v>
      </c>
      <c r="C29" s="114" t="s">
        <v>10</v>
      </c>
      <c r="D29" s="114" t="s">
        <v>11</v>
      </c>
      <c r="E29" s="114" t="s">
        <v>12</v>
      </c>
      <c r="F29" s="114" t="s">
        <v>13</v>
      </c>
      <c r="G29" s="114" t="s">
        <v>14</v>
      </c>
      <c r="H29" s="114"/>
      <c r="I29" s="114"/>
      <c r="J29" s="114"/>
      <c r="K29" s="114"/>
      <c r="L29" s="114"/>
      <c r="M29" s="114" t="s">
        <v>15</v>
      </c>
      <c r="N29" s="114" t="s">
        <v>16</v>
      </c>
      <c r="O29" s="114" t="s">
        <v>17</v>
      </c>
      <c r="P29" s="114" t="s">
        <v>18</v>
      </c>
      <c r="Q29" s="114" t="s">
        <v>19</v>
      </c>
      <c r="R29" s="114"/>
      <c r="S29" s="114"/>
      <c r="T29" s="114"/>
      <c r="U29" s="114"/>
      <c r="V29" s="114"/>
      <c r="W29" s="115" t="s">
        <v>20</v>
      </c>
      <c r="X29" s="3"/>
    </row>
    <row r="30" spans="1:24" ht="24.95" customHeight="1" x14ac:dyDescent="0.25">
      <c r="A30" s="113"/>
      <c r="B30" s="114"/>
      <c r="C30" s="114"/>
      <c r="D30" s="114"/>
      <c r="E30" s="114"/>
      <c r="F30" s="114"/>
      <c r="G30" s="31" t="s">
        <v>21</v>
      </c>
      <c r="H30" s="31" t="s">
        <v>21</v>
      </c>
      <c r="I30" s="31" t="s">
        <v>21</v>
      </c>
      <c r="J30" s="31" t="s">
        <v>22</v>
      </c>
      <c r="K30" s="31" t="s">
        <v>22</v>
      </c>
      <c r="L30" s="31" t="s">
        <v>22</v>
      </c>
      <c r="M30" s="114"/>
      <c r="N30" s="114"/>
      <c r="O30" s="114"/>
      <c r="P30" s="114"/>
      <c r="Q30" s="31" t="s">
        <v>21</v>
      </c>
      <c r="R30" s="31" t="s">
        <v>21</v>
      </c>
      <c r="S30" s="31" t="s">
        <v>21</v>
      </c>
      <c r="T30" s="31" t="s">
        <v>22</v>
      </c>
      <c r="U30" s="31" t="s">
        <v>22</v>
      </c>
      <c r="V30" s="31" t="s">
        <v>22</v>
      </c>
      <c r="W30" s="115"/>
      <c r="X30" s="3"/>
    </row>
    <row r="31" spans="1:24" ht="15.75" customHeight="1" x14ac:dyDescent="0.25">
      <c r="A31" s="5">
        <v>1</v>
      </c>
      <c r="B31" s="21" t="s">
        <v>27</v>
      </c>
      <c r="C31" s="13">
        <v>45738</v>
      </c>
      <c r="D31" s="8" t="s">
        <v>28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</row>
    <row r="32" spans="1:24" ht="15.75" customHeight="1" x14ac:dyDescent="0.25">
      <c r="A32" s="6">
        <v>2</v>
      </c>
      <c r="B32" s="21" t="s">
        <v>29</v>
      </c>
      <c r="C32" s="13">
        <v>45851</v>
      </c>
      <c r="D32" s="13">
        <v>45926</v>
      </c>
      <c r="E32" s="21">
        <v>3</v>
      </c>
      <c r="F32" s="21">
        <v>3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2"/>
    </row>
    <row r="33" spans="1:24" ht="18" customHeight="1" x14ac:dyDescent="0.25">
      <c r="A33" s="6">
        <v>3</v>
      </c>
      <c r="B33" s="21" t="s">
        <v>231</v>
      </c>
      <c r="C33" s="13">
        <v>45950</v>
      </c>
      <c r="D33" s="13">
        <v>46027</v>
      </c>
      <c r="E33" s="21">
        <v>2</v>
      </c>
      <c r="F33" s="21">
        <v>2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2"/>
    </row>
    <row r="34" spans="1:24" ht="17.25" customHeight="1" x14ac:dyDescent="0.25">
      <c r="A34" s="5">
        <v>4</v>
      </c>
      <c r="B34" s="21" t="s">
        <v>231</v>
      </c>
      <c r="C34" s="13">
        <v>46039</v>
      </c>
      <c r="D34" s="13">
        <v>46110</v>
      </c>
      <c r="E34" s="21">
        <v>4</v>
      </c>
      <c r="F34" s="21">
        <v>1</v>
      </c>
      <c r="G34" s="21">
        <v>90</v>
      </c>
      <c r="H34" s="21">
        <v>106</v>
      </c>
      <c r="I34" s="21"/>
      <c r="J34" s="21">
        <v>132</v>
      </c>
      <c r="K34" s="21"/>
      <c r="L34" s="21"/>
      <c r="M34" s="41">
        <f>AVERAGE(G34:L34)</f>
        <v>109.33333333333333</v>
      </c>
      <c r="N34" s="20">
        <v>46133</v>
      </c>
      <c r="O34" s="21">
        <v>3</v>
      </c>
      <c r="P34" s="21">
        <v>0</v>
      </c>
      <c r="Q34" s="21">
        <v>291</v>
      </c>
      <c r="R34" s="21">
        <v>358</v>
      </c>
      <c r="S34" s="21"/>
      <c r="T34" s="21">
        <v>312</v>
      </c>
      <c r="U34" s="21"/>
      <c r="V34" s="21"/>
      <c r="W34" s="40">
        <f>AVERAGE(Q34:V34)</f>
        <v>320.33333333333331</v>
      </c>
    </row>
    <row r="35" spans="1:24" ht="18" customHeight="1" x14ac:dyDescent="0.25">
      <c r="A35" s="5">
        <v>5</v>
      </c>
      <c r="B35" s="21" t="s">
        <v>231</v>
      </c>
      <c r="C35" s="13">
        <v>46148</v>
      </c>
      <c r="D35" s="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</row>
    <row r="36" spans="1:24" ht="17.25" customHeight="1" thickBot="1" x14ac:dyDescent="0.3">
      <c r="A36" s="7">
        <v>6</v>
      </c>
      <c r="B36" s="37"/>
      <c r="C36" s="10"/>
      <c r="D36" s="10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9"/>
    </row>
    <row r="37" spans="1:24" ht="20.100000000000001" customHeight="1" x14ac:dyDescent="0.25"/>
    <row r="38" spans="1:24" ht="20.100000000000001" customHeight="1" thickBot="1" x14ac:dyDescent="0.3"/>
    <row r="39" spans="1:24" ht="20.100000000000001" customHeight="1" x14ac:dyDescent="0.25">
      <c r="A39" s="100" t="s">
        <v>2</v>
      </c>
      <c r="B39" s="101"/>
      <c r="C39" s="111" t="s">
        <v>30</v>
      </c>
      <c r="D39" s="112"/>
      <c r="E39" s="111" t="s">
        <v>362</v>
      </c>
      <c r="F39" s="112"/>
      <c r="G39" s="101" t="s">
        <v>4</v>
      </c>
      <c r="H39" s="101"/>
      <c r="I39" s="102" t="s">
        <v>5</v>
      </c>
      <c r="J39" s="102"/>
      <c r="K39" s="102"/>
      <c r="L39" s="102"/>
      <c r="M39" s="102"/>
      <c r="N39" s="102"/>
      <c r="O39" s="101" t="s">
        <v>6</v>
      </c>
      <c r="P39" s="101"/>
      <c r="Q39" s="103"/>
      <c r="R39" s="104"/>
      <c r="S39" s="104"/>
      <c r="T39" s="104"/>
      <c r="U39" s="104"/>
      <c r="V39" s="104"/>
      <c r="W39" s="105"/>
      <c r="X39" s="1"/>
    </row>
    <row r="40" spans="1:24" ht="20.100000000000001" customHeight="1" x14ac:dyDescent="0.25">
      <c r="A40" s="106" t="s">
        <v>7</v>
      </c>
      <c r="B40" s="107"/>
      <c r="C40" s="108" t="s">
        <v>44</v>
      </c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9"/>
      <c r="P40" s="109"/>
      <c r="Q40" s="107"/>
      <c r="R40" s="107"/>
      <c r="S40" s="107"/>
      <c r="T40" s="107"/>
      <c r="U40" s="107"/>
      <c r="V40" s="107"/>
      <c r="W40" s="110"/>
      <c r="X40" s="1"/>
    </row>
    <row r="41" spans="1:24" ht="24.95" customHeight="1" x14ac:dyDescent="0.25">
      <c r="A41" s="113" t="s">
        <v>8</v>
      </c>
      <c r="B41" s="114" t="s">
        <v>9</v>
      </c>
      <c r="C41" s="114" t="s">
        <v>10</v>
      </c>
      <c r="D41" s="114" t="s">
        <v>11</v>
      </c>
      <c r="E41" s="114" t="s">
        <v>12</v>
      </c>
      <c r="F41" s="114" t="s">
        <v>13</v>
      </c>
      <c r="G41" s="114" t="s">
        <v>14</v>
      </c>
      <c r="H41" s="114"/>
      <c r="I41" s="114"/>
      <c r="J41" s="114"/>
      <c r="K41" s="114"/>
      <c r="L41" s="114"/>
      <c r="M41" s="114" t="s">
        <v>15</v>
      </c>
      <c r="N41" s="114" t="s">
        <v>16</v>
      </c>
      <c r="O41" s="114" t="s">
        <v>17</v>
      </c>
      <c r="P41" s="114" t="s">
        <v>18</v>
      </c>
      <c r="Q41" s="114" t="s">
        <v>19</v>
      </c>
      <c r="R41" s="114"/>
      <c r="S41" s="114"/>
      <c r="T41" s="114"/>
      <c r="U41" s="114"/>
      <c r="V41" s="114"/>
      <c r="W41" s="115" t="s">
        <v>20</v>
      </c>
      <c r="X41" s="3"/>
    </row>
    <row r="42" spans="1:24" ht="24.95" customHeight="1" x14ac:dyDescent="0.25">
      <c r="A42" s="113"/>
      <c r="B42" s="114"/>
      <c r="C42" s="114"/>
      <c r="D42" s="114"/>
      <c r="E42" s="114"/>
      <c r="F42" s="114"/>
      <c r="G42" s="31" t="s">
        <v>21</v>
      </c>
      <c r="H42" s="31" t="s">
        <v>21</v>
      </c>
      <c r="I42" s="31" t="s">
        <v>21</v>
      </c>
      <c r="J42" s="31" t="s">
        <v>22</v>
      </c>
      <c r="K42" s="31" t="s">
        <v>22</v>
      </c>
      <c r="L42" s="31" t="s">
        <v>22</v>
      </c>
      <c r="M42" s="114"/>
      <c r="N42" s="114"/>
      <c r="O42" s="114"/>
      <c r="P42" s="114"/>
      <c r="Q42" s="31" t="s">
        <v>21</v>
      </c>
      <c r="R42" s="31" t="s">
        <v>21</v>
      </c>
      <c r="S42" s="31" t="s">
        <v>21</v>
      </c>
      <c r="T42" s="31" t="s">
        <v>22</v>
      </c>
      <c r="U42" s="31" t="s">
        <v>22</v>
      </c>
      <c r="V42" s="31" t="s">
        <v>22</v>
      </c>
      <c r="W42" s="115"/>
      <c r="X42" s="3"/>
    </row>
    <row r="43" spans="1:24" ht="17.25" customHeight="1" x14ac:dyDescent="0.25">
      <c r="A43" s="5">
        <v>1</v>
      </c>
      <c r="B43" s="21" t="s">
        <v>23</v>
      </c>
      <c r="C43" s="13">
        <v>45738</v>
      </c>
      <c r="D43" s="13">
        <v>45823</v>
      </c>
      <c r="E43" s="21">
        <v>3</v>
      </c>
      <c r="F43" s="21">
        <v>0</v>
      </c>
      <c r="G43" s="21">
        <v>109</v>
      </c>
      <c r="H43" s="21">
        <v>113</v>
      </c>
      <c r="I43" s="21"/>
      <c r="J43" s="21">
        <v>135</v>
      </c>
      <c r="K43" s="21"/>
      <c r="L43" s="21"/>
      <c r="M43" s="21">
        <f>AVERAGE(G43:L43)</f>
        <v>119</v>
      </c>
      <c r="N43" s="20">
        <v>45848</v>
      </c>
      <c r="O43" s="21">
        <v>2</v>
      </c>
      <c r="P43" s="21">
        <v>1</v>
      </c>
      <c r="Q43" s="21">
        <v>135</v>
      </c>
      <c r="R43" s="21"/>
      <c r="S43" s="21"/>
      <c r="T43" s="21">
        <v>311</v>
      </c>
      <c r="U43" s="21"/>
      <c r="V43" s="21"/>
      <c r="W43" s="22">
        <f>AVERAGE(Q43:V43)</f>
        <v>223</v>
      </c>
    </row>
    <row r="44" spans="1:24" ht="15.75" customHeight="1" x14ac:dyDescent="0.25">
      <c r="A44" s="6">
        <v>2</v>
      </c>
      <c r="B44" s="21"/>
      <c r="C44" s="8"/>
      <c r="D44" s="8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2"/>
    </row>
    <row r="45" spans="1:24" ht="15" customHeight="1" x14ac:dyDescent="0.25">
      <c r="A45" s="6">
        <v>3</v>
      </c>
      <c r="B45" s="21"/>
      <c r="C45" s="8"/>
      <c r="D45" s="8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2"/>
    </row>
    <row r="46" spans="1:24" ht="15" customHeight="1" x14ac:dyDescent="0.25">
      <c r="A46" s="5">
        <v>4</v>
      </c>
      <c r="B46" s="21"/>
      <c r="C46" s="8"/>
      <c r="D46" s="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2"/>
    </row>
    <row r="47" spans="1:24" ht="15.75" customHeight="1" x14ac:dyDescent="0.25">
      <c r="A47" s="5">
        <v>5</v>
      </c>
      <c r="B47" s="21"/>
      <c r="C47" s="8"/>
      <c r="D47" s="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</row>
    <row r="48" spans="1:24" ht="15.75" customHeight="1" thickBot="1" x14ac:dyDescent="0.3">
      <c r="A48" s="7">
        <v>6</v>
      </c>
      <c r="B48" s="37"/>
      <c r="C48" s="10"/>
      <c r="D48" s="10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9"/>
    </row>
    <row r="49" spans="1:24" ht="20.100000000000001" customHeight="1" x14ac:dyDescent="0.25"/>
    <row r="50" spans="1:24" ht="20.100000000000001" customHeight="1" thickBot="1" x14ac:dyDescent="0.3"/>
    <row r="51" spans="1:24" ht="20.100000000000001" customHeight="1" x14ac:dyDescent="0.25">
      <c r="A51" s="100" t="s">
        <v>2</v>
      </c>
      <c r="B51" s="101"/>
      <c r="C51" s="111" t="s">
        <v>31</v>
      </c>
      <c r="D51" s="112"/>
      <c r="E51" s="111" t="s">
        <v>381</v>
      </c>
      <c r="F51" s="112"/>
      <c r="G51" s="101" t="s">
        <v>4</v>
      </c>
      <c r="H51" s="101"/>
      <c r="I51" s="102" t="s">
        <v>5</v>
      </c>
      <c r="J51" s="102"/>
      <c r="K51" s="102"/>
      <c r="L51" s="102"/>
      <c r="M51" s="102"/>
      <c r="N51" s="102"/>
      <c r="O51" s="101" t="s">
        <v>6</v>
      </c>
      <c r="P51" s="101"/>
      <c r="Q51" s="103"/>
      <c r="R51" s="104"/>
      <c r="S51" s="104"/>
      <c r="T51" s="104"/>
      <c r="U51" s="104"/>
      <c r="V51" s="104"/>
      <c r="W51" s="105"/>
      <c r="X51" s="1"/>
    </row>
    <row r="52" spans="1:24" ht="20.100000000000001" customHeight="1" x14ac:dyDescent="0.25">
      <c r="A52" s="106" t="s">
        <v>7</v>
      </c>
      <c r="B52" s="107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7"/>
      <c r="R52" s="107"/>
      <c r="S52" s="107"/>
      <c r="T52" s="107"/>
      <c r="U52" s="107"/>
      <c r="V52" s="107"/>
      <c r="W52" s="110"/>
      <c r="X52" s="1"/>
    </row>
    <row r="53" spans="1:24" ht="24.95" customHeight="1" x14ac:dyDescent="0.25">
      <c r="A53" s="113" t="s">
        <v>8</v>
      </c>
      <c r="B53" s="114" t="s">
        <v>9</v>
      </c>
      <c r="C53" s="114" t="s">
        <v>10</v>
      </c>
      <c r="D53" s="114" t="s">
        <v>11</v>
      </c>
      <c r="E53" s="114" t="s">
        <v>12</v>
      </c>
      <c r="F53" s="114" t="s">
        <v>13</v>
      </c>
      <c r="G53" s="114" t="s">
        <v>14</v>
      </c>
      <c r="H53" s="114"/>
      <c r="I53" s="114"/>
      <c r="J53" s="114"/>
      <c r="K53" s="114"/>
      <c r="L53" s="114"/>
      <c r="M53" s="114" t="s">
        <v>15</v>
      </c>
      <c r="N53" s="114" t="s">
        <v>16</v>
      </c>
      <c r="O53" s="114" t="s">
        <v>17</v>
      </c>
      <c r="P53" s="114" t="s">
        <v>18</v>
      </c>
      <c r="Q53" s="114" t="s">
        <v>19</v>
      </c>
      <c r="R53" s="114"/>
      <c r="S53" s="114"/>
      <c r="T53" s="114"/>
      <c r="U53" s="114"/>
      <c r="V53" s="114"/>
      <c r="W53" s="115" t="s">
        <v>20</v>
      </c>
      <c r="X53" s="3"/>
    </row>
    <row r="54" spans="1:24" ht="24.95" customHeight="1" x14ac:dyDescent="0.25">
      <c r="A54" s="113"/>
      <c r="B54" s="114"/>
      <c r="C54" s="114"/>
      <c r="D54" s="114"/>
      <c r="E54" s="114"/>
      <c r="F54" s="114"/>
      <c r="G54" s="31" t="s">
        <v>21</v>
      </c>
      <c r="H54" s="31" t="s">
        <v>21</v>
      </c>
      <c r="I54" s="31" t="s">
        <v>21</v>
      </c>
      <c r="J54" s="31" t="s">
        <v>22</v>
      </c>
      <c r="K54" s="31" t="s">
        <v>22</v>
      </c>
      <c r="L54" s="31" t="s">
        <v>22</v>
      </c>
      <c r="M54" s="114"/>
      <c r="N54" s="114"/>
      <c r="O54" s="114"/>
      <c r="P54" s="114"/>
      <c r="Q54" s="31" t="s">
        <v>21</v>
      </c>
      <c r="R54" s="31" t="s">
        <v>21</v>
      </c>
      <c r="S54" s="31" t="s">
        <v>21</v>
      </c>
      <c r="T54" s="31" t="s">
        <v>22</v>
      </c>
      <c r="U54" s="31" t="s">
        <v>22</v>
      </c>
      <c r="V54" s="31" t="s">
        <v>22</v>
      </c>
      <c r="W54" s="115"/>
      <c r="X54" s="3"/>
    </row>
    <row r="55" spans="1:24" ht="15.75" customHeight="1" x14ac:dyDescent="0.25">
      <c r="A55" s="5">
        <v>1</v>
      </c>
      <c r="B55" s="21" t="s">
        <v>23</v>
      </c>
      <c r="C55" s="13">
        <v>45738</v>
      </c>
      <c r="D55" s="8" t="s">
        <v>371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9"/>
    </row>
    <row r="56" spans="1:24" ht="15.75" customHeight="1" x14ac:dyDescent="0.25">
      <c r="A56" s="6">
        <v>2</v>
      </c>
      <c r="B56" s="21" t="s">
        <v>24</v>
      </c>
      <c r="C56" s="13">
        <v>45851</v>
      </c>
      <c r="D56" s="13">
        <v>45920</v>
      </c>
      <c r="E56" s="21">
        <v>4</v>
      </c>
      <c r="F56" s="21">
        <v>4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2"/>
    </row>
    <row r="57" spans="1:24" ht="15.75" customHeight="1" x14ac:dyDescent="0.25">
      <c r="A57" s="6">
        <v>3</v>
      </c>
      <c r="B57" s="20" t="s">
        <v>29</v>
      </c>
      <c r="C57" s="13">
        <v>45950</v>
      </c>
      <c r="D57" s="13">
        <v>46027</v>
      </c>
      <c r="E57" s="21">
        <v>3</v>
      </c>
      <c r="F57" s="21">
        <v>0</v>
      </c>
      <c r="G57" s="21">
        <v>108</v>
      </c>
      <c r="H57" s="21"/>
      <c r="I57" s="21"/>
      <c r="J57" s="21">
        <v>119</v>
      </c>
      <c r="K57" s="21">
        <v>125</v>
      </c>
      <c r="L57" s="21"/>
      <c r="M57" s="41">
        <f>AVERAGE(G57:L57)</f>
        <v>117.33333333333333</v>
      </c>
      <c r="N57" s="20">
        <v>46039</v>
      </c>
      <c r="O57" s="21">
        <v>2</v>
      </c>
      <c r="P57" s="21">
        <v>1</v>
      </c>
      <c r="Q57" s="21">
        <v>210</v>
      </c>
      <c r="R57" s="21"/>
      <c r="S57" s="21"/>
      <c r="T57" s="21">
        <v>256</v>
      </c>
      <c r="U57" s="21"/>
      <c r="V57" s="21"/>
      <c r="W57" s="22">
        <f>AVERAGE(Q57:V57)</f>
        <v>233</v>
      </c>
    </row>
    <row r="58" spans="1:24" ht="16.5" customHeight="1" x14ac:dyDescent="0.25">
      <c r="A58" s="5">
        <v>4</v>
      </c>
      <c r="B58" s="21" t="s">
        <v>232</v>
      </c>
      <c r="C58" s="13">
        <v>46039</v>
      </c>
      <c r="D58" s="13">
        <v>46110</v>
      </c>
      <c r="E58" s="21">
        <v>1</v>
      </c>
      <c r="F58" s="21">
        <v>0</v>
      </c>
      <c r="G58" s="21">
        <v>201</v>
      </c>
      <c r="H58" s="21"/>
      <c r="I58" s="21"/>
      <c r="J58" s="21"/>
      <c r="K58" s="21"/>
      <c r="L58" s="21"/>
      <c r="M58" s="21">
        <v>201</v>
      </c>
      <c r="N58" s="20">
        <v>46133</v>
      </c>
      <c r="O58" s="21">
        <v>1</v>
      </c>
      <c r="P58" s="21">
        <v>0</v>
      </c>
      <c r="Q58" s="21">
        <v>254</v>
      </c>
      <c r="R58" s="21"/>
      <c r="S58" s="21"/>
      <c r="T58" s="21"/>
      <c r="U58" s="21"/>
      <c r="V58" s="21"/>
      <c r="W58" s="22">
        <v>254</v>
      </c>
    </row>
    <row r="59" spans="1:24" ht="15.75" customHeight="1" x14ac:dyDescent="0.25">
      <c r="A59" s="5">
        <v>5</v>
      </c>
      <c r="B59" s="21" t="s">
        <v>232</v>
      </c>
      <c r="C59" s="13">
        <v>46148</v>
      </c>
      <c r="D59" s="8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2"/>
    </row>
    <row r="60" spans="1:24" ht="17.25" customHeight="1" thickBot="1" x14ac:dyDescent="0.3">
      <c r="A60" s="7">
        <v>6</v>
      </c>
      <c r="B60" s="37"/>
      <c r="C60" s="10"/>
      <c r="D60" s="10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9"/>
    </row>
    <row r="61" spans="1:24" ht="20.100000000000001" customHeight="1" x14ac:dyDescent="0.25"/>
    <row r="62" spans="1:24" ht="20.100000000000001" customHeight="1" thickBot="1" x14ac:dyDescent="0.3"/>
    <row r="63" spans="1:24" ht="20.100000000000001" customHeight="1" x14ac:dyDescent="0.25">
      <c r="A63" s="100" t="s">
        <v>2</v>
      </c>
      <c r="B63" s="101"/>
      <c r="C63" s="111" t="s">
        <v>32</v>
      </c>
      <c r="D63" s="112"/>
      <c r="E63" s="111" t="s">
        <v>362</v>
      </c>
      <c r="F63" s="112"/>
      <c r="G63" s="101" t="s">
        <v>4</v>
      </c>
      <c r="H63" s="101"/>
      <c r="I63" s="102" t="s">
        <v>5</v>
      </c>
      <c r="J63" s="102"/>
      <c r="K63" s="102"/>
      <c r="L63" s="102"/>
      <c r="M63" s="102"/>
      <c r="N63" s="102"/>
      <c r="O63" s="101" t="s">
        <v>6</v>
      </c>
      <c r="P63" s="101"/>
      <c r="Q63" s="103"/>
      <c r="R63" s="104"/>
      <c r="S63" s="104"/>
      <c r="T63" s="104"/>
      <c r="U63" s="104"/>
      <c r="V63" s="104"/>
      <c r="W63" s="105"/>
      <c r="X63" s="1"/>
    </row>
    <row r="64" spans="1:24" ht="20.100000000000001" customHeight="1" x14ac:dyDescent="0.25">
      <c r="A64" s="106" t="s">
        <v>7</v>
      </c>
      <c r="B64" s="107"/>
      <c r="C64" s="131" t="s">
        <v>44</v>
      </c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09"/>
      <c r="P64" s="109"/>
      <c r="Q64" s="107"/>
      <c r="R64" s="107"/>
      <c r="S64" s="107"/>
      <c r="T64" s="107"/>
      <c r="U64" s="107"/>
      <c r="V64" s="107"/>
      <c r="W64" s="110"/>
      <c r="X64" s="1"/>
    </row>
    <row r="65" spans="1:24" ht="24.95" customHeight="1" x14ac:dyDescent="0.25">
      <c r="A65" s="113" t="s">
        <v>8</v>
      </c>
      <c r="B65" s="114" t="s">
        <v>9</v>
      </c>
      <c r="C65" s="114" t="s">
        <v>10</v>
      </c>
      <c r="D65" s="114" t="s">
        <v>11</v>
      </c>
      <c r="E65" s="114" t="s">
        <v>12</v>
      </c>
      <c r="F65" s="114" t="s">
        <v>13</v>
      </c>
      <c r="G65" s="114" t="s">
        <v>14</v>
      </c>
      <c r="H65" s="114"/>
      <c r="I65" s="114"/>
      <c r="J65" s="114"/>
      <c r="K65" s="114"/>
      <c r="L65" s="114"/>
      <c r="M65" s="114" t="s">
        <v>15</v>
      </c>
      <c r="N65" s="114" t="s">
        <v>16</v>
      </c>
      <c r="O65" s="114" t="s">
        <v>17</v>
      </c>
      <c r="P65" s="114" t="s">
        <v>18</v>
      </c>
      <c r="Q65" s="114" t="s">
        <v>19</v>
      </c>
      <c r="R65" s="114"/>
      <c r="S65" s="114"/>
      <c r="T65" s="114"/>
      <c r="U65" s="114"/>
      <c r="V65" s="114"/>
      <c r="W65" s="115" t="s">
        <v>20</v>
      </c>
      <c r="X65" s="3"/>
    </row>
    <row r="66" spans="1:24" ht="24.95" customHeight="1" x14ac:dyDescent="0.25">
      <c r="A66" s="113"/>
      <c r="B66" s="114"/>
      <c r="C66" s="114"/>
      <c r="D66" s="114"/>
      <c r="E66" s="114"/>
      <c r="F66" s="114"/>
      <c r="G66" s="31" t="s">
        <v>21</v>
      </c>
      <c r="H66" s="31" t="s">
        <v>21</v>
      </c>
      <c r="I66" s="31" t="s">
        <v>21</v>
      </c>
      <c r="J66" s="31" t="s">
        <v>22</v>
      </c>
      <c r="K66" s="31" t="s">
        <v>22</v>
      </c>
      <c r="L66" s="31" t="s">
        <v>22</v>
      </c>
      <c r="M66" s="114"/>
      <c r="N66" s="114"/>
      <c r="O66" s="114"/>
      <c r="P66" s="114"/>
      <c r="Q66" s="31" t="s">
        <v>21</v>
      </c>
      <c r="R66" s="31" t="s">
        <v>21</v>
      </c>
      <c r="S66" s="31" t="s">
        <v>21</v>
      </c>
      <c r="T66" s="31" t="s">
        <v>22</v>
      </c>
      <c r="U66" s="31" t="s">
        <v>22</v>
      </c>
      <c r="V66" s="31" t="s">
        <v>22</v>
      </c>
      <c r="W66" s="115"/>
      <c r="X66" s="3"/>
    </row>
    <row r="67" spans="1:24" ht="16.5" customHeight="1" x14ac:dyDescent="0.25">
      <c r="A67" s="5">
        <v>1</v>
      </c>
      <c r="B67" s="21" t="s">
        <v>23</v>
      </c>
      <c r="C67" s="13">
        <v>45738</v>
      </c>
      <c r="D67" s="13">
        <v>45814</v>
      </c>
      <c r="E67" s="21">
        <v>1</v>
      </c>
      <c r="F67" s="21">
        <v>0</v>
      </c>
      <c r="G67" s="21"/>
      <c r="H67" s="21"/>
      <c r="I67" s="21"/>
      <c r="J67" s="21">
        <v>105</v>
      </c>
      <c r="K67" s="21"/>
      <c r="L67" s="21"/>
      <c r="M67" s="21">
        <f>AVERAGE(G67:L67)</f>
        <v>105</v>
      </c>
      <c r="N67" s="20">
        <v>45814</v>
      </c>
      <c r="O67" s="21">
        <v>1</v>
      </c>
      <c r="P67" s="21">
        <v>0</v>
      </c>
      <c r="Q67" s="21"/>
      <c r="R67" s="21"/>
      <c r="S67" s="21"/>
      <c r="T67" s="21">
        <v>216</v>
      </c>
      <c r="U67" s="21"/>
      <c r="V67" s="21"/>
      <c r="W67" s="22">
        <f>AVERAGE(Q67:V67)</f>
        <v>216</v>
      </c>
    </row>
    <row r="68" spans="1:24" ht="15" customHeight="1" x14ac:dyDescent="0.25">
      <c r="A68" s="6">
        <v>2</v>
      </c>
      <c r="B68" s="21" t="s">
        <v>24</v>
      </c>
      <c r="C68" s="13">
        <v>45851</v>
      </c>
      <c r="D68" s="13">
        <v>45920</v>
      </c>
      <c r="E68" s="21">
        <v>2</v>
      </c>
      <c r="F68" s="21">
        <v>0</v>
      </c>
      <c r="G68" s="21"/>
      <c r="H68" s="21"/>
      <c r="I68" s="21"/>
      <c r="J68" s="21">
        <v>185</v>
      </c>
      <c r="K68" s="21">
        <v>186</v>
      </c>
      <c r="L68" s="21"/>
      <c r="M68" s="21">
        <f>AVERAGE(G68:L68)</f>
        <v>185.5</v>
      </c>
      <c r="N68" s="20">
        <v>45944</v>
      </c>
      <c r="O68" s="21">
        <v>2</v>
      </c>
      <c r="P68" s="21">
        <v>0</v>
      </c>
      <c r="Q68" s="21"/>
      <c r="R68" s="21"/>
      <c r="S68" s="21"/>
      <c r="T68" s="21">
        <v>316</v>
      </c>
      <c r="U68" s="21">
        <v>317</v>
      </c>
      <c r="V68" s="21"/>
      <c r="W68" s="22">
        <f>AVERAGE(Q68:V68)</f>
        <v>316.5</v>
      </c>
    </row>
    <row r="69" spans="1:24" ht="15.75" customHeight="1" x14ac:dyDescent="0.25">
      <c r="A69" s="6">
        <v>3</v>
      </c>
      <c r="B69" s="21" t="s">
        <v>29</v>
      </c>
      <c r="C69" s="13">
        <v>45950</v>
      </c>
      <c r="D69" s="13">
        <v>46033</v>
      </c>
      <c r="E69" s="21">
        <v>3</v>
      </c>
      <c r="F69" s="21">
        <v>0</v>
      </c>
      <c r="G69" s="80">
        <v>125</v>
      </c>
      <c r="H69" s="41"/>
      <c r="I69" s="41"/>
      <c r="J69" s="80">
        <v>128</v>
      </c>
      <c r="K69" s="80">
        <v>120</v>
      </c>
      <c r="L69" s="41"/>
      <c r="M69" s="41">
        <f>AVERAGE(G69:L69)</f>
        <v>124.33333333333333</v>
      </c>
      <c r="N69" s="20">
        <v>46055</v>
      </c>
      <c r="O69" s="21">
        <v>3</v>
      </c>
      <c r="P69" s="21">
        <v>0</v>
      </c>
      <c r="Q69" s="21">
        <v>296</v>
      </c>
      <c r="R69" s="21"/>
      <c r="S69" s="21"/>
      <c r="T69" s="21">
        <v>345</v>
      </c>
      <c r="U69" s="21">
        <v>281</v>
      </c>
      <c r="V69" s="21"/>
      <c r="W69" s="40">
        <f>AVERAGE(Q69:V69)</f>
        <v>307.33333333333331</v>
      </c>
    </row>
    <row r="70" spans="1:24" ht="15.75" customHeight="1" x14ac:dyDescent="0.25">
      <c r="A70" s="5">
        <v>4</v>
      </c>
      <c r="B70" s="21"/>
      <c r="C70" s="8"/>
      <c r="D70" s="8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2"/>
    </row>
    <row r="71" spans="1:24" ht="16.5" customHeight="1" x14ac:dyDescent="0.25">
      <c r="A71" s="5">
        <v>5</v>
      </c>
      <c r="B71" s="21"/>
      <c r="C71" s="8"/>
      <c r="D71" s="8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2"/>
    </row>
    <row r="72" spans="1:24" ht="15" customHeight="1" thickBot="1" x14ac:dyDescent="0.3">
      <c r="A72" s="7">
        <v>6</v>
      </c>
      <c r="B72" s="37"/>
      <c r="C72" s="10"/>
      <c r="D72" s="10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9"/>
    </row>
    <row r="73" spans="1:24" ht="20.100000000000001" customHeight="1" x14ac:dyDescent="0.25"/>
    <row r="74" spans="1:24" ht="20.100000000000001" customHeight="1" thickBot="1" x14ac:dyDescent="0.3"/>
    <row r="75" spans="1:24" ht="20.100000000000001" customHeight="1" x14ac:dyDescent="0.25">
      <c r="A75" s="100" t="s">
        <v>2</v>
      </c>
      <c r="B75" s="101"/>
      <c r="C75" s="111" t="s">
        <v>33</v>
      </c>
      <c r="D75" s="112"/>
      <c r="E75" s="111" t="s">
        <v>362</v>
      </c>
      <c r="F75" s="112"/>
      <c r="G75" s="101" t="s">
        <v>4</v>
      </c>
      <c r="H75" s="101"/>
      <c r="I75" s="102" t="s">
        <v>5</v>
      </c>
      <c r="J75" s="102"/>
      <c r="K75" s="102"/>
      <c r="L75" s="102"/>
      <c r="M75" s="102"/>
      <c r="N75" s="102"/>
      <c r="O75" s="101" t="s">
        <v>6</v>
      </c>
      <c r="P75" s="101"/>
      <c r="Q75" s="103"/>
      <c r="R75" s="104"/>
      <c r="S75" s="104"/>
      <c r="T75" s="104"/>
      <c r="U75" s="104"/>
      <c r="V75" s="104"/>
      <c r="W75" s="105"/>
      <c r="X75" s="1"/>
    </row>
    <row r="76" spans="1:24" ht="20.100000000000001" customHeight="1" x14ac:dyDescent="0.25">
      <c r="A76" s="106" t="s">
        <v>7</v>
      </c>
      <c r="B76" s="107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7"/>
      <c r="R76" s="107"/>
      <c r="S76" s="107"/>
      <c r="T76" s="107"/>
      <c r="U76" s="107"/>
      <c r="V76" s="107"/>
      <c r="W76" s="110"/>
      <c r="X76" s="1"/>
    </row>
    <row r="77" spans="1:24" ht="24.95" customHeight="1" x14ac:dyDescent="0.25">
      <c r="A77" s="113" t="s">
        <v>8</v>
      </c>
      <c r="B77" s="114" t="s">
        <v>9</v>
      </c>
      <c r="C77" s="114" t="s">
        <v>10</v>
      </c>
      <c r="D77" s="114" t="s">
        <v>11</v>
      </c>
      <c r="E77" s="114" t="s">
        <v>12</v>
      </c>
      <c r="F77" s="114" t="s">
        <v>13</v>
      </c>
      <c r="G77" s="114" t="s">
        <v>14</v>
      </c>
      <c r="H77" s="114"/>
      <c r="I77" s="114"/>
      <c r="J77" s="114"/>
      <c r="K77" s="114"/>
      <c r="L77" s="114"/>
      <c r="M77" s="114" t="s">
        <v>15</v>
      </c>
      <c r="N77" s="114" t="s">
        <v>16</v>
      </c>
      <c r="O77" s="114" t="s">
        <v>17</v>
      </c>
      <c r="P77" s="114" t="s">
        <v>18</v>
      </c>
      <c r="Q77" s="114" t="s">
        <v>19</v>
      </c>
      <c r="R77" s="114"/>
      <c r="S77" s="114"/>
      <c r="T77" s="114"/>
      <c r="U77" s="114"/>
      <c r="V77" s="114"/>
      <c r="W77" s="115" t="s">
        <v>20</v>
      </c>
      <c r="X77" s="3"/>
    </row>
    <row r="78" spans="1:24" ht="24.95" customHeight="1" x14ac:dyDescent="0.25">
      <c r="A78" s="113"/>
      <c r="B78" s="114"/>
      <c r="C78" s="114"/>
      <c r="D78" s="114"/>
      <c r="E78" s="114"/>
      <c r="F78" s="114"/>
      <c r="G78" s="31" t="s">
        <v>21</v>
      </c>
      <c r="H78" s="31" t="s">
        <v>21</v>
      </c>
      <c r="I78" s="31" t="s">
        <v>21</v>
      </c>
      <c r="J78" s="31" t="s">
        <v>22</v>
      </c>
      <c r="K78" s="31" t="s">
        <v>22</v>
      </c>
      <c r="L78" s="31" t="s">
        <v>22</v>
      </c>
      <c r="M78" s="114"/>
      <c r="N78" s="114"/>
      <c r="O78" s="114"/>
      <c r="P78" s="114"/>
      <c r="Q78" s="31" t="s">
        <v>21</v>
      </c>
      <c r="R78" s="31" t="s">
        <v>21</v>
      </c>
      <c r="S78" s="31" t="s">
        <v>21</v>
      </c>
      <c r="T78" s="31" t="s">
        <v>22</v>
      </c>
      <c r="U78" s="31" t="s">
        <v>22</v>
      </c>
      <c r="V78" s="31" t="s">
        <v>22</v>
      </c>
      <c r="W78" s="115"/>
      <c r="X78" s="3"/>
    </row>
    <row r="79" spans="1:24" ht="16.5" customHeight="1" x14ac:dyDescent="0.25">
      <c r="A79" s="5">
        <v>1</v>
      </c>
      <c r="B79" s="21" t="s">
        <v>23</v>
      </c>
      <c r="C79" s="13">
        <v>45738</v>
      </c>
      <c r="D79" s="20">
        <v>45819</v>
      </c>
      <c r="E79" s="21">
        <v>1</v>
      </c>
      <c r="F79" s="21">
        <v>0</v>
      </c>
      <c r="G79" s="21">
        <v>129</v>
      </c>
      <c r="H79" s="21"/>
      <c r="I79" s="21"/>
      <c r="J79" s="21"/>
      <c r="K79" s="21"/>
      <c r="L79" s="21"/>
      <c r="M79" s="21">
        <v>129</v>
      </c>
      <c r="N79" s="20">
        <v>45848</v>
      </c>
      <c r="O79" s="21">
        <v>1</v>
      </c>
      <c r="P79" s="21">
        <v>0</v>
      </c>
      <c r="Q79" s="21">
        <v>161</v>
      </c>
      <c r="R79" s="21"/>
      <c r="S79" s="21"/>
      <c r="T79" s="21"/>
      <c r="U79" s="21"/>
      <c r="V79" s="21"/>
      <c r="W79" s="22">
        <v>161</v>
      </c>
    </row>
    <row r="80" spans="1:24" ht="15.75" customHeight="1" x14ac:dyDescent="0.25">
      <c r="A80" s="6">
        <v>2</v>
      </c>
      <c r="B80" s="21" t="s">
        <v>24</v>
      </c>
      <c r="C80" s="13">
        <v>45851</v>
      </c>
      <c r="D80" s="20">
        <v>45928</v>
      </c>
      <c r="E80" s="21">
        <v>2</v>
      </c>
      <c r="F80" s="21">
        <v>1</v>
      </c>
      <c r="G80" s="21">
        <v>145</v>
      </c>
      <c r="H80" s="21"/>
      <c r="I80" s="21"/>
      <c r="J80" s="21"/>
      <c r="K80" s="21"/>
      <c r="L80" s="21"/>
      <c r="M80" s="21">
        <v>145</v>
      </c>
      <c r="N80" s="20">
        <v>45944</v>
      </c>
      <c r="O80" s="21">
        <v>1</v>
      </c>
      <c r="P80" s="21">
        <v>0</v>
      </c>
      <c r="Q80" s="21">
        <v>143</v>
      </c>
      <c r="R80" s="21"/>
      <c r="S80" s="21"/>
      <c r="T80" s="21"/>
      <c r="U80" s="21"/>
      <c r="V80" s="21"/>
      <c r="W80" s="22">
        <v>143</v>
      </c>
    </row>
    <row r="81" spans="1:24" ht="15" customHeight="1" x14ac:dyDescent="0.25">
      <c r="A81" s="6">
        <v>3</v>
      </c>
      <c r="B81" s="21" t="s">
        <v>29</v>
      </c>
      <c r="C81" s="13">
        <v>45950</v>
      </c>
      <c r="D81" s="20">
        <v>46038</v>
      </c>
      <c r="E81" s="21">
        <v>5</v>
      </c>
      <c r="F81" s="21">
        <v>0</v>
      </c>
      <c r="G81" s="21">
        <v>114</v>
      </c>
      <c r="H81" s="21">
        <v>71</v>
      </c>
      <c r="I81" s="21"/>
      <c r="J81" s="21">
        <v>111</v>
      </c>
      <c r="K81" s="21">
        <v>81</v>
      </c>
      <c r="L81" s="21">
        <v>84</v>
      </c>
      <c r="M81" s="80">
        <f>AVERAGE(G81:L81)</f>
        <v>92.2</v>
      </c>
      <c r="N81" s="20">
        <v>46055</v>
      </c>
      <c r="O81" s="21">
        <v>3</v>
      </c>
      <c r="P81" s="21">
        <v>2</v>
      </c>
      <c r="Q81" s="21">
        <v>254</v>
      </c>
      <c r="R81" s="21"/>
      <c r="S81" s="21"/>
      <c r="T81" s="21">
        <v>241</v>
      </c>
      <c r="U81" s="21">
        <v>210</v>
      </c>
      <c r="V81" s="21"/>
      <c r="W81" s="22">
        <f>AVERAGE(Q81:V81)</f>
        <v>235</v>
      </c>
    </row>
    <row r="82" spans="1:24" ht="14.25" customHeight="1" x14ac:dyDescent="0.25">
      <c r="A82" s="5">
        <v>4</v>
      </c>
      <c r="B82" s="21" t="s">
        <v>29</v>
      </c>
      <c r="C82" s="13">
        <v>46070</v>
      </c>
      <c r="D82" s="20">
        <v>46152</v>
      </c>
      <c r="E82" s="21">
        <v>4</v>
      </c>
      <c r="F82" s="21">
        <v>0</v>
      </c>
      <c r="G82" s="21">
        <v>105</v>
      </c>
      <c r="H82" s="21">
        <v>110</v>
      </c>
      <c r="I82" s="21">
        <v>108</v>
      </c>
      <c r="J82" s="21">
        <v>115</v>
      </c>
      <c r="K82" s="21"/>
      <c r="L82" s="21"/>
      <c r="M82" s="80">
        <f>AVERAGE(G82:L82)</f>
        <v>109.5</v>
      </c>
      <c r="N82" s="20">
        <v>46176</v>
      </c>
      <c r="O82" s="21">
        <v>4</v>
      </c>
      <c r="P82" s="21">
        <v>0</v>
      </c>
      <c r="Q82" s="21">
        <v>222</v>
      </c>
      <c r="R82" s="21">
        <v>230</v>
      </c>
      <c r="S82" s="21">
        <v>232</v>
      </c>
      <c r="T82" s="21">
        <v>248</v>
      </c>
      <c r="U82" s="21"/>
      <c r="V82" s="21"/>
      <c r="W82" s="22">
        <f>AVERAGE(Q82:V82)</f>
        <v>233</v>
      </c>
    </row>
    <row r="83" spans="1:24" ht="14.25" customHeight="1" x14ac:dyDescent="0.25">
      <c r="A83" s="5">
        <v>5</v>
      </c>
      <c r="B83" s="21" t="s">
        <v>29</v>
      </c>
      <c r="C83" s="13">
        <v>46181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2"/>
    </row>
    <row r="84" spans="1:24" ht="16.5" customHeight="1" thickBot="1" x14ac:dyDescent="0.3">
      <c r="A84" s="7">
        <v>6</v>
      </c>
      <c r="B84" s="37"/>
      <c r="C84" s="10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9"/>
    </row>
    <row r="85" spans="1:24" ht="20.100000000000001" customHeight="1" x14ac:dyDescent="0.25"/>
    <row r="86" spans="1:24" ht="20.100000000000001" customHeight="1" thickBot="1" x14ac:dyDescent="0.3"/>
    <row r="87" spans="1:24" ht="20.100000000000001" customHeight="1" x14ac:dyDescent="0.25">
      <c r="A87" s="100" t="s">
        <v>2</v>
      </c>
      <c r="B87" s="101"/>
      <c r="C87" s="111" t="s">
        <v>34</v>
      </c>
      <c r="D87" s="112"/>
      <c r="E87" s="111" t="s">
        <v>378</v>
      </c>
      <c r="F87" s="112"/>
      <c r="G87" s="101" t="s">
        <v>4</v>
      </c>
      <c r="H87" s="101"/>
      <c r="I87" s="102" t="s">
        <v>5</v>
      </c>
      <c r="J87" s="102"/>
      <c r="K87" s="102"/>
      <c r="L87" s="102"/>
      <c r="M87" s="102"/>
      <c r="N87" s="102"/>
      <c r="O87" s="101" t="s">
        <v>6</v>
      </c>
      <c r="P87" s="101"/>
      <c r="Q87" s="103"/>
      <c r="R87" s="104"/>
      <c r="S87" s="104"/>
      <c r="T87" s="104"/>
      <c r="U87" s="104"/>
      <c r="V87" s="104"/>
      <c r="W87" s="105"/>
      <c r="X87" s="1"/>
    </row>
    <row r="88" spans="1:24" ht="20.100000000000001" customHeight="1" x14ac:dyDescent="0.25">
      <c r="A88" s="106" t="s">
        <v>7</v>
      </c>
      <c r="B88" s="107"/>
      <c r="C88" s="116" t="s">
        <v>481</v>
      </c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09"/>
      <c r="P88" s="109"/>
      <c r="Q88" s="107"/>
      <c r="R88" s="107"/>
      <c r="S88" s="107"/>
      <c r="T88" s="107"/>
      <c r="U88" s="107"/>
      <c r="V88" s="107"/>
      <c r="W88" s="110"/>
      <c r="X88" s="1"/>
    </row>
    <row r="89" spans="1:24" ht="24.95" customHeight="1" x14ac:dyDescent="0.25">
      <c r="A89" s="113" t="s">
        <v>8</v>
      </c>
      <c r="B89" s="114" t="s">
        <v>9</v>
      </c>
      <c r="C89" s="114" t="s">
        <v>10</v>
      </c>
      <c r="D89" s="114" t="s">
        <v>11</v>
      </c>
      <c r="E89" s="114" t="s">
        <v>12</v>
      </c>
      <c r="F89" s="114" t="s">
        <v>13</v>
      </c>
      <c r="G89" s="114" t="s">
        <v>14</v>
      </c>
      <c r="H89" s="114"/>
      <c r="I89" s="114"/>
      <c r="J89" s="114"/>
      <c r="K89" s="114"/>
      <c r="L89" s="114"/>
      <c r="M89" s="114" t="s">
        <v>15</v>
      </c>
      <c r="N89" s="114" t="s">
        <v>16</v>
      </c>
      <c r="O89" s="114" t="s">
        <v>17</v>
      </c>
      <c r="P89" s="114" t="s">
        <v>18</v>
      </c>
      <c r="Q89" s="114" t="s">
        <v>19</v>
      </c>
      <c r="R89" s="114"/>
      <c r="S89" s="114"/>
      <c r="T89" s="114"/>
      <c r="U89" s="114"/>
      <c r="V89" s="114"/>
      <c r="W89" s="115" t="s">
        <v>20</v>
      </c>
      <c r="X89" s="3"/>
    </row>
    <row r="90" spans="1:24" ht="24.95" customHeight="1" x14ac:dyDescent="0.25">
      <c r="A90" s="113"/>
      <c r="B90" s="114"/>
      <c r="C90" s="114"/>
      <c r="D90" s="114"/>
      <c r="E90" s="114"/>
      <c r="F90" s="114"/>
      <c r="G90" s="31" t="s">
        <v>21</v>
      </c>
      <c r="H90" s="31" t="s">
        <v>21</v>
      </c>
      <c r="I90" s="31" t="s">
        <v>21</v>
      </c>
      <c r="J90" s="31" t="s">
        <v>22</v>
      </c>
      <c r="K90" s="31" t="s">
        <v>22</v>
      </c>
      <c r="L90" s="31" t="s">
        <v>22</v>
      </c>
      <c r="M90" s="114"/>
      <c r="N90" s="114"/>
      <c r="O90" s="114"/>
      <c r="P90" s="114"/>
      <c r="Q90" s="31" t="s">
        <v>21</v>
      </c>
      <c r="R90" s="31" t="s">
        <v>21</v>
      </c>
      <c r="S90" s="31" t="s">
        <v>21</v>
      </c>
      <c r="T90" s="31" t="s">
        <v>22</v>
      </c>
      <c r="U90" s="31" t="s">
        <v>22</v>
      </c>
      <c r="V90" s="31" t="s">
        <v>22</v>
      </c>
      <c r="W90" s="115"/>
      <c r="X90" s="3"/>
    </row>
    <row r="91" spans="1:24" ht="15" customHeight="1" x14ac:dyDescent="0.25">
      <c r="A91" s="5">
        <v>1</v>
      </c>
      <c r="B91" s="21" t="s">
        <v>24</v>
      </c>
      <c r="C91" s="13">
        <v>45738</v>
      </c>
      <c r="D91" s="20">
        <v>45814</v>
      </c>
      <c r="E91" s="21">
        <v>2</v>
      </c>
      <c r="F91" s="21">
        <v>1</v>
      </c>
      <c r="G91" s="21">
        <v>129</v>
      </c>
      <c r="H91" s="21"/>
      <c r="I91" s="21"/>
      <c r="J91" s="21"/>
      <c r="K91" s="21"/>
      <c r="L91" s="21"/>
      <c r="M91" s="21">
        <v>129</v>
      </c>
      <c r="N91" s="20">
        <v>45833</v>
      </c>
      <c r="O91" s="21">
        <v>1</v>
      </c>
      <c r="P91" s="21"/>
      <c r="Q91" s="21">
        <v>342</v>
      </c>
      <c r="R91" s="21"/>
      <c r="S91" s="21"/>
      <c r="T91" s="21"/>
      <c r="U91" s="21"/>
      <c r="V91" s="21"/>
      <c r="W91" s="22">
        <v>342</v>
      </c>
    </row>
    <row r="92" spans="1:24" ht="15.75" customHeight="1" x14ac:dyDescent="0.25">
      <c r="A92" s="6">
        <v>2</v>
      </c>
      <c r="B92" s="21" t="s">
        <v>23</v>
      </c>
      <c r="C92" s="13">
        <v>45851</v>
      </c>
      <c r="D92" s="20">
        <v>45929</v>
      </c>
      <c r="E92" s="21">
        <v>3</v>
      </c>
      <c r="F92" s="21">
        <v>0</v>
      </c>
      <c r="G92" s="21">
        <v>123</v>
      </c>
      <c r="H92" s="21"/>
      <c r="I92" s="21"/>
      <c r="J92" s="21">
        <v>130</v>
      </c>
      <c r="K92" s="21">
        <v>123</v>
      </c>
      <c r="L92" s="21"/>
      <c r="M92" s="41">
        <f>AVERAGE(G92:L92)</f>
        <v>125.33333333333333</v>
      </c>
      <c r="N92" s="20">
        <v>45944</v>
      </c>
      <c r="O92" s="21">
        <v>3</v>
      </c>
      <c r="P92" s="21">
        <v>0</v>
      </c>
      <c r="Q92" s="21">
        <v>179</v>
      </c>
      <c r="R92" s="21"/>
      <c r="S92" s="21"/>
      <c r="T92" s="21">
        <v>257</v>
      </c>
      <c r="U92" s="21">
        <v>193</v>
      </c>
      <c r="V92" s="21"/>
      <c r="W92" s="40">
        <f>AVERAGE(Q92:V92)</f>
        <v>209.66666666666666</v>
      </c>
    </row>
    <row r="93" spans="1:24" ht="15" customHeight="1" x14ac:dyDescent="0.25">
      <c r="A93" s="6">
        <v>3</v>
      </c>
      <c r="B93" s="21" t="s">
        <v>232</v>
      </c>
      <c r="C93" s="13">
        <v>45950</v>
      </c>
      <c r="D93" s="20">
        <v>46041</v>
      </c>
      <c r="E93" s="21">
        <v>3</v>
      </c>
      <c r="F93" s="21">
        <v>0</v>
      </c>
      <c r="G93" s="21">
        <v>115</v>
      </c>
      <c r="H93" s="21">
        <v>174</v>
      </c>
      <c r="I93" s="21"/>
      <c r="J93" s="21">
        <v>130</v>
      </c>
      <c r="K93" s="21"/>
      <c r="L93" s="21"/>
      <c r="M93" s="41">
        <f>AVERAGE(G93:L93)</f>
        <v>139.66666666666666</v>
      </c>
      <c r="N93" s="20">
        <v>46055</v>
      </c>
      <c r="O93" s="21">
        <v>2</v>
      </c>
      <c r="P93" s="21">
        <v>1</v>
      </c>
      <c r="Q93" s="21">
        <v>261</v>
      </c>
      <c r="R93" s="21"/>
      <c r="S93" s="21"/>
      <c r="T93" s="21">
        <v>258</v>
      </c>
      <c r="U93" s="21"/>
      <c r="V93" s="21"/>
      <c r="W93" s="40">
        <f>AVERAGE(Q93:V93)</f>
        <v>259.5</v>
      </c>
    </row>
    <row r="94" spans="1:24" ht="16.5" customHeight="1" x14ac:dyDescent="0.25">
      <c r="A94" s="5">
        <v>4</v>
      </c>
      <c r="B94" s="21" t="s">
        <v>217</v>
      </c>
      <c r="C94" s="13">
        <v>46039</v>
      </c>
      <c r="D94" s="21"/>
      <c r="E94" s="21"/>
      <c r="F94" s="21"/>
      <c r="G94" s="21"/>
      <c r="H94" s="21"/>
      <c r="I94" s="21"/>
      <c r="J94" s="21"/>
      <c r="K94" s="21"/>
      <c r="L94" s="21"/>
      <c r="M94" s="41"/>
      <c r="N94" s="21"/>
      <c r="O94" s="21"/>
      <c r="P94" s="21"/>
      <c r="Q94" s="21"/>
      <c r="R94" s="21"/>
      <c r="S94" s="21"/>
      <c r="T94" s="21"/>
      <c r="U94" s="21"/>
      <c r="V94" s="21"/>
      <c r="W94" s="40"/>
    </row>
    <row r="95" spans="1:24" ht="15.75" customHeight="1" x14ac:dyDescent="0.25">
      <c r="A95" s="5">
        <v>5</v>
      </c>
      <c r="B95" s="21"/>
      <c r="C95" s="8"/>
      <c r="D95" s="21"/>
      <c r="E95" s="21"/>
      <c r="F95" s="21"/>
      <c r="G95" s="21"/>
      <c r="H95" s="21"/>
      <c r="I95" s="21"/>
      <c r="J95" s="21"/>
      <c r="K95" s="21"/>
      <c r="L95" s="21"/>
      <c r="M95" s="41"/>
      <c r="N95" s="21"/>
      <c r="O95" s="21"/>
      <c r="P95" s="21"/>
      <c r="Q95" s="21"/>
      <c r="R95" s="21"/>
      <c r="S95" s="21"/>
      <c r="T95" s="21"/>
      <c r="U95" s="21"/>
      <c r="V95" s="21"/>
      <c r="W95" s="40"/>
    </row>
    <row r="96" spans="1:24" ht="14.25" customHeight="1" thickBot="1" x14ac:dyDescent="0.3">
      <c r="A96" s="7">
        <v>6</v>
      </c>
      <c r="B96" s="37"/>
      <c r="C96" s="10"/>
      <c r="D96" s="37"/>
      <c r="E96" s="37"/>
      <c r="F96" s="37"/>
      <c r="G96" s="37"/>
      <c r="H96" s="37"/>
      <c r="I96" s="37"/>
      <c r="J96" s="37"/>
      <c r="K96" s="37"/>
      <c r="L96" s="37"/>
      <c r="M96" s="42"/>
      <c r="N96" s="37"/>
      <c r="O96" s="37"/>
      <c r="P96" s="37"/>
      <c r="Q96" s="37"/>
      <c r="R96" s="37"/>
      <c r="S96" s="37"/>
      <c r="T96" s="37"/>
      <c r="U96" s="37"/>
      <c r="V96" s="37"/>
      <c r="W96" s="43"/>
    </row>
    <row r="97" spans="1:24" ht="20.100000000000001" customHeight="1" x14ac:dyDescent="0.25"/>
    <row r="98" spans="1:24" ht="20.100000000000001" customHeight="1" thickBot="1" x14ac:dyDescent="0.3"/>
    <row r="99" spans="1:24" ht="20.100000000000001" customHeight="1" x14ac:dyDescent="0.25">
      <c r="A99" s="100" t="s">
        <v>2</v>
      </c>
      <c r="B99" s="101"/>
      <c r="C99" s="111" t="s">
        <v>35</v>
      </c>
      <c r="D99" s="112"/>
      <c r="E99" s="111" t="s">
        <v>378</v>
      </c>
      <c r="F99" s="112"/>
      <c r="G99" s="101" t="s">
        <v>4</v>
      </c>
      <c r="H99" s="101"/>
      <c r="I99" s="102" t="s">
        <v>5</v>
      </c>
      <c r="J99" s="102"/>
      <c r="K99" s="102"/>
      <c r="L99" s="102"/>
      <c r="M99" s="102"/>
      <c r="N99" s="102"/>
      <c r="O99" s="101" t="s">
        <v>6</v>
      </c>
      <c r="P99" s="101"/>
      <c r="Q99" s="103"/>
      <c r="R99" s="104"/>
      <c r="S99" s="104"/>
      <c r="T99" s="104"/>
      <c r="U99" s="104"/>
      <c r="V99" s="104"/>
      <c r="W99" s="105"/>
      <c r="X99" s="1"/>
    </row>
    <row r="100" spans="1:24" ht="20.100000000000001" customHeight="1" x14ac:dyDescent="0.25">
      <c r="A100" s="106" t="s">
        <v>7</v>
      </c>
      <c r="B100" s="107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7"/>
      <c r="R100" s="107"/>
      <c r="S100" s="107"/>
      <c r="T100" s="107"/>
      <c r="U100" s="107"/>
      <c r="V100" s="107"/>
      <c r="W100" s="110"/>
      <c r="X100" s="1"/>
    </row>
    <row r="101" spans="1:24" ht="24.95" customHeight="1" x14ac:dyDescent="0.25">
      <c r="A101" s="113" t="s">
        <v>8</v>
      </c>
      <c r="B101" s="114" t="s">
        <v>9</v>
      </c>
      <c r="C101" s="114" t="s">
        <v>10</v>
      </c>
      <c r="D101" s="114" t="s">
        <v>11</v>
      </c>
      <c r="E101" s="114" t="s">
        <v>12</v>
      </c>
      <c r="F101" s="114" t="s">
        <v>13</v>
      </c>
      <c r="G101" s="114" t="s">
        <v>14</v>
      </c>
      <c r="H101" s="114"/>
      <c r="I101" s="114"/>
      <c r="J101" s="114"/>
      <c r="K101" s="114"/>
      <c r="L101" s="114"/>
      <c r="M101" s="114" t="s">
        <v>15</v>
      </c>
      <c r="N101" s="114" t="s">
        <v>16</v>
      </c>
      <c r="O101" s="114" t="s">
        <v>17</v>
      </c>
      <c r="P101" s="114" t="s">
        <v>18</v>
      </c>
      <c r="Q101" s="114" t="s">
        <v>19</v>
      </c>
      <c r="R101" s="114"/>
      <c r="S101" s="114"/>
      <c r="T101" s="114"/>
      <c r="U101" s="114"/>
      <c r="V101" s="114"/>
      <c r="W101" s="115" t="s">
        <v>20</v>
      </c>
      <c r="X101" s="3"/>
    </row>
    <row r="102" spans="1:24" ht="24.95" customHeight="1" x14ac:dyDescent="0.25">
      <c r="A102" s="113"/>
      <c r="B102" s="114"/>
      <c r="C102" s="114"/>
      <c r="D102" s="114"/>
      <c r="E102" s="114"/>
      <c r="F102" s="114"/>
      <c r="G102" s="31" t="s">
        <v>21</v>
      </c>
      <c r="H102" s="31" t="s">
        <v>21</v>
      </c>
      <c r="I102" s="31" t="s">
        <v>21</v>
      </c>
      <c r="J102" s="31" t="s">
        <v>22</v>
      </c>
      <c r="K102" s="31" t="s">
        <v>22</v>
      </c>
      <c r="L102" s="31" t="s">
        <v>22</v>
      </c>
      <c r="M102" s="114"/>
      <c r="N102" s="114"/>
      <c r="O102" s="114"/>
      <c r="P102" s="114"/>
      <c r="Q102" s="31" t="s">
        <v>21</v>
      </c>
      <c r="R102" s="31" t="s">
        <v>21</v>
      </c>
      <c r="S102" s="31" t="s">
        <v>21</v>
      </c>
      <c r="T102" s="31" t="s">
        <v>22</v>
      </c>
      <c r="U102" s="31" t="s">
        <v>22</v>
      </c>
      <c r="V102" s="31" t="s">
        <v>22</v>
      </c>
      <c r="W102" s="115"/>
      <c r="X102" s="3"/>
    </row>
    <row r="103" spans="1:24" ht="15" customHeight="1" x14ac:dyDescent="0.25">
      <c r="A103" s="5">
        <v>1</v>
      </c>
      <c r="B103" s="21" t="s">
        <v>24</v>
      </c>
      <c r="C103" s="13">
        <v>45738</v>
      </c>
      <c r="D103" s="8" t="s">
        <v>28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/>
    </row>
    <row r="104" spans="1:24" ht="16.5" customHeight="1" x14ac:dyDescent="0.25">
      <c r="A104" s="6">
        <v>2</v>
      </c>
      <c r="B104" s="21" t="s">
        <v>23</v>
      </c>
      <c r="C104" s="13">
        <v>45851</v>
      </c>
      <c r="D104" s="13">
        <v>45921</v>
      </c>
      <c r="E104" s="21">
        <v>3</v>
      </c>
      <c r="F104" s="21">
        <v>0</v>
      </c>
      <c r="G104" s="21">
        <v>119</v>
      </c>
      <c r="H104" s="21"/>
      <c r="I104" s="21"/>
      <c r="J104" s="21"/>
      <c r="K104" s="21"/>
      <c r="L104" s="21"/>
      <c r="M104" s="21">
        <v>119</v>
      </c>
      <c r="N104" s="20">
        <v>45944</v>
      </c>
      <c r="O104" s="21">
        <v>1</v>
      </c>
      <c r="P104" s="21">
        <v>2</v>
      </c>
      <c r="Q104" s="21">
        <v>230</v>
      </c>
      <c r="R104" s="21"/>
      <c r="S104" s="21"/>
      <c r="T104" s="21"/>
      <c r="U104" s="21"/>
      <c r="V104" s="21"/>
      <c r="W104" s="22">
        <v>230</v>
      </c>
    </row>
    <row r="105" spans="1:24" ht="16.5" customHeight="1" x14ac:dyDescent="0.25">
      <c r="A105" s="6">
        <v>3</v>
      </c>
      <c r="B105" s="21" t="s">
        <v>232</v>
      </c>
      <c r="C105" s="13">
        <v>45950</v>
      </c>
      <c r="D105" s="13">
        <v>46020</v>
      </c>
      <c r="E105" s="21">
        <v>3</v>
      </c>
      <c r="F105" s="21">
        <v>0</v>
      </c>
      <c r="G105" s="21">
        <v>118</v>
      </c>
      <c r="H105" s="21">
        <v>95</v>
      </c>
      <c r="I105" s="21"/>
      <c r="J105" s="21"/>
      <c r="K105" s="21"/>
      <c r="L105" s="21"/>
      <c r="M105" s="21">
        <f>AVERAGE(G105:L105)</f>
        <v>106.5</v>
      </c>
      <c r="N105" s="20">
        <v>46039</v>
      </c>
      <c r="O105" s="21">
        <v>2</v>
      </c>
      <c r="P105" s="21">
        <v>1</v>
      </c>
      <c r="Q105" s="21">
        <v>269</v>
      </c>
      <c r="R105" s="21"/>
      <c r="S105" s="21"/>
      <c r="T105" s="21">
        <v>295</v>
      </c>
      <c r="U105" s="21"/>
      <c r="V105" s="21"/>
      <c r="W105" s="22">
        <f>AVERAGE(Q105:V105)</f>
        <v>282</v>
      </c>
    </row>
    <row r="106" spans="1:24" ht="16.5" customHeight="1" x14ac:dyDescent="0.25">
      <c r="A106" s="5">
        <v>4</v>
      </c>
      <c r="B106" s="21" t="s">
        <v>217</v>
      </c>
      <c r="C106" s="13">
        <v>46039</v>
      </c>
      <c r="D106" s="13">
        <v>46133</v>
      </c>
      <c r="E106" s="21">
        <v>3</v>
      </c>
      <c r="F106" s="21">
        <v>0</v>
      </c>
      <c r="G106" s="21">
        <v>92</v>
      </c>
      <c r="H106" s="21">
        <v>90</v>
      </c>
      <c r="I106" s="21"/>
      <c r="J106" s="21">
        <v>85</v>
      </c>
      <c r="K106" s="21"/>
      <c r="L106" s="21"/>
      <c r="M106" s="21">
        <f>AVERAGE(G106:L106)</f>
        <v>89</v>
      </c>
      <c r="N106" s="20">
        <v>46176</v>
      </c>
      <c r="O106" s="21">
        <v>3</v>
      </c>
      <c r="P106" s="21">
        <v>0</v>
      </c>
      <c r="Q106" s="21">
        <v>302</v>
      </c>
      <c r="R106" s="21">
        <v>328</v>
      </c>
      <c r="S106" s="21"/>
      <c r="T106" s="21">
        <v>290</v>
      </c>
      <c r="U106" s="21"/>
      <c r="V106" s="21"/>
      <c r="W106" s="68">
        <f>AVERAGE(Q106:V106)</f>
        <v>306.66666666666669</v>
      </c>
    </row>
    <row r="107" spans="1:24" ht="16.5" customHeight="1" x14ac:dyDescent="0.25">
      <c r="A107" s="5">
        <v>5</v>
      </c>
      <c r="B107" s="21" t="s">
        <v>24</v>
      </c>
      <c r="C107" s="13">
        <v>46181</v>
      </c>
      <c r="D107" s="8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2"/>
    </row>
    <row r="108" spans="1:24" ht="15" customHeight="1" thickBot="1" x14ac:dyDescent="0.3">
      <c r="A108" s="7">
        <v>6</v>
      </c>
      <c r="B108" s="37"/>
      <c r="C108" s="10"/>
      <c r="D108" s="10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9"/>
    </row>
    <row r="109" spans="1:24" ht="20.100000000000001" customHeight="1" x14ac:dyDescent="0.25"/>
    <row r="110" spans="1:24" ht="20.100000000000001" customHeight="1" thickBot="1" x14ac:dyDescent="0.3"/>
    <row r="111" spans="1:24" s="97" customFormat="1" ht="20.100000000000001" customHeight="1" x14ac:dyDescent="0.25">
      <c r="A111" s="123" t="s">
        <v>2</v>
      </c>
      <c r="B111" s="124"/>
      <c r="C111" s="129" t="s">
        <v>36</v>
      </c>
      <c r="D111" s="130"/>
      <c r="E111" s="129" t="s">
        <v>378</v>
      </c>
      <c r="F111" s="130"/>
      <c r="G111" s="124" t="s">
        <v>4</v>
      </c>
      <c r="H111" s="124"/>
      <c r="I111" s="125" t="s">
        <v>5</v>
      </c>
      <c r="J111" s="125"/>
      <c r="K111" s="125"/>
      <c r="L111" s="125"/>
      <c r="M111" s="125"/>
      <c r="N111" s="125"/>
      <c r="O111" s="124" t="s">
        <v>6</v>
      </c>
      <c r="P111" s="124"/>
      <c r="Q111" s="126"/>
      <c r="R111" s="127"/>
      <c r="S111" s="127"/>
      <c r="T111" s="127"/>
      <c r="U111" s="127"/>
      <c r="V111" s="127"/>
      <c r="W111" s="128"/>
      <c r="X111" s="96"/>
    </row>
    <row r="112" spans="1:24" ht="20.100000000000001" customHeight="1" x14ac:dyDescent="0.25">
      <c r="A112" s="106" t="s">
        <v>7</v>
      </c>
      <c r="B112" s="107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7"/>
      <c r="R112" s="107"/>
      <c r="S112" s="107"/>
      <c r="T112" s="107"/>
      <c r="U112" s="107"/>
      <c r="V112" s="107"/>
      <c r="W112" s="110"/>
      <c r="X112" s="1"/>
    </row>
    <row r="113" spans="1:24" ht="24.95" customHeight="1" x14ac:dyDescent="0.25">
      <c r="A113" s="113" t="s">
        <v>8</v>
      </c>
      <c r="B113" s="114" t="s">
        <v>9</v>
      </c>
      <c r="C113" s="114" t="s">
        <v>10</v>
      </c>
      <c r="D113" s="114" t="s">
        <v>11</v>
      </c>
      <c r="E113" s="114" t="s">
        <v>12</v>
      </c>
      <c r="F113" s="114" t="s">
        <v>13</v>
      </c>
      <c r="G113" s="114" t="s">
        <v>14</v>
      </c>
      <c r="H113" s="114"/>
      <c r="I113" s="114"/>
      <c r="J113" s="114"/>
      <c r="K113" s="114"/>
      <c r="L113" s="114"/>
      <c r="M113" s="114" t="s">
        <v>15</v>
      </c>
      <c r="N113" s="114" t="s">
        <v>16</v>
      </c>
      <c r="O113" s="114" t="s">
        <v>17</v>
      </c>
      <c r="P113" s="114" t="s">
        <v>18</v>
      </c>
      <c r="Q113" s="114" t="s">
        <v>19</v>
      </c>
      <c r="R113" s="114"/>
      <c r="S113" s="114"/>
      <c r="T113" s="114"/>
      <c r="U113" s="114"/>
      <c r="V113" s="114"/>
      <c r="W113" s="115" t="s">
        <v>20</v>
      </c>
      <c r="X113" s="3"/>
    </row>
    <row r="114" spans="1:24" ht="24.95" customHeight="1" x14ac:dyDescent="0.25">
      <c r="A114" s="113"/>
      <c r="B114" s="114"/>
      <c r="C114" s="114"/>
      <c r="D114" s="114"/>
      <c r="E114" s="114"/>
      <c r="F114" s="114"/>
      <c r="G114" s="31" t="s">
        <v>21</v>
      </c>
      <c r="H114" s="31" t="s">
        <v>21</v>
      </c>
      <c r="I114" s="31" t="s">
        <v>21</v>
      </c>
      <c r="J114" s="31" t="s">
        <v>22</v>
      </c>
      <c r="K114" s="31" t="s">
        <v>22</v>
      </c>
      <c r="L114" s="31" t="s">
        <v>22</v>
      </c>
      <c r="M114" s="114"/>
      <c r="N114" s="114"/>
      <c r="O114" s="114"/>
      <c r="P114" s="114"/>
      <c r="Q114" s="31" t="s">
        <v>21</v>
      </c>
      <c r="R114" s="31" t="s">
        <v>21</v>
      </c>
      <c r="S114" s="31" t="s">
        <v>21</v>
      </c>
      <c r="T114" s="31" t="s">
        <v>22</v>
      </c>
      <c r="U114" s="31" t="s">
        <v>22</v>
      </c>
      <c r="V114" s="31" t="s">
        <v>22</v>
      </c>
      <c r="W114" s="115"/>
      <c r="X114" s="3"/>
    </row>
    <row r="115" spans="1:24" ht="15.75" customHeight="1" x14ac:dyDescent="0.25">
      <c r="A115" s="5">
        <v>1</v>
      </c>
      <c r="B115" s="21" t="s">
        <v>24</v>
      </c>
      <c r="C115" s="13">
        <v>45738</v>
      </c>
      <c r="D115" s="8" t="s">
        <v>373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9"/>
    </row>
    <row r="116" spans="1:24" ht="15.75" customHeight="1" x14ac:dyDescent="0.25">
      <c r="A116" s="6">
        <v>2</v>
      </c>
      <c r="B116" s="21" t="s">
        <v>23</v>
      </c>
      <c r="C116" s="13">
        <v>45851</v>
      </c>
      <c r="D116" s="13">
        <v>45919</v>
      </c>
      <c r="E116" s="21">
        <v>3</v>
      </c>
      <c r="F116" s="21">
        <v>0</v>
      </c>
      <c r="G116" s="21">
        <v>156</v>
      </c>
      <c r="H116" s="21">
        <v>146</v>
      </c>
      <c r="I116" s="21"/>
      <c r="J116" s="21">
        <v>132</v>
      </c>
      <c r="K116" s="21"/>
      <c r="L116" s="21"/>
      <c r="M116" s="33">
        <f>AVERAGE(G116:L116)</f>
        <v>144.66666666666666</v>
      </c>
      <c r="N116" s="20">
        <v>45944</v>
      </c>
      <c r="O116" s="21">
        <v>3</v>
      </c>
      <c r="P116" s="21">
        <v>0</v>
      </c>
      <c r="Q116" s="21">
        <v>256</v>
      </c>
      <c r="R116" s="21">
        <v>241</v>
      </c>
      <c r="S116" s="21"/>
      <c r="T116" s="21">
        <v>238</v>
      </c>
      <c r="U116" s="21"/>
      <c r="V116" s="21"/>
      <c r="W116" s="22">
        <f>AVERAGE(Q116:V116)</f>
        <v>245</v>
      </c>
    </row>
    <row r="117" spans="1:24" ht="15.75" customHeight="1" x14ac:dyDescent="0.25">
      <c r="A117" s="6">
        <v>3</v>
      </c>
      <c r="B117" s="21" t="s">
        <v>232</v>
      </c>
      <c r="C117" s="13">
        <v>45950</v>
      </c>
      <c r="D117" s="13">
        <v>46022</v>
      </c>
      <c r="E117" s="21">
        <v>2</v>
      </c>
      <c r="F117" s="21">
        <v>0</v>
      </c>
      <c r="G117" s="21">
        <v>127</v>
      </c>
      <c r="H117" s="21"/>
      <c r="I117" s="21"/>
      <c r="J117" s="21">
        <v>125</v>
      </c>
      <c r="K117" s="21"/>
      <c r="L117" s="21"/>
      <c r="M117" s="33">
        <f>AVERAGE(G117:L117)</f>
        <v>126</v>
      </c>
      <c r="N117" s="20">
        <v>46039</v>
      </c>
      <c r="O117" s="21">
        <v>2</v>
      </c>
      <c r="P117" s="21">
        <v>0</v>
      </c>
      <c r="Q117" s="21">
        <v>164</v>
      </c>
      <c r="R117" s="21"/>
      <c r="S117" s="21"/>
      <c r="T117" s="21">
        <v>200</v>
      </c>
      <c r="U117" s="21"/>
      <c r="V117" s="21"/>
      <c r="W117" s="22">
        <f>AVERAGE(Q117:V117)</f>
        <v>182</v>
      </c>
    </row>
    <row r="118" spans="1:24" ht="15.75" customHeight="1" x14ac:dyDescent="0.25">
      <c r="A118" s="5">
        <v>4</v>
      </c>
      <c r="B118" s="21" t="s">
        <v>217</v>
      </c>
      <c r="C118" s="13">
        <v>46039</v>
      </c>
      <c r="D118" s="13">
        <v>46111</v>
      </c>
      <c r="E118" s="21">
        <v>1</v>
      </c>
      <c r="F118" s="21">
        <v>0</v>
      </c>
      <c r="G118" s="21">
        <v>203</v>
      </c>
      <c r="H118" s="21"/>
      <c r="I118" s="21"/>
      <c r="J118" s="21"/>
      <c r="K118" s="21"/>
      <c r="L118" s="21"/>
      <c r="M118" s="33">
        <v>203</v>
      </c>
      <c r="N118" s="20">
        <v>46133</v>
      </c>
      <c r="O118" s="21">
        <v>1</v>
      </c>
      <c r="P118" s="21">
        <v>0</v>
      </c>
      <c r="Q118" s="21">
        <v>374</v>
      </c>
      <c r="R118" s="21"/>
      <c r="S118" s="21"/>
      <c r="T118" s="21"/>
      <c r="U118" s="21"/>
      <c r="V118" s="21"/>
      <c r="W118" s="22">
        <v>374</v>
      </c>
    </row>
    <row r="119" spans="1:24" ht="15.75" customHeight="1" x14ac:dyDescent="0.25">
      <c r="A119" s="5">
        <v>5</v>
      </c>
      <c r="B119" s="21"/>
      <c r="C119" s="8"/>
      <c r="D119" s="8"/>
      <c r="E119" s="21"/>
      <c r="F119" s="21"/>
      <c r="G119" s="21"/>
      <c r="H119" s="21"/>
      <c r="I119" s="21"/>
      <c r="J119" s="21"/>
      <c r="K119" s="21"/>
      <c r="L119" s="21"/>
      <c r="M119" s="33"/>
      <c r="N119" s="21"/>
      <c r="O119" s="21"/>
      <c r="P119" s="21"/>
      <c r="Q119" s="21"/>
      <c r="R119" s="21"/>
      <c r="S119" s="21"/>
      <c r="T119" s="21"/>
      <c r="U119" s="21"/>
      <c r="V119" s="21"/>
      <c r="W119" s="22"/>
    </row>
    <row r="120" spans="1:24" ht="17.25" customHeight="1" thickBot="1" x14ac:dyDescent="0.3">
      <c r="A120" s="7">
        <v>6</v>
      </c>
      <c r="B120" s="37"/>
      <c r="C120" s="10"/>
      <c r="D120" s="10"/>
      <c r="E120" s="37"/>
      <c r="F120" s="37"/>
      <c r="G120" s="37"/>
      <c r="H120" s="37"/>
      <c r="I120" s="37"/>
      <c r="J120" s="37"/>
      <c r="K120" s="37"/>
      <c r="L120" s="37"/>
      <c r="M120" s="33"/>
      <c r="N120" s="37"/>
      <c r="O120" s="37"/>
      <c r="P120" s="37"/>
      <c r="Q120" s="37"/>
      <c r="R120" s="37"/>
      <c r="S120" s="37"/>
      <c r="T120" s="37"/>
      <c r="U120" s="37"/>
      <c r="V120" s="37"/>
      <c r="W120" s="39"/>
    </row>
    <row r="121" spans="1:24" ht="20.100000000000001" customHeight="1" x14ac:dyDescent="0.25"/>
    <row r="122" spans="1:24" ht="20.100000000000001" customHeight="1" thickBot="1" x14ac:dyDescent="0.3"/>
    <row r="123" spans="1:24" ht="20.100000000000001" customHeight="1" x14ac:dyDescent="0.25">
      <c r="A123" s="100" t="s">
        <v>2</v>
      </c>
      <c r="B123" s="101"/>
      <c r="C123" s="111" t="s">
        <v>37</v>
      </c>
      <c r="D123" s="112"/>
      <c r="E123" s="111" t="s">
        <v>379</v>
      </c>
      <c r="F123" s="112"/>
      <c r="G123" s="101" t="s">
        <v>4</v>
      </c>
      <c r="H123" s="101"/>
      <c r="I123" s="102" t="s">
        <v>5</v>
      </c>
      <c r="J123" s="102"/>
      <c r="K123" s="102"/>
      <c r="L123" s="102"/>
      <c r="M123" s="102"/>
      <c r="N123" s="102"/>
      <c r="O123" s="101" t="s">
        <v>6</v>
      </c>
      <c r="P123" s="101"/>
      <c r="Q123" s="103"/>
      <c r="R123" s="104"/>
      <c r="S123" s="104"/>
      <c r="T123" s="104"/>
      <c r="U123" s="104"/>
      <c r="V123" s="104"/>
      <c r="W123" s="105"/>
      <c r="X123" s="1"/>
    </row>
    <row r="124" spans="1:24" ht="20.100000000000001" customHeight="1" x14ac:dyDescent="0.25">
      <c r="A124" s="106" t="s">
        <v>7</v>
      </c>
      <c r="B124" s="107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7"/>
      <c r="R124" s="107"/>
      <c r="S124" s="107"/>
      <c r="T124" s="107"/>
      <c r="U124" s="107"/>
      <c r="V124" s="107"/>
      <c r="W124" s="110"/>
      <c r="X124" s="1"/>
    </row>
    <row r="125" spans="1:24" ht="24.95" customHeight="1" x14ac:dyDescent="0.25">
      <c r="A125" s="113" t="s">
        <v>8</v>
      </c>
      <c r="B125" s="114" t="s">
        <v>9</v>
      </c>
      <c r="C125" s="114" t="s">
        <v>10</v>
      </c>
      <c r="D125" s="114" t="s">
        <v>11</v>
      </c>
      <c r="E125" s="114" t="s">
        <v>12</v>
      </c>
      <c r="F125" s="114" t="s">
        <v>13</v>
      </c>
      <c r="G125" s="114" t="s">
        <v>14</v>
      </c>
      <c r="H125" s="114"/>
      <c r="I125" s="114"/>
      <c r="J125" s="114"/>
      <c r="K125" s="114"/>
      <c r="L125" s="114"/>
      <c r="M125" s="114" t="s">
        <v>15</v>
      </c>
      <c r="N125" s="114" t="s">
        <v>16</v>
      </c>
      <c r="O125" s="114" t="s">
        <v>17</v>
      </c>
      <c r="P125" s="114" t="s">
        <v>18</v>
      </c>
      <c r="Q125" s="114" t="s">
        <v>19</v>
      </c>
      <c r="R125" s="114"/>
      <c r="S125" s="114"/>
      <c r="T125" s="114"/>
      <c r="U125" s="114"/>
      <c r="V125" s="114"/>
      <c r="W125" s="115" t="s">
        <v>20</v>
      </c>
      <c r="X125" s="3"/>
    </row>
    <row r="126" spans="1:24" ht="24.95" customHeight="1" x14ac:dyDescent="0.25">
      <c r="A126" s="113"/>
      <c r="B126" s="114"/>
      <c r="C126" s="114"/>
      <c r="D126" s="114"/>
      <c r="E126" s="114"/>
      <c r="F126" s="114"/>
      <c r="G126" s="31" t="s">
        <v>21</v>
      </c>
      <c r="H126" s="31" t="s">
        <v>21</v>
      </c>
      <c r="I126" s="31" t="s">
        <v>21</v>
      </c>
      <c r="J126" s="31" t="s">
        <v>22</v>
      </c>
      <c r="K126" s="31" t="s">
        <v>22</v>
      </c>
      <c r="L126" s="31" t="s">
        <v>22</v>
      </c>
      <c r="M126" s="114"/>
      <c r="N126" s="114"/>
      <c r="O126" s="114"/>
      <c r="P126" s="114"/>
      <c r="Q126" s="31" t="s">
        <v>21</v>
      </c>
      <c r="R126" s="31" t="s">
        <v>21</v>
      </c>
      <c r="S126" s="31" t="s">
        <v>21</v>
      </c>
      <c r="T126" s="31" t="s">
        <v>22</v>
      </c>
      <c r="U126" s="31" t="s">
        <v>22</v>
      </c>
      <c r="V126" s="31" t="s">
        <v>22</v>
      </c>
      <c r="W126" s="115"/>
      <c r="X126" s="3"/>
    </row>
    <row r="127" spans="1:24" ht="15" customHeight="1" x14ac:dyDescent="0.25">
      <c r="A127" s="5">
        <v>1</v>
      </c>
      <c r="B127" s="21" t="s">
        <v>231</v>
      </c>
      <c r="C127" s="13">
        <v>45738</v>
      </c>
      <c r="D127" s="8" t="s">
        <v>373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spans="1:24" ht="15.75" customHeight="1" x14ac:dyDescent="0.25">
      <c r="A128" s="6">
        <v>2</v>
      </c>
      <c r="B128" s="21" t="s">
        <v>232</v>
      </c>
      <c r="C128" s="13">
        <v>45851</v>
      </c>
      <c r="D128" s="13">
        <v>45924</v>
      </c>
      <c r="E128" s="21">
        <v>3</v>
      </c>
      <c r="F128" s="21">
        <v>0</v>
      </c>
      <c r="G128" s="21">
        <v>107</v>
      </c>
      <c r="H128" s="21"/>
      <c r="I128" s="21"/>
      <c r="J128" s="21">
        <v>101</v>
      </c>
      <c r="K128" s="21">
        <v>94</v>
      </c>
      <c r="L128" s="21"/>
      <c r="M128" s="80">
        <f>AVERAGE(G128:L128)</f>
        <v>100.66666666666667</v>
      </c>
      <c r="N128" s="20">
        <v>45579</v>
      </c>
      <c r="O128" s="21">
        <v>2</v>
      </c>
      <c r="P128" s="21">
        <v>1</v>
      </c>
      <c r="Q128" s="21">
        <v>228</v>
      </c>
      <c r="R128" s="21"/>
      <c r="S128" s="21"/>
      <c r="T128" s="21">
        <v>290</v>
      </c>
      <c r="U128" s="21"/>
      <c r="V128" s="21"/>
      <c r="W128" s="22">
        <f>AVERAGE(Q128:V128)</f>
        <v>259</v>
      </c>
    </row>
    <row r="129" spans="1:24" ht="15.75" customHeight="1" x14ac:dyDescent="0.25">
      <c r="A129" s="6">
        <v>3</v>
      </c>
      <c r="B129" s="21" t="s">
        <v>24</v>
      </c>
      <c r="C129" s="13">
        <v>45950</v>
      </c>
      <c r="D129" s="21" t="s">
        <v>432</v>
      </c>
      <c r="E129" s="21">
        <v>2</v>
      </c>
      <c r="F129" s="21">
        <v>0</v>
      </c>
      <c r="G129" s="21">
        <v>125</v>
      </c>
      <c r="H129" s="21">
        <v>130</v>
      </c>
      <c r="I129" s="21"/>
      <c r="J129" s="21"/>
      <c r="K129" s="21"/>
      <c r="L129" s="21"/>
      <c r="M129" s="80">
        <f>AVERAGE(G129:L129)</f>
        <v>127.5</v>
      </c>
      <c r="N129" s="20">
        <v>46039</v>
      </c>
      <c r="O129" s="21">
        <v>2</v>
      </c>
      <c r="P129" s="21">
        <v>0</v>
      </c>
      <c r="Q129" s="21">
        <v>200</v>
      </c>
      <c r="R129" s="21">
        <v>211</v>
      </c>
      <c r="S129" s="21"/>
      <c r="T129" s="21"/>
      <c r="U129" s="21"/>
      <c r="V129" s="21"/>
      <c r="W129" s="68">
        <f>AVERAGE(Q129:V129)</f>
        <v>205.5</v>
      </c>
    </row>
    <row r="130" spans="1:24" ht="15" customHeight="1" x14ac:dyDescent="0.25">
      <c r="A130" s="5">
        <v>4</v>
      </c>
      <c r="B130" s="21" t="s">
        <v>24</v>
      </c>
      <c r="C130" s="13">
        <v>46070</v>
      </c>
      <c r="D130" s="13">
        <v>46148</v>
      </c>
      <c r="E130" s="21">
        <v>3</v>
      </c>
      <c r="F130" s="21">
        <v>0</v>
      </c>
      <c r="G130" s="21">
        <v>120</v>
      </c>
      <c r="H130" s="21">
        <v>123</v>
      </c>
      <c r="I130" s="21"/>
      <c r="J130" s="21">
        <v>118</v>
      </c>
      <c r="K130" s="21"/>
      <c r="L130" s="21"/>
      <c r="M130" s="80">
        <f>AVERAGE(G130:L130)</f>
        <v>120.33333333333333</v>
      </c>
      <c r="N130" s="20">
        <v>46176</v>
      </c>
      <c r="O130" s="21">
        <v>3</v>
      </c>
      <c r="P130" s="21">
        <v>0</v>
      </c>
      <c r="Q130" s="21">
        <v>310</v>
      </c>
      <c r="R130" s="21">
        <v>250</v>
      </c>
      <c r="S130" s="21"/>
      <c r="T130" s="21">
        <v>260</v>
      </c>
      <c r="U130" s="21"/>
      <c r="V130" s="21"/>
      <c r="W130" s="68">
        <f>AVERAGE(Q130:V130)</f>
        <v>273.33333333333331</v>
      </c>
    </row>
    <row r="131" spans="1:24" ht="17.25" customHeight="1" x14ac:dyDescent="0.25">
      <c r="A131" s="5">
        <v>5</v>
      </c>
      <c r="B131" s="21" t="s">
        <v>231</v>
      </c>
      <c r="C131" s="13">
        <v>46181</v>
      </c>
      <c r="D131" s="8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2"/>
    </row>
    <row r="132" spans="1:24" ht="18" customHeight="1" thickBot="1" x14ac:dyDescent="0.3">
      <c r="A132" s="7">
        <v>6</v>
      </c>
      <c r="B132" s="37"/>
      <c r="C132" s="10"/>
      <c r="D132" s="10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9"/>
    </row>
    <row r="133" spans="1:24" ht="20.100000000000001" customHeight="1" x14ac:dyDescent="0.25"/>
    <row r="134" spans="1:24" ht="20.100000000000001" customHeight="1" thickBot="1" x14ac:dyDescent="0.3"/>
    <row r="135" spans="1:24" ht="20.100000000000001" customHeight="1" x14ac:dyDescent="0.25">
      <c r="A135" s="100" t="s">
        <v>2</v>
      </c>
      <c r="B135" s="101"/>
      <c r="C135" s="111" t="s">
        <v>38</v>
      </c>
      <c r="D135" s="112"/>
      <c r="E135" s="111" t="s">
        <v>378</v>
      </c>
      <c r="F135" s="112"/>
      <c r="G135" s="101" t="s">
        <v>4</v>
      </c>
      <c r="H135" s="101"/>
      <c r="I135" s="102" t="s">
        <v>5</v>
      </c>
      <c r="J135" s="102"/>
      <c r="K135" s="102"/>
      <c r="L135" s="102"/>
      <c r="M135" s="102"/>
      <c r="N135" s="102"/>
      <c r="O135" s="101" t="s">
        <v>6</v>
      </c>
      <c r="P135" s="101"/>
      <c r="Q135" s="103"/>
      <c r="R135" s="104"/>
      <c r="S135" s="104"/>
      <c r="T135" s="104"/>
      <c r="U135" s="104"/>
      <c r="V135" s="104"/>
      <c r="W135" s="105"/>
      <c r="X135" s="1"/>
    </row>
    <row r="136" spans="1:24" ht="20.100000000000001" customHeight="1" x14ac:dyDescent="0.25">
      <c r="A136" s="106" t="s">
        <v>7</v>
      </c>
      <c r="B136" s="107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7"/>
      <c r="R136" s="107"/>
      <c r="S136" s="107"/>
      <c r="T136" s="107"/>
      <c r="U136" s="107"/>
      <c r="V136" s="107"/>
      <c r="W136" s="110"/>
      <c r="X136" s="1"/>
    </row>
    <row r="137" spans="1:24" ht="24.95" customHeight="1" x14ac:dyDescent="0.25">
      <c r="A137" s="113" t="s">
        <v>8</v>
      </c>
      <c r="B137" s="114" t="s">
        <v>9</v>
      </c>
      <c r="C137" s="114" t="s">
        <v>10</v>
      </c>
      <c r="D137" s="114" t="s">
        <v>11</v>
      </c>
      <c r="E137" s="114" t="s">
        <v>12</v>
      </c>
      <c r="F137" s="114" t="s">
        <v>13</v>
      </c>
      <c r="G137" s="114" t="s">
        <v>14</v>
      </c>
      <c r="H137" s="114"/>
      <c r="I137" s="114"/>
      <c r="J137" s="114"/>
      <c r="K137" s="114"/>
      <c r="L137" s="114"/>
      <c r="M137" s="114" t="s">
        <v>15</v>
      </c>
      <c r="N137" s="114" t="s">
        <v>16</v>
      </c>
      <c r="O137" s="114" t="s">
        <v>17</v>
      </c>
      <c r="P137" s="114" t="s">
        <v>18</v>
      </c>
      <c r="Q137" s="114" t="s">
        <v>19</v>
      </c>
      <c r="R137" s="114"/>
      <c r="S137" s="114"/>
      <c r="T137" s="114"/>
      <c r="U137" s="114"/>
      <c r="V137" s="114"/>
      <c r="W137" s="115" t="s">
        <v>20</v>
      </c>
      <c r="X137" s="3"/>
    </row>
    <row r="138" spans="1:24" ht="24.95" customHeight="1" x14ac:dyDescent="0.25">
      <c r="A138" s="113"/>
      <c r="B138" s="114"/>
      <c r="C138" s="114"/>
      <c r="D138" s="114"/>
      <c r="E138" s="114"/>
      <c r="F138" s="114"/>
      <c r="G138" s="31" t="s">
        <v>21</v>
      </c>
      <c r="H138" s="31" t="s">
        <v>21</v>
      </c>
      <c r="I138" s="31" t="s">
        <v>21</v>
      </c>
      <c r="J138" s="31" t="s">
        <v>22</v>
      </c>
      <c r="K138" s="31" t="s">
        <v>22</v>
      </c>
      <c r="L138" s="31" t="s">
        <v>22</v>
      </c>
      <c r="M138" s="114"/>
      <c r="N138" s="114"/>
      <c r="O138" s="114"/>
      <c r="P138" s="114"/>
      <c r="Q138" s="31" t="s">
        <v>21</v>
      </c>
      <c r="R138" s="31" t="s">
        <v>21</v>
      </c>
      <c r="S138" s="31" t="s">
        <v>21</v>
      </c>
      <c r="T138" s="31" t="s">
        <v>22</v>
      </c>
      <c r="U138" s="31" t="s">
        <v>22</v>
      </c>
      <c r="V138" s="31" t="s">
        <v>22</v>
      </c>
      <c r="W138" s="115"/>
      <c r="X138" s="3"/>
    </row>
    <row r="139" spans="1:24" ht="15.75" customHeight="1" x14ac:dyDescent="0.25">
      <c r="A139" s="5">
        <v>1</v>
      </c>
      <c r="B139" s="21" t="s">
        <v>24</v>
      </c>
      <c r="C139" s="13">
        <v>45738</v>
      </c>
      <c r="D139" s="20">
        <v>45827</v>
      </c>
      <c r="E139" s="21">
        <v>2</v>
      </c>
      <c r="F139" s="21">
        <v>0</v>
      </c>
      <c r="G139" s="21">
        <v>219</v>
      </c>
      <c r="H139" s="21">
        <v>187</v>
      </c>
      <c r="I139" s="21"/>
      <c r="J139" s="21"/>
      <c r="K139" s="21"/>
      <c r="L139" s="21"/>
      <c r="M139" s="21">
        <f>AVERAGE(G139:L139)</f>
        <v>203</v>
      </c>
      <c r="N139" s="20">
        <v>45848</v>
      </c>
      <c r="O139" s="21">
        <v>2</v>
      </c>
      <c r="P139" s="21">
        <v>0</v>
      </c>
      <c r="Q139" s="21">
        <v>446</v>
      </c>
      <c r="R139" s="21">
        <v>471</v>
      </c>
      <c r="S139" s="21"/>
      <c r="T139" s="21"/>
      <c r="U139" s="21"/>
      <c r="V139" s="21"/>
      <c r="W139" s="22">
        <f>AVERAGE(Q139:V139)</f>
        <v>458.5</v>
      </c>
    </row>
    <row r="140" spans="1:24" ht="15.75" customHeight="1" x14ac:dyDescent="0.25">
      <c r="A140" s="6">
        <v>2</v>
      </c>
      <c r="B140" s="21" t="s">
        <v>23</v>
      </c>
      <c r="C140" s="13">
        <v>45851</v>
      </c>
      <c r="D140" s="20">
        <v>45923</v>
      </c>
      <c r="E140" s="21">
        <v>4</v>
      </c>
      <c r="F140" s="21">
        <v>3</v>
      </c>
      <c r="G140" s="21">
        <v>124</v>
      </c>
      <c r="H140" s="21"/>
      <c r="I140" s="21"/>
      <c r="J140" s="21"/>
      <c r="K140" s="21"/>
      <c r="L140" s="21"/>
      <c r="M140" s="21">
        <f>AVERAGE(G140:L140)</f>
        <v>124</v>
      </c>
      <c r="N140" s="20">
        <v>45944</v>
      </c>
      <c r="O140" s="21">
        <v>1</v>
      </c>
      <c r="P140" s="21">
        <v>0</v>
      </c>
      <c r="Q140" s="21">
        <v>260</v>
      </c>
      <c r="R140" s="21"/>
      <c r="S140" s="21"/>
      <c r="T140" s="21"/>
      <c r="U140" s="21"/>
      <c r="V140" s="21"/>
      <c r="W140" s="22">
        <f>AVERAGE(Q140:V140)</f>
        <v>260</v>
      </c>
    </row>
    <row r="141" spans="1:24" ht="14.25" customHeight="1" x14ac:dyDescent="0.25">
      <c r="A141" s="6">
        <v>3</v>
      </c>
      <c r="B141" s="21" t="s">
        <v>232</v>
      </c>
      <c r="C141" s="13">
        <v>45950</v>
      </c>
      <c r="D141" s="20">
        <v>46021</v>
      </c>
      <c r="E141" s="21">
        <v>4</v>
      </c>
      <c r="F141" s="21">
        <v>1</v>
      </c>
      <c r="G141" s="21">
        <v>121</v>
      </c>
      <c r="H141" s="21">
        <v>125</v>
      </c>
      <c r="I141" s="21">
        <v>123</v>
      </c>
      <c r="J141" s="21"/>
      <c r="K141" s="21"/>
      <c r="L141" s="21"/>
      <c r="M141" s="21">
        <f>AVERAGE(G141:L141)</f>
        <v>123</v>
      </c>
      <c r="N141" s="20">
        <v>46039</v>
      </c>
      <c r="O141" s="21">
        <v>3</v>
      </c>
      <c r="P141" s="21">
        <v>0</v>
      </c>
      <c r="Q141" s="21">
        <v>241</v>
      </c>
      <c r="R141" s="21">
        <v>223</v>
      </c>
      <c r="S141" s="21">
        <v>212</v>
      </c>
      <c r="T141" s="21"/>
      <c r="U141" s="21"/>
      <c r="V141" s="21"/>
      <c r="W141" s="40">
        <f>AVERAGE(Q141:V141)</f>
        <v>225.33333333333334</v>
      </c>
    </row>
    <row r="142" spans="1:24" ht="15" customHeight="1" x14ac:dyDescent="0.25">
      <c r="A142" s="5">
        <v>4</v>
      </c>
      <c r="B142" s="21" t="s">
        <v>217</v>
      </c>
      <c r="C142" s="13">
        <v>46039</v>
      </c>
      <c r="D142" s="21" t="s">
        <v>428</v>
      </c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2"/>
    </row>
    <row r="143" spans="1:24" ht="15.75" customHeight="1" x14ac:dyDescent="0.25">
      <c r="A143" s="5">
        <v>5</v>
      </c>
      <c r="B143" s="21" t="s">
        <v>24</v>
      </c>
      <c r="C143" s="13">
        <v>46181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2"/>
    </row>
    <row r="144" spans="1:24" ht="15.75" customHeight="1" thickBot="1" x14ac:dyDescent="0.3">
      <c r="A144" s="7">
        <v>6</v>
      </c>
      <c r="B144" s="37"/>
      <c r="C144" s="10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9"/>
    </row>
    <row r="145" spans="1:24" ht="20.100000000000001" customHeight="1" x14ac:dyDescent="0.25"/>
    <row r="146" spans="1:24" ht="20.100000000000001" customHeight="1" thickBot="1" x14ac:dyDescent="0.3"/>
    <row r="147" spans="1:24" ht="20.100000000000001" customHeight="1" x14ac:dyDescent="0.25">
      <c r="A147" s="100" t="s">
        <v>2</v>
      </c>
      <c r="B147" s="101"/>
      <c r="C147" s="111" t="s">
        <v>39</v>
      </c>
      <c r="D147" s="112"/>
      <c r="E147" s="111" t="s">
        <v>411</v>
      </c>
      <c r="F147" s="112"/>
      <c r="G147" s="101" t="s">
        <v>4</v>
      </c>
      <c r="H147" s="101"/>
      <c r="I147" s="102" t="s">
        <v>5</v>
      </c>
      <c r="J147" s="102"/>
      <c r="K147" s="102"/>
      <c r="L147" s="102"/>
      <c r="M147" s="102"/>
      <c r="N147" s="102"/>
      <c r="O147" s="101" t="s">
        <v>6</v>
      </c>
      <c r="P147" s="101"/>
      <c r="Q147" s="103"/>
      <c r="R147" s="104"/>
      <c r="S147" s="104"/>
      <c r="T147" s="104"/>
      <c r="U147" s="104"/>
      <c r="V147" s="104"/>
      <c r="W147" s="105"/>
      <c r="X147" s="1"/>
    </row>
    <row r="148" spans="1:24" ht="20.100000000000001" customHeight="1" x14ac:dyDescent="0.25">
      <c r="A148" s="106" t="s">
        <v>7</v>
      </c>
      <c r="B148" s="107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7"/>
      <c r="R148" s="107"/>
      <c r="S148" s="107"/>
      <c r="T148" s="107"/>
      <c r="U148" s="107"/>
      <c r="V148" s="107"/>
      <c r="W148" s="110"/>
      <c r="X148" s="1"/>
    </row>
    <row r="149" spans="1:24" ht="24.95" customHeight="1" x14ac:dyDescent="0.25">
      <c r="A149" s="113" t="s">
        <v>8</v>
      </c>
      <c r="B149" s="114" t="s">
        <v>9</v>
      </c>
      <c r="C149" s="114" t="s">
        <v>10</v>
      </c>
      <c r="D149" s="114" t="s">
        <v>11</v>
      </c>
      <c r="E149" s="114" t="s">
        <v>12</v>
      </c>
      <c r="F149" s="114" t="s">
        <v>13</v>
      </c>
      <c r="G149" s="114" t="s">
        <v>14</v>
      </c>
      <c r="H149" s="114"/>
      <c r="I149" s="114"/>
      <c r="J149" s="114"/>
      <c r="K149" s="114"/>
      <c r="L149" s="114"/>
      <c r="M149" s="114" t="s">
        <v>15</v>
      </c>
      <c r="N149" s="114" t="s">
        <v>16</v>
      </c>
      <c r="O149" s="114" t="s">
        <v>17</v>
      </c>
      <c r="P149" s="114" t="s">
        <v>18</v>
      </c>
      <c r="Q149" s="114" t="s">
        <v>19</v>
      </c>
      <c r="R149" s="114"/>
      <c r="S149" s="114"/>
      <c r="T149" s="114"/>
      <c r="U149" s="114"/>
      <c r="V149" s="114"/>
      <c r="W149" s="115" t="s">
        <v>20</v>
      </c>
      <c r="X149" s="3"/>
    </row>
    <row r="150" spans="1:24" ht="24.95" customHeight="1" x14ac:dyDescent="0.25">
      <c r="A150" s="113"/>
      <c r="B150" s="114"/>
      <c r="C150" s="114"/>
      <c r="D150" s="114"/>
      <c r="E150" s="114"/>
      <c r="F150" s="114"/>
      <c r="G150" s="31" t="s">
        <v>21</v>
      </c>
      <c r="H150" s="31" t="s">
        <v>21</v>
      </c>
      <c r="I150" s="31" t="s">
        <v>21</v>
      </c>
      <c r="J150" s="31" t="s">
        <v>22</v>
      </c>
      <c r="K150" s="31" t="s">
        <v>22</v>
      </c>
      <c r="L150" s="31" t="s">
        <v>22</v>
      </c>
      <c r="M150" s="114"/>
      <c r="N150" s="114"/>
      <c r="O150" s="114"/>
      <c r="P150" s="114"/>
      <c r="Q150" s="31" t="s">
        <v>21</v>
      </c>
      <c r="R150" s="31" t="s">
        <v>21</v>
      </c>
      <c r="S150" s="31" t="s">
        <v>21</v>
      </c>
      <c r="T150" s="31" t="s">
        <v>22</v>
      </c>
      <c r="U150" s="31" t="s">
        <v>22</v>
      </c>
      <c r="V150" s="31" t="s">
        <v>22</v>
      </c>
      <c r="W150" s="115"/>
      <c r="X150" s="3"/>
    </row>
    <row r="151" spans="1:24" ht="16.5" customHeight="1" x14ac:dyDescent="0.25">
      <c r="A151" s="5">
        <v>1</v>
      </c>
      <c r="B151" s="21" t="s">
        <v>24</v>
      </c>
      <c r="C151" s="13">
        <v>45738</v>
      </c>
      <c r="D151" s="8" t="s">
        <v>371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9"/>
    </row>
    <row r="152" spans="1:24" ht="15.75" customHeight="1" x14ac:dyDescent="0.25">
      <c r="A152" s="6">
        <v>2</v>
      </c>
      <c r="B152" s="21" t="s">
        <v>24</v>
      </c>
      <c r="C152" s="13">
        <v>45851</v>
      </c>
      <c r="D152" s="20">
        <v>45925</v>
      </c>
      <c r="E152" s="21">
        <v>3</v>
      </c>
      <c r="F152" s="21">
        <v>0</v>
      </c>
      <c r="G152" s="21">
        <v>128</v>
      </c>
      <c r="H152" s="21"/>
      <c r="I152" s="21"/>
      <c r="J152" s="21">
        <v>128</v>
      </c>
      <c r="K152" s="21">
        <v>78</v>
      </c>
      <c r="L152" s="21"/>
      <c r="M152" s="41">
        <f>AVERAGE(G152:L152)</f>
        <v>111.33333333333333</v>
      </c>
      <c r="N152" s="20">
        <v>45944</v>
      </c>
      <c r="O152" s="21">
        <v>1</v>
      </c>
      <c r="P152" s="21">
        <v>2</v>
      </c>
      <c r="Q152" s="21">
        <v>225</v>
      </c>
      <c r="R152" s="21"/>
      <c r="S152" s="21"/>
      <c r="T152" s="21"/>
      <c r="U152" s="21"/>
      <c r="V152" s="21"/>
      <c r="W152" s="22">
        <f>AVERAGE(Q152:V152)</f>
        <v>225</v>
      </c>
    </row>
    <row r="153" spans="1:24" ht="15.75" customHeight="1" x14ac:dyDescent="0.25">
      <c r="A153" s="6">
        <v>3</v>
      </c>
      <c r="B153" s="21" t="s">
        <v>29</v>
      </c>
      <c r="C153" s="13">
        <v>45950</v>
      </c>
      <c r="D153" s="21" t="s">
        <v>431</v>
      </c>
      <c r="E153" s="21">
        <v>3</v>
      </c>
      <c r="F153" s="21">
        <v>0</v>
      </c>
      <c r="G153" s="21">
        <v>120</v>
      </c>
      <c r="H153" s="21">
        <v>128</v>
      </c>
      <c r="I153" s="21">
        <v>125</v>
      </c>
      <c r="J153" s="21"/>
      <c r="K153" s="21"/>
      <c r="L153" s="21"/>
      <c r="M153" s="41">
        <f>AVERAGE(G153:L153)</f>
        <v>124.33333333333333</v>
      </c>
      <c r="N153" s="20">
        <v>46039</v>
      </c>
      <c r="O153" s="21">
        <v>2</v>
      </c>
      <c r="P153" s="21">
        <v>1</v>
      </c>
      <c r="Q153" s="21">
        <v>260</v>
      </c>
      <c r="R153" s="21">
        <v>218</v>
      </c>
      <c r="S153" s="21"/>
      <c r="T153" s="21"/>
      <c r="U153" s="21"/>
      <c r="V153" s="21"/>
      <c r="W153" s="22">
        <f>AVERAGE(Q153:V153)</f>
        <v>239</v>
      </c>
    </row>
    <row r="154" spans="1:24" ht="15.75" customHeight="1" x14ac:dyDescent="0.25">
      <c r="A154" s="5">
        <v>4</v>
      </c>
      <c r="B154" s="21" t="s">
        <v>244</v>
      </c>
      <c r="C154" s="13">
        <v>46039</v>
      </c>
      <c r="D154" s="20">
        <v>46120</v>
      </c>
      <c r="E154" s="21">
        <v>1</v>
      </c>
      <c r="F154" s="21">
        <v>0</v>
      </c>
      <c r="G154" s="21">
        <v>178</v>
      </c>
      <c r="H154" s="21"/>
      <c r="I154" s="21"/>
      <c r="J154" s="21"/>
      <c r="K154" s="21"/>
      <c r="L154" s="21"/>
      <c r="M154" s="41">
        <v>178</v>
      </c>
      <c r="N154" s="20">
        <v>46139</v>
      </c>
      <c r="O154" s="21">
        <v>1</v>
      </c>
      <c r="P154" s="21">
        <v>0</v>
      </c>
      <c r="Q154" s="21">
        <v>229</v>
      </c>
      <c r="R154" s="21"/>
      <c r="S154" s="21"/>
      <c r="T154" s="21"/>
      <c r="U154" s="21"/>
      <c r="V154" s="21"/>
      <c r="W154" s="22">
        <v>229</v>
      </c>
    </row>
    <row r="155" spans="1:24" ht="15" customHeight="1" x14ac:dyDescent="0.25">
      <c r="A155" s="5">
        <v>5</v>
      </c>
      <c r="B155" s="21" t="s">
        <v>244</v>
      </c>
      <c r="C155" s="13">
        <v>46148</v>
      </c>
      <c r="D155" s="21"/>
      <c r="E155" s="21"/>
      <c r="F155" s="21"/>
      <c r="G155" s="21"/>
      <c r="H155" s="21"/>
      <c r="I155" s="21"/>
      <c r="J155" s="21"/>
      <c r="K155" s="21"/>
      <c r="L155" s="21"/>
      <c r="M155" s="41"/>
      <c r="N155" s="21"/>
      <c r="O155" s="21"/>
      <c r="P155" s="21"/>
      <c r="Q155" s="21"/>
      <c r="R155" s="21"/>
      <c r="S155" s="21"/>
      <c r="T155" s="21"/>
      <c r="U155" s="21"/>
      <c r="V155" s="21"/>
      <c r="W155" s="22"/>
    </row>
    <row r="156" spans="1:24" ht="15.75" customHeight="1" thickBot="1" x14ac:dyDescent="0.3">
      <c r="A156" s="7">
        <v>6</v>
      </c>
      <c r="B156" s="37"/>
      <c r="C156" s="10"/>
      <c r="D156" s="37"/>
      <c r="E156" s="37"/>
      <c r="F156" s="37"/>
      <c r="G156" s="37"/>
      <c r="H156" s="37"/>
      <c r="I156" s="37"/>
      <c r="J156" s="37"/>
      <c r="K156" s="37"/>
      <c r="L156" s="37"/>
      <c r="M156" s="42"/>
      <c r="N156" s="37"/>
      <c r="O156" s="37"/>
      <c r="P156" s="37"/>
      <c r="Q156" s="37"/>
      <c r="R156" s="37"/>
      <c r="S156" s="37"/>
      <c r="T156" s="37"/>
      <c r="U156" s="37"/>
      <c r="V156" s="37"/>
      <c r="W156" s="39"/>
    </row>
    <row r="157" spans="1:24" ht="20.100000000000001" customHeight="1" x14ac:dyDescent="0.25"/>
    <row r="158" spans="1:24" ht="20.100000000000001" customHeight="1" thickBot="1" x14ac:dyDescent="0.3"/>
    <row r="159" spans="1:24" ht="20.100000000000001" customHeight="1" x14ac:dyDescent="0.25">
      <c r="A159" s="100" t="s">
        <v>2</v>
      </c>
      <c r="B159" s="101"/>
      <c r="C159" s="111" t="s">
        <v>40</v>
      </c>
      <c r="D159" s="112"/>
      <c r="E159" s="111" t="s">
        <v>378</v>
      </c>
      <c r="F159" s="112"/>
      <c r="G159" s="101" t="s">
        <v>4</v>
      </c>
      <c r="H159" s="101"/>
      <c r="I159" s="102" t="s">
        <v>5</v>
      </c>
      <c r="J159" s="102"/>
      <c r="K159" s="102"/>
      <c r="L159" s="102"/>
      <c r="M159" s="102"/>
      <c r="N159" s="102"/>
      <c r="O159" s="101" t="s">
        <v>6</v>
      </c>
      <c r="P159" s="101"/>
      <c r="Q159" s="103"/>
      <c r="R159" s="104"/>
      <c r="S159" s="104"/>
      <c r="T159" s="104"/>
      <c r="U159" s="104"/>
      <c r="V159" s="104"/>
      <c r="W159" s="105"/>
      <c r="X159" s="1"/>
    </row>
    <row r="160" spans="1:24" ht="20.100000000000001" customHeight="1" x14ac:dyDescent="0.25">
      <c r="A160" s="106" t="s">
        <v>7</v>
      </c>
      <c r="B160" s="107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7"/>
      <c r="R160" s="107"/>
      <c r="S160" s="107"/>
      <c r="T160" s="107"/>
      <c r="U160" s="107"/>
      <c r="V160" s="107"/>
      <c r="W160" s="110"/>
      <c r="X160" s="1"/>
    </row>
    <row r="161" spans="1:24" ht="24.95" customHeight="1" x14ac:dyDescent="0.25">
      <c r="A161" s="113" t="s">
        <v>8</v>
      </c>
      <c r="B161" s="114" t="s">
        <v>9</v>
      </c>
      <c r="C161" s="114" t="s">
        <v>10</v>
      </c>
      <c r="D161" s="114" t="s">
        <v>11</v>
      </c>
      <c r="E161" s="114" t="s">
        <v>12</v>
      </c>
      <c r="F161" s="114" t="s">
        <v>13</v>
      </c>
      <c r="G161" s="114" t="s">
        <v>14</v>
      </c>
      <c r="H161" s="114"/>
      <c r="I161" s="114"/>
      <c r="J161" s="114"/>
      <c r="K161" s="114"/>
      <c r="L161" s="114"/>
      <c r="M161" s="114" t="s">
        <v>15</v>
      </c>
      <c r="N161" s="114" t="s">
        <v>16</v>
      </c>
      <c r="O161" s="114" t="s">
        <v>17</v>
      </c>
      <c r="P161" s="114" t="s">
        <v>18</v>
      </c>
      <c r="Q161" s="114" t="s">
        <v>19</v>
      </c>
      <c r="R161" s="114"/>
      <c r="S161" s="114"/>
      <c r="T161" s="114"/>
      <c r="U161" s="114"/>
      <c r="V161" s="114"/>
      <c r="W161" s="115" t="s">
        <v>20</v>
      </c>
      <c r="X161" s="3"/>
    </row>
    <row r="162" spans="1:24" ht="24.95" customHeight="1" x14ac:dyDescent="0.25">
      <c r="A162" s="113"/>
      <c r="B162" s="114"/>
      <c r="C162" s="114"/>
      <c r="D162" s="114"/>
      <c r="E162" s="114"/>
      <c r="F162" s="114"/>
      <c r="G162" s="31" t="s">
        <v>21</v>
      </c>
      <c r="H162" s="31" t="s">
        <v>21</v>
      </c>
      <c r="I162" s="31" t="s">
        <v>21</v>
      </c>
      <c r="J162" s="31" t="s">
        <v>22</v>
      </c>
      <c r="K162" s="31" t="s">
        <v>22</v>
      </c>
      <c r="L162" s="31" t="s">
        <v>22</v>
      </c>
      <c r="M162" s="114"/>
      <c r="N162" s="114"/>
      <c r="O162" s="114"/>
      <c r="P162" s="114"/>
      <c r="Q162" s="31" t="s">
        <v>21</v>
      </c>
      <c r="R162" s="31" t="s">
        <v>21</v>
      </c>
      <c r="S162" s="31" t="s">
        <v>21</v>
      </c>
      <c r="T162" s="31" t="s">
        <v>22</v>
      </c>
      <c r="U162" s="31" t="s">
        <v>22</v>
      </c>
      <c r="V162" s="31" t="s">
        <v>22</v>
      </c>
      <c r="W162" s="115"/>
      <c r="X162" s="3"/>
    </row>
    <row r="163" spans="1:24" ht="17.25" customHeight="1" x14ac:dyDescent="0.25">
      <c r="A163" s="5">
        <v>1</v>
      </c>
      <c r="B163" s="21" t="s">
        <v>24</v>
      </c>
      <c r="C163" s="13">
        <v>45738</v>
      </c>
      <c r="D163" s="20">
        <v>45828</v>
      </c>
      <c r="E163" s="21">
        <v>2</v>
      </c>
      <c r="F163" s="21">
        <v>0</v>
      </c>
      <c r="G163" s="21">
        <v>216</v>
      </c>
      <c r="H163" s="21"/>
      <c r="I163" s="21"/>
      <c r="J163" s="21">
        <v>209</v>
      </c>
      <c r="K163" s="21"/>
      <c r="L163" s="21"/>
      <c r="M163" s="21">
        <f>AVERAGE(G163:L163)</f>
        <v>212.5</v>
      </c>
      <c r="N163" s="20">
        <v>45848</v>
      </c>
      <c r="O163" s="21">
        <v>2</v>
      </c>
      <c r="P163" s="21">
        <v>0</v>
      </c>
      <c r="Q163" s="21">
        <v>415</v>
      </c>
      <c r="R163" s="21"/>
      <c r="S163" s="21"/>
      <c r="T163" s="21">
        <v>389</v>
      </c>
      <c r="U163" s="21"/>
      <c r="V163" s="21"/>
      <c r="W163" s="22">
        <f>AVERAGE(Q163:V163)</f>
        <v>402</v>
      </c>
    </row>
    <row r="164" spans="1:24" ht="15" customHeight="1" x14ac:dyDescent="0.25">
      <c r="A164" s="6">
        <v>2</v>
      </c>
      <c r="B164" s="21" t="s">
        <v>23</v>
      </c>
      <c r="C164" s="13">
        <v>45851</v>
      </c>
      <c r="D164" s="20">
        <v>45928</v>
      </c>
      <c r="E164" s="21">
        <v>3</v>
      </c>
      <c r="F164" s="21">
        <v>0</v>
      </c>
      <c r="G164" s="21">
        <v>150</v>
      </c>
      <c r="H164" s="21">
        <v>144</v>
      </c>
      <c r="I164" s="21"/>
      <c r="J164" s="21">
        <v>168</v>
      </c>
      <c r="K164" s="21"/>
      <c r="L164" s="21"/>
      <c r="M164" s="21">
        <f>AVERAGE(G164:L164)</f>
        <v>154</v>
      </c>
      <c r="N164" s="20">
        <v>45944</v>
      </c>
      <c r="O164" s="21">
        <v>3</v>
      </c>
      <c r="P164" s="21">
        <v>0</v>
      </c>
      <c r="Q164" s="21">
        <v>262</v>
      </c>
      <c r="R164" s="21">
        <v>224</v>
      </c>
      <c r="S164" s="21"/>
      <c r="T164" s="21">
        <v>247</v>
      </c>
      <c r="U164" s="21"/>
      <c r="V164" s="21"/>
      <c r="W164" s="40">
        <f>AVERAGE(Q164:V164)</f>
        <v>244.33333333333334</v>
      </c>
    </row>
    <row r="165" spans="1:24" ht="15.75" customHeight="1" x14ac:dyDescent="0.25">
      <c r="A165" s="6">
        <v>3</v>
      </c>
      <c r="B165" s="21" t="s">
        <v>232</v>
      </c>
      <c r="C165" s="13">
        <v>45950</v>
      </c>
      <c r="D165" s="20">
        <v>46035</v>
      </c>
      <c r="E165" s="21">
        <v>2</v>
      </c>
      <c r="F165" s="21">
        <v>0</v>
      </c>
      <c r="G165" s="21">
        <v>150</v>
      </c>
      <c r="H165" s="21">
        <v>145</v>
      </c>
      <c r="I165" s="21"/>
      <c r="J165" s="21"/>
      <c r="K165" s="21"/>
      <c r="L165" s="21"/>
      <c r="M165" s="21">
        <f>AVERAGE(G165:L165)</f>
        <v>147.5</v>
      </c>
      <c r="N165" s="20">
        <v>46055</v>
      </c>
      <c r="O165" s="21">
        <v>1</v>
      </c>
      <c r="P165" s="21">
        <v>1</v>
      </c>
      <c r="Q165" s="21">
        <v>274</v>
      </c>
      <c r="R165" s="21"/>
      <c r="S165" s="21"/>
      <c r="T165" s="21"/>
      <c r="U165" s="21"/>
      <c r="V165" s="21"/>
      <c r="W165" s="40">
        <v>274</v>
      </c>
    </row>
    <row r="166" spans="1:24" ht="16.5" customHeight="1" x14ac:dyDescent="0.25">
      <c r="A166" s="5">
        <v>4</v>
      </c>
      <c r="B166" s="21" t="s">
        <v>217</v>
      </c>
      <c r="C166" s="13">
        <v>46039</v>
      </c>
      <c r="D166" s="21" t="s">
        <v>428</v>
      </c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40"/>
    </row>
    <row r="167" spans="1:24" ht="16.5" customHeight="1" x14ac:dyDescent="0.25">
      <c r="A167" s="5">
        <v>5</v>
      </c>
      <c r="B167" s="21" t="s">
        <v>24</v>
      </c>
      <c r="C167" s="13">
        <v>46181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40"/>
    </row>
    <row r="168" spans="1:24" ht="15" customHeight="1" thickBot="1" x14ac:dyDescent="0.3">
      <c r="A168" s="7">
        <v>6</v>
      </c>
      <c r="B168" s="37"/>
      <c r="C168" s="10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43"/>
    </row>
    <row r="169" spans="1:24" ht="20.100000000000001" customHeight="1" x14ac:dyDescent="0.25"/>
    <row r="170" spans="1:24" ht="20.100000000000001" customHeight="1" thickBot="1" x14ac:dyDescent="0.3"/>
    <row r="171" spans="1:24" ht="20.100000000000001" customHeight="1" x14ac:dyDescent="0.25">
      <c r="A171" s="100" t="s">
        <v>2</v>
      </c>
      <c r="B171" s="101"/>
      <c r="C171" s="111" t="s">
        <v>41</v>
      </c>
      <c r="D171" s="112"/>
      <c r="E171" s="111" t="s">
        <v>380</v>
      </c>
      <c r="F171" s="112"/>
      <c r="G171" s="101" t="s">
        <v>4</v>
      </c>
      <c r="H171" s="101"/>
      <c r="I171" s="102" t="s">
        <v>5</v>
      </c>
      <c r="J171" s="102"/>
      <c r="K171" s="102"/>
      <c r="L171" s="102"/>
      <c r="M171" s="102"/>
      <c r="N171" s="102"/>
      <c r="O171" s="101" t="s">
        <v>6</v>
      </c>
      <c r="P171" s="101"/>
      <c r="Q171" s="103"/>
      <c r="R171" s="104"/>
      <c r="S171" s="104"/>
      <c r="T171" s="104"/>
      <c r="U171" s="104"/>
      <c r="V171" s="104"/>
      <c r="W171" s="105"/>
      <c r="X171" s="1"/>
    </row>
    <row r="172" spans="1:24" ht="20.100000000000001" customHeight="1" x14ac:dyDescent="0.25">
      <c r="A172" s="106" t="s">
        <v>7</v>
      </c>
      <c r="B172" s="107"/>
      <c r="C172" s="116" t="s">
        <v>44</v>
      </c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09"/>
      <c r="P172" s="109"/>
      <c r="Q172" s="107"/>
      <c r="R172" s="107"/>
      <c r="S172" s="107"/>
      <c r="T172" s="107"/>
      <c r="U172" s="107"/>
      <c r="V172" s="107"/>
      <c r="W172" s="110"/>
      <c r="X172" s="1"/>
    </row>
    <row r="173" spans="1:24" ht="24.95" customHeight="1" x14ac:dyDescent="0.25">
      <c r="A173" s="113" t="s">
        <v>8</v>
      </c>
      <c r="B173" s="114" t="s">
        <v>9</v>
      </c>
      <c r="C173" s="114" t="s">
        <v>10</v>
      </c>
      <c r="D173" s="114" t="s">
        <v>11</v>
      </c>
      <c r="E173" s="114" t="s">
        <v>12</v>
      </c>
      <c r="F173" s="114" t="s">
        <v>13</v>
      </c>
      <c r="G173" s="114" t="s">
        <v>14</v>
      </c>
      <c r="H173" s="114"/>
      <c r="I173" s="114"/>
      <c r="J173" s="114"/>
      <c r="K173" s="114"/>
      <c r="L173" s="114"/>
      <c r="M173" s="114" t="s">
        <v>15</v>
      </c>
      <c r="N173" s="114" t="s">
        <v>16</v>
      </c>
      <c r="O173" s="114" t="s">
        <v>17</v>
      </c>
      <c r="P173" s="114" t="s">
        <v>18</v>
      </c>
      <c r="Q173" s="114" t="s">
        <v>19</v>
      </c>
      <c r="R173" s="114"/>
      <c r="S173" s="114"/>
      <c r="T173" s="114"/>
      <c r="U173" s="114"/>
      <c r="V173" s="114"/>
      <c r="W173" s="115" t="s">
        <v>20</v>
      </c>
      <c r="X173" s="3"/>
    </row>
    <row r="174" spans="1:24" ht="24.95" customHeight="1" x14ac:dyDescent="0.25">
      <c r="A174" s="113"/>
      <c r="B174" s="114"/>
      <c r="C174" s="114"/>
      <c r="D174" s="114"/>
      <c r="E174" s="114"/>
      <c r="F174" s="114"/>
      <c r="G174" s="31" t="s">
        <v>21</v>
      </c>
      <c r="H174" s="31" t="s">
        <v>21</v>
      </c>
      <c r="I174" s="31" t="s">
        <v>21</v>
      </c>
      <c r="J174" s="31" t="s">
        <v>22</v>
      </c>
      <c r="K174" s="31" t="s">
        <v>22</v>
      </c>
      <c r="L174" s="31" t="s">
        <v>22</v>
      </c>
      <c r="M174" s="114"/>
      <c r="N174" s="114"/>
      <c r="O174" s="114"/>
      <c r="P174" s="114"/>
      <c r="Q174" s="31" t="s">
        <v>21</v>
      </c>
      <c r="R174" s="31" t="s">
        <v>21</v>
      </c>
      <c r="S174" s="31" t="s">
        <v>21</v>
      </c>
      <c r="T174" s="31" t="s">
        <v>22</v>
      </c>
      <c r="U174" s="31" t="s">
        <v>22</v>
      </c>
      <c r="V174" s="31" t="s">
        <v>22</v>
      </c>
      <c r="W174" s="115"/>
      <c r="X174" s="3"/>
    </row>
    <row r="175" spans="1:24" ht="16.5" customHeight="1" x14ac:dyDescent="0.25">
      <c r="A175" s="5">
        <v>1</v>
      </c>
      <c r="B175" s="21" t="s">
        <v>27</v>
      </c>
      <c r="C175" s="13">
        <v>45738</v>
      </c>
      <c r="D175" s="8" t="s">
        <v>28</v>
      </c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2"/>
    </row>
    <row r="176" spans="1:24" ht="16.5" customHeight="1" x14ac:dyDescent="0.25">
      <c r="A176" s="6">
        <v>2</v>
      </c>
      <c r="B176" s="21" t="s">
        <v>29</v>
      </c>
      <c r="C176" s="13">
        <v>45851</v>
      </c>
      <c r="D176" s="13">
        <v>45930</v>
      </c>
      <c r="E176" s="21">
        <v>3</v>
      </c>
      <c r="F176" s="21">
        <v>1</v>
      </c>
      <c r="G176" s="21">
        <v>116</v>
      </c>
      <c r="H176" s="21"/>
      <c r="I176" s="21"/>
      <c r="J176" s="21">
        <v>96</v>
      </c>
      <c r="K176" s="21"/>
      <c r="L176" s="21"/>
      <c r="M176" s="21">
        <f>AVERAGE(G176:L176)</f>
        <v>106</v>
      </c>
      <c r="N176" s="20">
        <v>45944</v>
      </c>
      <c r="O176" s="21">
        <v>2</v>
      </c>
      <c r="P176" s="21">
        <v>0</v>
      </c>
      <c r="Q176" s="21">
        <v>282</v>
      </c>
      <c r="R176" s="21"/>
      <c r="S176" s="21"/>
      <c r="T176" s="21">
        <v>206</v>
      </c>
      <c r="U176" s="21"/>
      <c r="V176" s="21"/>
      <c r="W176" s="22">
        <f>AVERAGE(Q176:V176)</f>
        <v>244</v>
      </c>
    </row>
    <row r="177" spans="1:24" ht="15.75" customHeight="1" x14ac:dyDescent="0.25">
      <c r="A177" s="6">
        <v>3</v>
      </c>
      <c r="B177" s="21" t="s">
        <v>231</v>
      </c>
      <c r="C177" s="13">
        <v>45950</v>
      </c>
      <c r="D177" s="13">
        <v>46041</v>
      </c>
      <c r="E177" s="21">
        <v>2</v>
      </c>
      <c r="F177" s="21">
        <v>0</v>
      </c>
      <c r="G177" s="21">
        <v>120</v>
      </c>
      <c r="H177" s="21"/>
      <c r="I177" s="21"/>
      <c r="J177" s="21">
        <v>110</v>
      </c>
      <c r="K177" s="21"/>
      <c r="L177" s="21"/>
      <c r="M177" s="21">
        <f>AVERAGE(G177:L177)</f>
        <v>115</v>
      </c>
      <c r="N177" s="20">
        <v>46055</v>
      </c>
      <c r="O177" s="21">
        <v>2</v>
      </c>
      <c r="P177" s="21">
        <v>0</v>
      </c>
      <c r="Q177" s="21">
        <v>195</v>
      </c>
      <c r="R177" s="21"/>
      <c r="S177" s="21"/>
      <c r="T177" s="21">
        <v>219</v>
      </c>
      <c r="U177" s="21"/>
      <c r="V177" s="21"/>
      <c r="W177" s="22">
        <f>AVERAGE(Q177:V177)</f>
        <v>207</v>
      </c>
    </row>
    <row r="178" spans="1:24" ht="15.75" customHeight="1" x14ac:dyDescent="0.25">
      <c r="A178" s="5">
        <v>4</v>
      </c>
      <c r="B178" s="21" t="s">
        <v>231</v>
      </c>
      <c r="C178" s="13">
        <v>46039</v>
      </c>
      <c r="D178" s="8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2"/>
    </row>
    <row r="179" spans="1:24" ht="17.25" customHeight="1" x14ac:dyDescent="0.25">
      <c r="A179" s="5">
        <v>5</v>
      </c>
      <c r="B179" s="21"/>
      <c r="C179" s="8"/>
      <c r="D179" s="8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2"/>
    </row>
    <row r="180" spans="1:24" ht="15.75" customHeight="1" thickBot="1" x14ac:dyDescent="0.3">
      <c r="A180" s="7">
        <v>6</v>
      </c>
      <c r="B180" s="37"/>
      <c r="C180" s="10"/>
      <c r="D180" s="10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9"/>
    </row>
    <row r="181" spans="1:24" ht="20.100000000000001" customHeight="1" x14ac:dyDescent="0.25"/>
    <row r="182" spans="1:24" ht="20.100000000000001" customHeight="1" thickBot="1" x14ac:dyDescent="0.3"/>
    <row r="183" spans="1:24" ht="20.100000000000001" customHeight="1" x14ac:dyDescent="0.25">
      <c r="A183" s="100" t="s">
        <v>2</v>
      </c>
      <c r="B183" s="101"/>
      <c r="C183" s="111" t="s">
        <v>42</v>
      </c>
      <c r="D183" s="112"/>
      <c r="E183" s="111" t="s">
        <v>381</v>
      </c>
      <c r="F183" s="112"/>
      <c r="G183" s="101" t="s">
        <v>4</v>
      </c>
      <c r="H183" s="101"/>
      <c r="I183" s="102" t="s">
        <v>5</v>
      </c>
      <c r="J183" s="102"/>
      <c r="K183" s="102"/>
      <c r="L183" s="102"/>
      <c r="M183" s="102"/>
      <c r="N183" s="102"/>
      <c r="O183" s="101" t="s">
        <v>6</v>
      </c>
      <c r="P183" s="101"/>
      <c r="Q183" s="103"/>
      <c r="R183" s="104"/>
      <c r="S183" s="104"/>
      <c r="T183" s="104"/>
      <c r="U183" s="104"/>
      <c r="V183" s="104"/>
      <c r="W183" s="105"/>
      <c r="X183" s="1"/>
    </row>
    <row r="184" spans="1:24" ht="20.100000000000001" customHeight="1" x14ac:dyDescent="0.25">
      <c r="A184" s="106" t="s">
        <v>7</v>
      </c>
      <c r="B184" s="107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09"/>
      <c r="P184" s="109"/>
      <c r="Q184" s="107"/>
      <c r="R184" s="107"/>
      <c r="S184" s="107"/>
      <c r="T184" s="107"/>
      <c r="U184" s="107"/>
      <c r="V184" s="107"/>
      <c r="W184" s="110"/>
      <c r="X184" s="1"/>
    </row>
    <row r="185" spans="1:24" ht="24.95" customHeight="1" x14ac:dyDescent="0.25">
      <c r="A185" s="113" t="s">
        <v>8</v>
      </c>
      <c r="B185" s="114" t="s">
        <v>9</v>
      </c>
      <c r="C185" s="114" t="s">
        <v>10</v>
      </c>
      <c r="D185" s="114" t="s">
        <v>11</v>
      </c>
      <c r="E185" s="114" t="s">
        <v>12</v>
      </c>
      <c r="F185" s="114" t="s">
        <v>13</v>
      </c>
      <c r="G185" s="114" t="s">
        <v>14</v>
      </c>
      <c r="H185" s="114"/>
      <c r="I185" s="114"/>
      <c r="J185" s="114"/>
      <c r="K185" s="114"/>
      <c r="L185" s="114"/>
      <c r="M185" s="114" t="s">
        <v>15</v>
      </c>
      <c r="N185" s="114" t="s">
        <v>16</v>
      </c>
      <c r="O185" s="114" t="s">
        <v>17</v>
      </c>
      <c r="P185" s="114" t="s">
        <v>18</v>
      </c>
      <c r="Q185" s="114" t="s">
        <v>19</v>
      </c>
      <c r="R185" s="114"/>
      <c r="S185" s="114"/>
      <c r="T185" s="114"/>
      <c r="U185" s="114"/>
      <c r="V185" s="114"/>
      <c r="W185" s="115" t="s">
        <v>20</v>
      </c>
      <c r="X185" s="3"/>
    </row>
    <row r="186" spans="1:24" ht="24.95" customHeight="1" x14ac:dyDescent="0.25">
      <c r="A186" s="113"/>
      <c r="B186" s="114"/>
      <c r="C186" s="114"/>
      <c r="D186" s="114"/>
      <c r="E186" s="114"/>
      <c r="F186" s="114"/>
      <c r="G186" s="31" t="s">
        <v>21</v>
      </c>
      <c r="H186" s="31" t="s">
        <v>21</v>
      </c>
      <c r="I186" s="31" t="s">
        <v>21</v>
      </c>
      <c r="J186" s="31" t="s">
        <v>22</v>
      </c>
      <c r="K186" s="31" t="s">
        <v>22</v>
      </c>
      <c r="L186" s="31" t="s">
        <v>22</v>
      </c>
      <c r="M186" s="114"/>
      <c r="N186" s="114"/>
      <c r="O186" s="114"/>
      <c r="P186" s="114"/>
      <c r="Q186" s="31" t="s">
        <v>21</v>
      </c>
      <c r="R186" s="31" t="s">
        <v>21</v>
      </c>
      <c r="S186" s="31" t="s">
        <v>21</v>
      </c>
      <c r="T186" s="31" t="s">
        <v>22</v>
      </c>
      <c r="U186" s="31" t="s">
        <v>22</v>
      </c>
      <c r="V186" s="31" t="s">
        <v>22</v>
      </c>
      <c r="W186" s="115"/>
      <c r="X186" s="3"/>
    </row>
    <row r="187" spans="1:24" ht="15.75" customHeight="1" x14ac:dyDescent="0.25">
      <c r="A187" s="5">
        <v>1</v>
      </c>
      <c r="B187" s="21" t="s">
        <v>27</v>
      </c>
      <c r="C187" s="13">
        <v>45738</v>
      </c>
      <c r="D187" s="20">
        <v>45808</v>
      </c>
      <c r="E187" s="21">
        <v>3</v>
      </c>
      <c r="F187" s="21">
        <v>0</v>
      </c>
      <c r="G187" s="21">
        <v>101</v>
      </c>
      <c r="H187" s="21">
        <v>116</v>
      </c>
      <c r="I187" s="21"/>
      <c r="J187" s="21">
        <v>107</v>
      </c>
      <c r="K187" s="21"/>
      <c r="L187" s="21"/>
      <c r="M187" s="21">
        <f>AVERAGE(G187,H187,J187)</f>
        <v>108</v>
      </c>
      <c r="N187" s="20">
        <v>45833</v>
      </c>
      <c r="O187" s="21">
        <v>3</v>
      </c>
      <c r="P187" s="21">
        <v>0</v>
      </c>
      <c r="Q187" s="21">
        <v>196</v>
      </c>
      <c r="R187" s="21">
        <v>218</v>
      </c>
      <c r="S187" s="21"/>
      <c r="T187" s="21">
        <v>215</v>
      </c>
      <c r="U187" s="21"/>
      <c r="V187" s="21"/>
      <c r="W187" s="40">
        <f>AVERAGE(Q187,R187,T187)</f>
        <v>209.66666666666666</v>
      </c>
    </row>
    <row r="188" spans="1:24" ht="16.5" customHeight="1" x14ac:dyDescent="0.25">
      <c r="A188" s="6">
        <v>2</v>
      </c>
      <c r="B188" s="21" t="s">
        <v>29</v>
      </c>
      <c r="C188" s="13">
        <v>45957</v>
      </c>
      <c r="D188" s="21">
        <v>3</v>
      </c>
      <c r="E188" s="21">
        <v>3</v>
      </c>
      <c r="F188" s="21">
        <v>0</v>
      </c>
      <c r="G188" s="21">
        <v>125</v>
      </c>
      <c r="H188" s="21">
        <v>95</v>
      </c>
      <c r="I188" s="21">
        <v>105</v>
      </c>
      <c r="J188" s="21"/>
      <c r="K188" s="21"/>
      <c r="L188" s="21"/>
      <c r="M188" s="41">
        <f>AVERAGE(G188:L188)</f>
        <v>108.33333333333333</v>
      </c>
      <c r="N188" s="20">
        <v>45973</v>
      </c>
      <c r="O188" s="21">
        <v>3</v>
      </c>
      <c r="P188" s="21">
        <v>0</v>
      </c>
      <c r="Q188" s="21">
        <v>179</v>
      </c>
      <c r="R188" s="21">
        <v>185</v>
      </c>
      <c r="S188" s="21">
        <v>182</v>
      </c>
      <c r="T188" s="21"/>
      <c r="U188" s="21"/>
      <c r="V188" s="21"/>
      <c r="W188" s="40">
        <f>AVERAGE(Q188:V188)</f>
        <v>182</v>
      </c>
    </row>
    <row r="189" spans="1:24" ht="16.5" customHeight="1" x14ac:dyDescent="0.25">
      <c r="A189" s="6">
        <v>3</v>
      </c>
      <c r="B189" s="21" t="s">
        <v>232</v>
      </c>
      <c r="C189" s="13">
        <v>46039</v>
      </c>
      <c r="D189" s="20">
        <v>46107</v>
      </c>
      <c r="E189" s="21">
        <v>3</v>
      </c>
      <c r="F189" s="21">
        <v>0</v>
      </c>
      <c r="G189" s="21">
        <v>137</v>
      </c>
      <c r="H189" s="21"/>
      <c r="I189" s="21"/>
      <c r="J189" s="21">
        <v>140</v>
      </c>
      <c r="K189" s="21">
        <v>152</v>
      </c>
      <c r="L189" s="21"/>
      <c r="M189" s="21">
        <f>AVERAGE(G189:L189)</f>
        <v>143</v>
      </c>
      <c r="N189" s="20">
        <v>46133</v>
      </c>
      <c r="O189" s="21">
        <v>3</v>
      </c>
      <c r="P189" s="21">
        <v>0</v>
      </c>
      <c r="Q189" s="21">
        <v>241</v>
      </c>
      <c r="R189" s="21"/>
      <c r="S189" s="21"/>
      <c r="T189" s="21">
        <v>232</v>
      </c>
      <c r="U189" s="21">
        <v>272</v>
      </c>
      <c r="V189" s="21"/>
      <c r="W189" s="40">
        <f>AVERAGE(Q189:V189)</f>
        <v>248.33333333333334</v>
      </c>
    </row>
    <row r="190" spans="1:24" ht="15.75" customHeight="1" x14ac:dyDescent="0.25">
      <c r="A190" s="5">
        <v>4</v>
      </c>
      <c r="B190" s="21" t="s">
        <v>232</v>
      </c>
      <c r="C190" s="13">
        <v>46148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40"/>
    </row>
    <row r="191" spans="1:24" ht="18" customHeight="1" x14ac:dyDescent="0.25">
      <c r="A191" s="5">
        <v>5</v>
      </c>
      <c r="B191" s="21"/>
      <c r="C191" s="8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40"/>
    </row>
    <row r="192" spans="1:24" ht="15.75" customHeight="1" thickBot="1" x14ac:dyDescent="0.3">
      <c r="A192" s="7">
        <v>6</v>
      </c>
      <c r="B192" s="37"/>
      <c r="C192" s="10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43"/>
    </row>
    <row r="193" spans="1:24" ht="20.100000000000001" customHeight="1" x14ac:dyDescent="0.25"/>
    <row r="194" spans="1:24" ht="20.100000000000001" customHeight="1" thickBot="1" x14ac:dyDescent="0.3"/>
    <row r="195" spans="1:24" ht="20.100000000000001" customHeight="1" x14ac:dyDescent="0.25">
      <c r="A195" s="100" t="s">
        <v>2</v>
      </c>
      <c r="B195" s="101"/>
      <c r="C195" s="111" t="s">
        <v>43</v>
      </c>
      <c r="D195" s="112"/>
      <c r="E195" s="111" t="s">
        <v>362</v>
      </c>
      <c r="F195" s="112"/>
      <c r="G195" s="101" t="s">
        <v>4</v>
      </c>
      <c r="H195" s="101"/>
      <c r="I195" s="102" t="s">
        <v>5</v>
      </c>
      <c r="J195" s="102"/>
      <c r="K195" s="102"/>
      <c r="L195" s="102"/>
      <c r="M195" s="102"/>
      <c r="N195" s="102"/>
      <c r="O195" s="101" t="s">
        <v>6</v>
      </c>
      <c r="P195" s="101"/>
      <c r="Q195" s="103"/>
      <c r="R195" s="104"/>
      <c r="S195" s="104"/>
      <c r="T195" s="104"/>
      <c r="U195" s="104"/>
      <c r="V195" s="104"/>
      <c r="W195" s="105"/>
      <c r="X195" s="1"/>
    </row>
    <row r="196" spans="1:24" ht="20.100000000000001" customHeight="1" x14ac:dyDescent="0.25">
      <c r="A196" s="106" t="s">
        <v>7</v>
      </c>
      <c r="B196" s="107"/>
      <c r="C196" s="108" t="s">
        <v>44</v>
      </c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9"/>
      <c r="P196" s="109"/>
      <c r="Q196" s="107"/>
      <c r="R196" s="107"/>
      <c r="S196" s="107"/>
      <c r="T196" s="107"/>
      <c r="U196" s="107"/>
      <c r="V196" s="107"/>
      <c r="W196" s="110"/>
      <c r="X196" s="1"/>
    </row>
    <row r="197" spans="1:24" ht="24.95" customHeight="1" x14ac:dyDescent="0.25">
      <c r="A197" s="113" t="s">
        <v>8</v>
      </c>
      <c r="B197" s="114" t="s">
        <v>9</v>
      </c>
      <c r="C197" s="114" t="s">
        <v>10</v>
      </c>
      <c r="D197" s="114" t="s">
        <v>11</v>
      </c>
      <c r="E197" s="114" t="s">
        <v>12</v>
      </c>
      <c r="F197" s="114" t="s">
        <v>13</v>
      </c>
      <c r="G197" s="114" t="s">
        <v>14</v>
      </c>
      <c r="H197" s="114"/>
      <c r="I197" s="114"/>
      <c r="J197" s="114"/>
      <c r="K197" s="114"/>
      <c r="L197" s="114"/>
      <c r="M197" s="114" t="s">
        <v>15</v>
      </c>
      <c r="N197" s="114" t="s">
        <v>16</v>
      </c>
      <c r="O197" s="114" t="s">
        <v>17</v>
      </c>
      <c r="P197" s="114" t="s">
        <v>18</v>
      </c>
      <c r="Q197" s="114" t="s">
        <v>19</v>
      </c>
      <c r="R197" s="114"/>
      <c r="S197" s="114"/>
      <c r="T197" s="114"/>
      <c r="U197" s="114"/>
      <c r="V197" s="114"/>
      <c r="W197" s="115" t="s">
        <v>20</v>
      </c>
      <c r="X197" s="3"/>
    </row>
    <row r="198" spans="1:24" ht="24.95" customHeight="1" x14ac:dyDescent="0.25">
      <c r="A198" s="113"/>
      <c r="B198" s="114"/>
      <c r="C198" s="114"/>
      <c r="D198" s="114"/>
      <c r="E198" s="114"/>
      <c r="F198" s="114"/>
      <c r="G198" s="31" t="s">
        <v>21</v>
      </c>
      <c r="H198" s="31" t="s">
        <v>21</v>
      </c>
      <c r="I198" s="31" t="s">
        <v>21</v>
      </c>
      <c r="J198" s="31" t="s">
        <v>22</v>
      </c>
      <c r="K198" s="31" t="s">
        <v>22</v>
      </c>
      <c r="L198" s="31" t="s">
        <v>22</v>
      </c>
      <c r="M198" s="114"/>
      <c r="N198" s="114"/>
      <c r="O198" s="114"/>
      <c r="P198" s="114"/>
      <c r="Q198" s="31" t="s">
        <v>21</v>
      </c>
      <c r="R198" s="31" t="s">
        <v>21</v>
      </c>
      <c r="S198" s="31" t="s">
        <v>21</v>
      </c>
      <c r="T198" s="31" t="s">
        <v>22</v>
      </c>
      <c r="U198" s="31" t="s">
        <v>22</v>
      </c>
      <c r="V198" s="31" t="s">
        <v>22</v>
      </c>
      <c r="W198" s="115"/>
      <c r="X198" s="3"/>
    </row>
    <row r="199" spans="1:24" ht="15.75" customHeight="1" x14ac:dyDescent="0.25">
      <c r="A199" s="5">
        <v>1</v>
      </c>
      <c r="B199" s="21" t="s">
        <v>23</v>
      </c>
      <c r="C199" s="13">
        <v>45738</v>
      </c>
      <c r="D199" s="13">
        <v>45810</v>
      </c>
      <c r="E199" s="21">
        <v>2</v>
      </c>
      <c r="F199" s="21">
        <v>0</v>
      </c>
      <c r="G199" s="21"/>
      <c r="H199" s="21"/>
      <c r="I199" s="21"/>
      <c r="J199" s="21">
        <v>126</v>
      </c>
      <c r="K199" s="21">
        <v>142</v>
      </c>
      <c r="L199" s="21"/>
      <c r="M199" s="21">
        <f>AVERAGE(J199,K199)</f>
        <v>134</v>
      </c>
      <c r="N199" s="20">
        <v>45833</v>
      </c>
      <c r="O199" s="21">
        <v>2</v>
      </c>
      <c r="P199" s="21">
        <v>0</v>
      </c>
      <c r="Q199" s="21"/>
      <c r="R199" s="21"/>
      <c r="S199" s="21"/>
      <c r="T199" s="21">
        <v>318</v>
      </c>
      <c r="U199" s="21">
        <v>335</v>
      </c>
      <c r="V199" s="21"/>
      <c r="W199" s="22">
        <f>AVERAGE(T199,U199)</f>
        <v>326.5</v>
      </c>
    </row>
    <row r="200" spans="1:24" ht="16.5" customHeight="1" x14ac:dyDescent="0.25">
      <c r="A200" s="6">
        <v>2</v>
      </c>
      <c r="B200" s="21"/>
      <c r="C200" s="8"/>
      <c r="D200" s="8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2"/>
    </row>
    <row r="201" spans="1:24" ht="16.5" customHeight="1" x14ac:dyDescent="0.25">
      <c r="A201" s="6">
        <v>3</v>
      </c>
      <c r="B201" s="21"/>
      <c r="C201" s="8"/>
      <c r="D201" s="8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2"/>
    </row>
    <row r="202" spans="1:24" ht="15.75" customHeight="1" x14ac:dyDescent="0.25">
      <c r="A202" s="5">
        <v>4</v>
      </c>
      <c r="B202" s="21"/>
      <c r="C202" s="8"/>
      <c r="D202" s="8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2"/>
    </row>
    <row r="203" spans="1:24" ht="15.75" customHeight="1" x14ac:dyDescent="0.25">
      <c r="A203" s="5">
        <v>5</v>
      </c>
      <c r="B203" s="21"/>
      <c r="C203" s="8"/>
      <c r="D203" s="8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2"/>
    </row>
    <row r="204" spans="1:24" ht="15" customHeight="1" thickBot="1" x14ac:dyDescent="0.3">
      <c r="A204" s="7">
        <v>6</v>
      </c>
      <c r="B204" s="37"/>
      <c r="C204" s="10"/>
      <c r="D204" s="10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9"/>
    </row>
    <row r="205" spans="1:24" ht="20.100000000000001" customHeight="1" x14ac:dyDescent="0.25"/>
    <row r="206" spans="1:24" ht="20.100000000000001" customHeight="1" thickBot="1" x14ac:dyDescent="0.3"/>
    <row r="207" spans="1:24" ht="20.100000000000001" customHeight="1" x14ac:dyDescent="0.25">
      <c r="A207" s="100" t="s">
        <v>2</v>
      </c>
      <c r="B207" s="101"/>
      <c r="C207" s="111" t="s">
        <v>45</v>
      </c>
      <c r="D207" s="112"/>
      <c r="E207" s="111" t="s">
        <v>382</v>
      </c>
      <c r="F207" s="112"/>
      <c r="G207" s="101" t="s">
        <v>4</v>
      </c>
      <c r="H207" s="101"/>
      <c r="I207" s="102" t="s">
        <v>5</v>
      </c>
      <c r="J207" s="102"/>
      <c r="K207" s="102"/>
      <c r="L207" s="102"/>
      <c r="M207" s="102"/>
      <c r="N207" s="102"/>
      <c r="O207" s="101" t="s">
        <v>6</v>
      </c>
      <c r="P207" s="101"/>
      <c r="Q207" s="103"/>
      <c r="R207" s="104"/>
      <c r="S207" s="104"/>
      <c r="T207" s="104"/>
      <c r="U207" s="104"/>
      <c r="V207" s="104"/>
      <c r="W207" s="105"/>
      <c r="X207" s="1"/>
    </row>
    <row r="208" spans="1:24" ht="20.100000000000001" customHeight="1" x14ac:dyDescent="0.25">
      <c r="A208" s="106" t="s">
        <v>7</v>
      </c>
      <c r="B208" s="107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 t="s">
        <v>365</v>
      </c>
      <c r="R208" s="107"/>
      <c r="S208" s="107"/>
      <c r="T208" s="107"/>
      <c r="U208" s="107"/>
      <c r="V208" s="107"/>
      <c r="W208" s="110"/>
      <c r="X208" s="1"/>
    </row>
    <row r="209" spans="1:24" ht="24.95" customHeight="1" x14ac:dyDescent="0.25">
      <c r="A209" s="113" t="s">
        <v>8</v>
      </c>
      <c r="B209" s="114" t="s">
        <v>9</v>
      </c>
      <c r="C209" s="114" t="s">
        <v>10</v>
      </c>
      <c r="D209" s="114" t="s">
        <v>11</v>
      </c>
      <c r="E209" s="114" t="s">
        <v>12</v>
      </c>
      <c r="F209" s="114" t="s">
        <v>13</v>
      </c>
      <c r="G209" s="114" t="s">
        <v>14</v>
      </c>
      <c r="H209" s="114"/>
      <c r="I209" s="114"/>
      <c r="J209" s="114"/>
      <c r="K209" s="114"/>
      <c r="L209" s="114"/>
      <c r="M209" s="114" t="s">
        <v>15</v>
      </c>
      <c r="N209" s="114" t="s">
        <v>16</v>
      </c>
      <c r="O209" s="114" t="s">
        <v>17</v>
      </c>
      <c r="P209" s="114" t="s">
        <v>18</v>
      </c>
      <c r="Q209" s="114" t="s">
        <v>19</v>
      </c>
      <c r="R209" s="114"/>
      <c r="S209" s="114"/>
      <c r="T209" s="114"/>
      <c r="U209" s="114"/>
      <c r="V209" s="114"/>
      <c r="W209" s="115" t="s">
        <v>20</v>
      </c>
      <c r="X209" s="3"/>
    </row>
    <row r="210" spans="1:24" ht="24.95" customHeight="1" x14ac:dyDescent="0.25">
      <c r="A210" s="113"/>
      <c r="B210" s="114"/>
      <c r="C210" s="114"/>
      <c r="D210" s="114"/>
      <c r="E210" s="114"/>
      <c r="F210" s="114"/>
      <c r="G210" s="31" t="s">
        <v>21</v>
      </c>
      <c r="H210" s="31" t="s">
        <v>21</v>
      </c>
      <c r="I210" s="31" t="s">
        <v>21</v>
      </c>
      <c r="J210" s="31" t="s">
        <v>22</v>
      </c>
      <c r="K210" s="31" t="s">
        <v>22</v>
      </c>
      <c r="L210" s="31" t="s">
        <v>22</v>
      </c>
      <c r="M210" s="114"/>
      <c r="N210" s="114"/>
      <c r="O210" s="114"/>
      <c r="P210" s="114"/>
      <c r="Q210" s="31" t="s">
        <v>21</v>
      </c>
      <c r="R210" s="31" t="s">
        <v>21</v>
      </c>
      <c r="S210" s="31" t="s">
        <v>21</v>
      </c>
      <c r="T210" s="31" t="s">
        <v>22</v>
      </c>
      <c r="U210" s="31" t="s">
        <v>22</v>
      </c>
      <c r="V210" s="31" t="s">
        <v>22</v>
      </c>
      <c r="W210" s="115"/>
      <c r="X210" s="3"/>
    </row>
    <row r="211" spans="1:24" ht="15" customHeight="1" x14ac:dyDescent="0.25">
      <c r="A211" s="5">
        <v>1</v>
      </c>
      <c r="B211" s="21" t="s">
        <v>232</v>
      </c>
      <c r="C211" s="13">
        <v>45738</v>
      </c>
      <c r="D211" s="13">
        <v>45829</v>
      </c>
      <c r="E211" s="21">
        <v>1</v>
      </c>
      <c r="F211" s="21">
        <v>0</v>
      </c>
      <c r="G211" s="21"/>
      <c r="H211" s="21"/>
      <c r="I211" s="21"/>
      <c r="J211" s="21">
        <v>213</v>
      </c>
      <c r="K211" s="21"/>
      <c r="L211" s="21"/>
      <c r="M211" s="21">
        <v>213</v>
      </c>
      <c r="N211" s="20">
        <v>45848</v>
      </c>
      <c r="O211" s="21">
        <v>1</v>
      </c>
      <c r="P211" s="21"/>
      <c r="Q211" s="21"/>
      <c r="R211" s="21"/>
      <c r="S211" s="21"/>
      <c r="T211" s="21">
        <v>342</v>
      </c>
      <c r="U211" s="21"/>
      <c r="V211" s="21"/>
      <c r="W211" s="22">
        <v>342</v>
      </c>
    </row>
    <row r="212" spans="1:24" ht="15" customHeight="1" x14ac:dyDescent="0.25">
      <c r="A212" s="6">
        <v>2</v>
      </c>
      <c r="B212" s="21" t="s">
        <v>231</v>
      </c>
      <c r="C212" s="13">
        <v>45851</v>
      </c>
      <c r="D212" s="13">
        <v>45931</v>
      </c>
      <c r="E212" s="21">
        <v>3</v>
      </c>
      <c r="F212" s="21">
        <v>0</v>
      </c>
      <c r="G212" s="21">
        <v>125</v>
      </c>
      <c r="H212" s="21">
        <v>132</v>
      </c>
      <c r="I212" s="21">
        <v>128</v>
      </c>
      <c r="J212" s="21"/>
      <c r="K212" s="21"/>
      <c r="L212" s="21"/>
      <c r="M212" s="41">
        <f>AVERAGE(G212:L212)</f>
        <v>128.33333333333334</v>
      </c>
      <c r="N212" s="20">
        <v>45944</v>
      </c>
      <c r="O212" s="21">
        <v>3</v>
      </c>
      <c r="P212" s="21">
        <v>0</v>
      </c>
      <c r="Q212" s="21">
        <v>268</v>
      </c>
      <c r="R212" s="21">
        <v>250</v>
      </c>
      <c r="S212" s="21">
        <v>191</v>
      </c>
      <c r="T212" s="21"/>
      <c r="U212" s="21"/>
      <c r="V212" s="21"/>
      <c r="W212" s="40">
        <f>AVERAGE(Q212:V212)</f>
        <v>236.33333333333334</v>
      </c>
    </row>
    <row r="213" spans="1:24" ht="14.25" customHeight="1" x14ac:dyDescent="0.25">
      <c r="A213" s="6">
        <v>3</v>
      </c>
      <c r="B213" s="21" t="s">
        <v>23</v>
      </c>
      <c r="C213" s="13">
        <v>45950</v>
      </c>
      <c r="D213" s="13">
        <v>46028</v>
      </c>
      <c r="E213" s="21">
        <v>4</v>
      </c>
      <c r="F213" s="21">
        <v>0</v>
      </c>
      <c r="G213" s="21">
        <v>100</v>
      </c>
      <c r="H213" s="21">
        <v>105</v>
      </c>
      <c r="I213" s="21">
        <v>98</v>
      </c>
      <c r="J213" s="21">
        <v>99</v>
      </c>
      <c r="K213" s="21"/>
      <c r="L213" s="21"/>
      <c r="M213" s="41">
        <f>AVERAGE(G213:L213)</f>
        <v>100.5</v>
      </c>
      <c r="N213" s="20">
        <v>46055</v>
      </c>
      <c r="O213" s="21">
        <v>3</v>
      </c>
      <c r="P213" s="21">
        <v>1</v>
      </c>
      <c r="Q213" s="21">
        <v>209</v>
      </c>
      <c r="R213" s="21">
        <v>292</v>
      </c>
      <c r="S213" s="21"/>
      <c r="T213" s="21">
        <v>226</v>
      </c>
      <c r="U213" s="21"/>
      <c r="V213" s="21"/>
      <c r="W213" s="40">
        <f>AVERAGE(Q213:V213)</f>
        <v>242.33333333333334</v>
      </c>
    </row>
    <row r="214" spans="1:24" ht="15" customHeight="1" x14ac:dyDescent="0.25">
      <c r="A214" s="5">
        <v>4</v>
      </c>
      <c r="B214" s="21" t="s">
        <v>23</v>
      </c>
      <c r="C214" s="13">
        <v>46070</v>
      </c>
      <c r="D214" s="8" t="s">
        <v>428</v>
      </c>
      <c r="E214" s="21"/>
      <c r="F214" s="21"/>
      <c r="G214" s="21"/>
      <c r="H214" s="21"/>
      <c r="I214" s="21"/>
      <c r="J214" s="21"/>
      <c r="K214" s="21"/>
      <c r="L214" s="21"/>
      <c r="M214" s="41"/>
      <c r="N214" s="21"/>
      <c r="O214" s="21"/>
      <c r="P214" s="21"/>
      <c r="Q214" s="21"/>
      <c r="R214" s="21"/>
      <c r="S214" s="21"/>
      <c r="T214" s="21"/>
      <c r="U214" s="21"/>
      <c r="V214" s="21"/>
      <c r="W214" s="40"/>
    </row>
    <row r="215" spans="1:24" ht="15" customHeight="1" x14ac:dyDescent="0.25">
      <c r="A215" s="5">
        <v>5</v>
      </c>
      <c r="B215" s="21" t="s">
        <v>23</v>
      </c>
      <c r="C215" s="13">
        <v>46181</v>
      </c>
      <c r="D215" s="8"/>
      <c r="E215" s="21"/>
      <c r="F215" s="21"/>
      <c r="G215" s="21"/>
      <c r="H215" s="21"/>
      <c r="I215" s="21"/>
      <c r="J215" s="21"/>
      <c r="K215" s="21"/>
      <c r="L215" s="21"/>
      <c r="M215" s="41"/>
      <c r="N215" s="21"/>
      <c r="O215" s="21"/>
      <c r="P215" s="21"/>
      <c r="Q215" s="21"/>
      <c r="R215" s="21"/>
      <c r="S215" s="21"/>
      <c r="T215" s="21"/>
      <c r="U215" s="21"/>
      <c r="V215" s="21"/>
      <c r="W215" s="40"/>
    </row>
    <row r="216" spans="1:24" ht="15" customHeight="1" thickBot="1" x14ac:dyDescent="0.3">
      <c r="A216" s="7">
        <v>6</v>
      </c>
      <c r="B216" s="37"/>
      <c r="C216" s="10"/>
      <c r="D216" s="10"/>
      <c r="E216" s="37"/>
      <c r="F216" s="37"/>
      <c r="G216" s="37"/>
      <c r="H216" s="37"/>
      <c r="I216" s="37"/>
      <c r="J216" s="37"/>
      <c r="K216" s="37"/>
      <c r="L216" s="37"/>
      <c r="M216" s="42"/>
      <c r="N216" s="37"/>
      <c r="O216" s="37"/>
      <c r="P216" s="37"/>
      <c r="Q216" s="37"/>
      <c r="R216" s="37"/>
      <c r="S216" s="37"/>
      <c r="T216" s="37"/>
      <c r="U216" s="37"/>
      <c r="V216" s="37"/>
      <c r="W216" s="43"/>
    </row>
    <row r="217" spans="1:24" ht="20.100000000000001" customHeight="1" x14ac:dyDescent="0.25"/>
    <row r="218" spans="1:24" ht="20.100000000000001" customHeight="1" thickBot="1" x14ac:dyDescent="0.3"/>
    <row r="219" spans="1:24" ht="20.100000000000001" customHeight="1" x14ac:dyDescent="0.25">
      <c r="A219" s="100" t="s">
        <v>2</v>
      </c>
      <c r="B219" s="101"/>
      <c r="C219" s="111" t="s">
        <v>46</v>
      </c>
      <c r="D219" s="112"/>
      <c r="E219" s="111" t="s">
        <v>380</v>
      </c>
      <c r="F219" s="112"/>
      <c r="G219" s="101" t="s">
        <v>4</v>
      </c>
      <c r="H219" s="101"/>
      <c r="I219" s="102" t="s">
        <v>5</v>
      </c>
      <c r="J219" s="102"/>
      <c r="K219" s="102"/>
      <c r="L219" s="102"/>
      <c r="M219" s="102"/>
      <c r="N219" s="102"/>
      <c r="O219" s="101" t="s">
        <v>6</v>
      </c>
      <c r="P219" s="101"/>
      <c r="Q219" s="103"/>
      <c r="R219" s="104"/>
      <c r="S219" s="104"/>
      <c r="T219" s="104"/>
      <c r="U219" s="104"/>
      <c r="V219" s="104"/>
      <c r="W219" s="105"/>
      <c r="X219" s="1"/>
    </row>
    <row r="220" spans="1:24" ht="20.100000000000001" customHeight="1" x14ac:dyDescent="0.25">
      <c r="A220" s="106" t="s">
        <v>7</v>
      </c>
      <c r="B220" s="107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7"/>
      <c r="R220" s="107"/>
      <c r="S220" s="107"/>
      <c r="T220" s="107"/>
      <c r="U220" s="107"/>
      <c r="V220" s="107"/>
      <c r="W220" s="110"/>
      <c r="X220" s="1"/>
    </row>
    <row r="221" spans="1:24" ht="24.95" customHeight="1" x14ac:dyDescent="0.25">
      <c r="A221" s="113" t="s">
        <v>8</v>
      </c>
      <c r="B221" s="114" t="s">
        <v>9</v>
      </c>
      <c r="C221" s="114" t="s">
        <v>10</v>
      </c>
      <c r="D221" s="114" t="s">
        <v>11</v>
      </c>
      <c r="E221" s="114" t="s">
        <v>12</v>
      </c>
      <c r="F221" s="114" t="s">
        <v>13</v>
      </c>
      <c r="G221" s="114" t="s">
        <v>14</v>
      </c>
      <c r="H221" s="114"/>
      <c r="I221" s="114"/>
      <c r="J221" s="114"/>
      <c r="K221" s="114"/>
      <c r="L221" s="114"/>
      <c r="M221" s="114" t="s">
        <v>15</v>
      </c>
      <c r="N221" s="114" t="s">
        <v>16</v>
      </c>
      <c r="O221" s="114" t="s">
        <v>17</v>
      </c>
      <c r="P221" s="114" t="s">
        <v>18</v>
      </c>
      <c r="Q221" s="114" t="s">
        <v>19</v>
      </c>
      <c r="R221" s="114"/>
      <c r="S221" s="114"/>
      <c r="T221" s="114"/>
      <c r="U221" s="114"/>
      <c r="V221" s="114"/>
      <c r="W221" s="115" t="s">
        <v>20</v>
      </c>
      <c r="X221" s="3"/>
    </row>
    <row r="222" spans="1:24" ht="24.95" customHeight="1" x14ac:dyDescent="0.25">
      <c r="A222" s="113"/>
      <c r="B222" s="114"/>
      <c r="C222" s="114"/>
      <c r="D222" s="114"/>
      <c r="E222" s="114"/>
      <c r="F222" s="114"/>
      <c r="G222" s="31" t="s">
        <v>21</v>
      </c>
      <c r="H222" s="31" t="s">
        <v>21</v>
      </c>
      <c r="I222" s="31" t="s">
        <v>21</v>
      </c>
      <c r="J222" s="31" t="s">
        <v>22</v>
      </c>
      <c r="K222" s="31" t="s">
        <v>22</v>
      </c>
      <c r="L222" s="31" t="s">
        <v>22</v>
      </c>
      <c r="M222" s="114"/>
      <c r="N222" s="114"/>
      <c r="O222" s="114"/>
      <c r="P222" s="114"/>
      <c r="Q222" s="31" t="s">
        <v>21</v>
      </c>
      <c r="R222" s="31" t="s">
        <v>21</v>
      </c>
      <c r="S222" s="31" t="s">
        <v>21</v>
      </c>
      <c r="T222" s="31" t="s">
        <v>22</v>
      </c>
      <c r="U222" s="31" t="s">
        <v>22</v>
      </c>
      <c r="V222" s="31" t="s">
        <v>22</v>
      </c>
      <c r="W222" s="115"/>
      <c r="X222" s="3"/>
    </row>
    <row r="223" spans="1:24" ht="15.75" customHeight="1" x14ac:dyDescent="0.25">
      <c r="A223" s="5">
        <v>1</v>
      </c>
      <c r="B223" s="21" t="s">
        <v>27</v>
      </c>
      <c r="C223" s="13">
        <v>45738</v>
      </c>
      <c r="D223" s="8" t="s">
        <v>367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</row>
    <row r="224" spans="1:24" ht="17.25" customHeight="1" x14ac:dyDescent="0.25">
      <c r="A224" s="6">
        <v>2</v>
      </c>
      <c r="B224" s="21" t="s">
        <v>29</v>
      </c>
      <c r="C224" s="13">
        <v>45851</v>
      </c>
      <c r="D224" s="13">
        <v>45919</v>
      </c>
      <c r="E224" s="21">
        <v>3</v>
      </c>
      <c r="F224" s="21">
        <v>2</v>
      </c>
      <c r="G224" s="21">
        <v>133</v>
      </c>
      <c r="H224" s="21"/>
      <c r="I224" s="21"/>
      <c r="J224" s="21"/>
      <c r="K224" s="21"/>
      <c r="L224" s="21"/>
      <c r="M224" s="21">
        <v>133</v>
      </c>
      <c r="N224" s="20">
        <v>45944</v>
      </c>
      <c r="O224" s="21">
        <v>1</v>
      </c>
      <c r="P224" s="21">
        <v>0</v>
      </c>
      <c r="Q224" s="21">
        <v>313</v>
      </c>
      <c r="R224" s="21"/>
      <c r="S224" s="21"/>
      <c r="T224" s="21"/>
      <c r="U224" s="21"/>
      <c r="V224" s="21"/>
      <c r="W224" s="22">
        <v>313</v>
      </c>
    </row>
    <row r="225" spans="1:24" ht="15" customHeight="1" x14ac:dyDescent="0.25">
      <c r="A225" s="6">
        <v>3</v>
      </c>
      <c r="B225" s="21" t="s">
        <v>231</v>
      </c>
      <c r="C225" s="13">
        <v>45950</v>
      </c>
      <c r="D225" s="13">
        <v>46031</v>
      </c>
      <c r="E225" s="21">
        <v>3</v>
      </c>
      <c r="F225" s="21">
        <v>0</v>
      </c>
      <c r="G225" s="21">
        <v>128</v>
      </c>
      <c r="H225" s="21"/>
      <c r="I225" s="21"/>
      <c r="J225" s="21">
        <v>125</v>
      </c>
      <c r="K225" s="21">
        <v>123</v>
      </c>
      <c r="L225" s="21"/>
      <c r="M225" s="41">
        <f>AVERAGE(G225:L225)</f>
        <v>125.33333333333333</v>
      </c>
      <c r="N225" s="20">
        <v>46055</v>
      </c>
      <c r="O225" s="21">
        <v>3</v>
      </c>
      <c r="P225" s="21">
        <v>0</v>
      </c>
      <c r="Q225" s="21">
        <v>205</v>
      </c>
      <c r="R225" s="21"/>
      <c r="S225" s="21"/>
      <c r="T225" s="21">
        <v>258</v>
      </c>
      <c r="U225" s="21">
        <v>208</v>
      </c>
      <c r="V225" s="21"/>
      <c r="W225" s="40">
        <f>AVERAGE(Q225:V225)</f>
        <v>223.66666666666666</v>
      </c>
    </row>
    <row r="226" spans="1:24" ht="17.25" customHeight="1" x14ac:dyDescent="0.25">
      <c r="A226" s="5">
        <v>4</v>
      </c>
      <c r="B226" s="21" t="s">
        <v>231</v>
      </c>
      <c r="C226" s="13">
        <v>46039</v>
      </c>
      <c r="D226" s="13">
        <v>46111</v>
      </c>
      <c r="E226" s="21">
        <v>2</v>
      </c>
      <c r="F226" s="21">
        <v>0</v>
      </c>
      <c r="G226" s="21">
        <v>158</v>
      </c>
      <c r="H226" s="21"/>
      <c r="I226" s="21"/>
      <c r="J226" s="21">
        <v>137</v>
      </c>
      <c r="K226" s="21"/>
      <c r="L226" s="21"/>
      <c r="M226" s="21">
        <f>AVERAGE(G226:L226)</f>
        <v>147.5</v>
      </c>
      <c r="N226" s="20">
        <v>46133</v>
      </c>
      <c r="O226" s="21">
        <v>2</v>
      </c>
      <c r="P226" s="21">
        <v>0</v>
      </c>
      <c r="Q226" s="21">
        <v>272</v>
      </c>
      <c r="R226" s="21"/>
      <c r="S226" s="21"/>
      <c r="T226" s="21">
        <v>261</v>
      </c>
      <c r="U226" s="21"/>
      <c r="V226" s="21"/>
      <c r="W226" s="22">
        <f>AVERAGE(Q226:V226)</f>
        <v>266.5</v>
      </c>
    </row>
    <row r="227" spans="1:24" ht="15" customHeight="1" x14ac:dyDescent="0.25">
      <c r="A227" s="5">
        <v>5</v>
      </c>
      <c r="B227" s="21" t="s">
        <v>231</v>
      </c>
      <c r="C227" s="13">
        <v>46148</v>
      </c>
      <c r="D227" s="8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2"/>
    </row>
    <row r="228" spans="1:24" ht="15" customHeight="1" thickBot="1" x14ac:dyDescent="0.3">
      <c r="A228" s="7">
        <v>6</v>
      </c>
      <c r="B228" s="37"/>
      <c r="C228" s="10"/>
      <c r="D228" s="10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9"/>
    </row>
    <row r="229" spans="1:24" ht="20.100000000000001" customHeight="1" x14ac:dyDescent="0.25"/>
    <row r="230" spans="1:24" ht="20.100000000000001" customHeight="1" thickBot="1" x14ac:dyDescent="0.3"/>
    <row r="231" spans="1:24" ht="20.100000000000001" customHeight="1" x14ac:dyDescent="0.25">
      <c r="A231" s="100" t="s">
        <v>2</v>
      </c>
      <c r="B231" s="101"/>
      <c r="C231" s="111" t="s">
        <v>47</v>
      </c>
      <c r="D231" s="112"/>
      <c r="E231" s="111" t="s">
        <v>380</v>
      </c>
      <c r="F231" s="112"/>
      <c r="G231" s="101" t="s">
        <v>4</v>
      </c>
      <c r="H231" s="101"/>
      <c r="I231" s="102" t="s">
        <v>5</v>
      </c>
      <c r="J231" s="102"/>
      <c r="K231" s="102"/>
      <c r="L231" s="102"/>
      <c r="M231" s="102"/>
      <c r="N231" s="102"/>
      <c r="O231" s="101" t="s">
        <v>6</v>
      </c>
      <c r="P231" s="101"/>
      <c r="Q231" s="103"/>
      <c r="R231" s="104"/>
      <c r="S231" s="104"/>
      <c r="T231" s="104"/>
      <c r="U231" s="104"/>
      <c r="V231" s="104"/>
      <c r="W231" s="105"/>
      <c r="X231" s="1"/>
    </row>
    <row r="232" spans="1:24" ht="20.100000000000001" customHeight="1" x14ac:dyDescent="0.25">
      <c r="A232" s="106" t="s">
        <v>7</v>
      </c>
      <c r="B232" s="107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7"/>
      <c r="R232" s="107"/>
      <c r="S232" s="107"/>
      <c r="T232" s="107"/>
      <c r="U232" s="107"/>
      <c r="V232" s="107"/>
      <c r="W232" s="110"/>
      <c r="X232" s="1"/>
    </row>
    <row r="233" spans="1:24" ht="24.95" customHeight="1" x14ac:dyDescent="0.25">
      <c r="A233" s="113" t="s">
        <v>8</v>
      </c>
      <c r="B233" s="114" t="s">
        <v>9</v>
      </c>
      <c r="C233" s="114" t="s">
        <v>10</v>
      </c>
      <c r="D233" s="114" t="s">
        <v>11</v>
      </c>
      <c r="E233" s="114" t="s">
        <v>12</v>
      </c>
      <c r="F233" s="114" t="s">
        <v>13</v>
      </c>
      <c r="G233" s="114" t="s">
        <v>14</v>
      </c>
      <c r="H233" s="114"/>
      <c r="I233" s="114"/>
      <c r="J233" s="114"/>
      <c r="K233" s="114"/>
      <c r="L233" s="114"/>
      <c r="M233" s="114" t="s">
        <v>15</v>
      </c>
      <c r="N233" s="114" t="s">
        <v>16</v>
      </c>
      <c r="O233" s="114" t="s">
        <v>17</v>
      </c>
      <c r="P233" s="114" t="s">
        <v>18</v>
      </c>
      <c r="Q233" s="114" t="s">
        <v>19</v>
      </c>
      <c r="R233" s="114"/>
      <c r="S233" s="114"/>
      <c r="T233" s="114"/>
      <c r="U233" s="114"/>
      <c r="V233" s="114"/>
      <c r="W233" s="115" t="s">
        <v>20</v>
      </c>
      <c r="X233" s="3"/>
    </row>
    <row r="234" spans="1:24" ht="24.95" customHeight="1" x14ac:dyDescent="0.25">
      <c r="A234" s="113"/>
      <c r="B234" s="114"/>
      <c r="C234" s="114"/>
      <c r="D234" s="114"/>
      <c r="E234" s="114"/>
      <c r="F234" s="114"/>
      <c r="G234" s="31" t="s">
        <v>21</v>
      </c>
      <c r="H234" s="31" t="s">
        <v>21</v>
      </c>
      <c r="I234" s="31" t="s">
        <v>21</v>
      </c>
      <c r="J234" s="31" t="s">
        <v>22</v>
      </c>
      <c r="K234" s="31" t="s">
        <v>22</v>
      </c>
      <c r="L234" s="31" t="s">
        <v>22</v>
      </c>
      <c r="M234" s="114"/>
      <c r="N234" s="114"/>
      <c r="O234" s="114"/>
      <c r="P234" s="114"/>
      <c r="Q234" s="31" t="s">
        <v>21</v>
      </c>
      <c r="R234" s="31" t="s">
        <v>21</v>
      </c>
      <c r="S234" s="31" t="s">
        <v>21</v>
      </c>
      <c r="T234" s="31" t="s">
        <v>22</v>
      </c>
      <c r="U234" s="31" t="s">
        <v>22</v>
      </c>
      <c r="V234" s="31" t="s">
        <v>22</v>
      </c>
      <c r="W234" s="115"/>
      <c r="X234" s="3"/>
    </row>
    <row r="235" spans="1:24" ht="16.5" customHeight="1" x14ac:dyDescent="0.25">
      <c r="A235" s="5">
        <v>1</v>
      </c>
      <c r="B235" s="21" t="s">
        <v>27</v>
      </c>
      <c r="C235" s="13">
        <v>45738</v>
      </c>
      <c r="D235" s="20">
        <v>45813</v>
      </c>
      <c r="E235" s="21">
        <v>2</v>
      </c>
      <c r="F235" s="21">
        <v>0</v>
      </c>
      <c r="G235" s="21">
        <v>157</v>
      </c>
      <c r="H235" s="21"/>
      <c r="I235" s="21"/>
      <c r="J235" s="21">
        <v>186</v>
      </c>
      <c r="K235" s="21"/>
      <c r="L235" s="21"/>
      <c r="M235" s="21"/>
      <c r="N235" s="20">
        <v>45833</v>
      </c>
      <c r="O235" s="21">
        <v>2</v>
      </c>
      <c r="P235" s="21">
        <v>0</v>
      </c>
      <c r="Q235" s="21">
        <v>383</v>
      </c>
      <c r="R235" s="21"/>
      <c r="S235" s="21"/>
      <c r="T235" s="21">
        <v>429</v>
      </c>
      <c r="U235" s="21"/>
      <c r="V235" s="21"/>
      <c r="W235" s="22">
        <f>AVERAGE(Q235,T235)</f>
        <v>406</v>
      </c>
    </row>
    <row r="236" spans="1:24" ht="17.25" customHeight="1" x14ac:dyDescent="0.25">
      <c r="A236" s="6">
        <v>2</v>
      </c>
      <c r="B236" s="21" t="s">
        <v>29</v>
      </c>
      <c r="C236" s="13">
        <v>45851</v>
      </c>
      <c r="D236" s="20">
        <v>45930</v>
      </c>
      <c r="E236" s="21">
        <v>4</v>
      </c>
      <c r="F236" s="21">
        <v>0</v>
      </c>
      <c r="G236" s="21">
        <v>137</v>
      </c>
      <c r="H236" s="21">
        <v>134</v>
      </c>
      <c r="I236" s="21"/>
      <c r="J236" s="21">
        <v>116</v>
      </c>
      <c r="K236" s="21">
        <v>129</v>
      </c>
      <c r="L236" s="21"/>
      <c r="M236" s="21">
        <f>AVERAGE(G236:L236)</f>
        <v>129</v>
      </c>
      <c r="N236" s="20">
        <v>45944</v>
      </c>
      <c r="O236" s="21">
        <v>3</v>
      </c>
      <c r="P236" s="21">
        <v>1</v>
      </c>
      <c r="Q236" s="21">
        <v>226</v>
      </c>
      <c r="R236" s="21"/>
      <c r="S236" s="21"/>
      <c r="T236" s="21">
        <v>171</v>
      </c>
      <c r="U236" s="21"/>
      <c r="V236" s="21">
        <v>173</v>
      </c>
      <c r="W236" s="22">
        <f>AVERAGE(Q236:V236)</f>
        <v>190</v>
      </c>
    </row>
    <row r="237" spans="1:24" ht="15.75" customHeight="1" x14ac:dyDescent="0.25">
      <c r="A237" s="6">
        <v>3</v>
      </c>
      <c r="B237" s="21" t="s">
        <v>231</v>
      </c>
      <c r="C237" s="13">
        <v>45950</v>
      </c>
      <c r="D237" s="20">
        <v>46029</v>
      </c>
      <c r="E237" s="21">
        <v>4</v>
      </c>
      <c r="F237" s="21">
        <v>1</v>
      </c>
      <c r="G237" s="21">
        <v>120</v>
      </c>
      <c r="H237" s="21">
        <v>117</v>
      </c>
      <c r="I237" s="21">
        <v>110</v>
      </c>
      <c r="J237" s="21"/>
      <c r="K237" s="21"/>
      <c r="L237" s="21"/>
      <c r="M237" s="41">
        <f>AVERAGE(G237:L237)</f>
        <v>115.66666666666667</v>
      </c>
      <c r="N237" s="20">
        <v>46055</v>
      </c>
      <c r="O237" s="21">
        <v>2</v>
      </c>
      <c r="P237" s="21">
        <v>1</v>
      </c>
      <c r="Q237" s="21">
        <v>260</v>
      </c>
      <c r="R237" s="21"/>
      <c r="S237" s="21"/>
      <c r="T237" s="21">
        <v>282</v>
      </c>
      <c r="U237" s="21"/>
      <c r="V237" s="21"/>
      <c r="W237" s="22">
        <f>AVERAGE(Q237:V237)</f>
        <v>271</v>
      </c>
    </row>
    <row r="238" spans="1:24" ht="15.75" customHeight="1" x14ac:dyDescent="0.25">
      <c r="A238" s="5">
        <v>4</v>
      </c>
      <c r="B238" s="21" t="s">
        <v>231</v>
      </c>
      <c r="C238" s="13">
        <v>46039</v>
      </c>
      <c r="D238" s="20">
        <v>46114</v>
      </c>
      <c r="E238" s="21">
        <v>3</v>
      </c>
      <c r="F238" s="21">
        <v>0</v>
      </c>
      <c r="G238" s="21">
        <v>126</v>
      </c>
      <c r="H238" s="21">
        <v>140</v>
      </c>
      <c r="I238" s="21"/>
      <c r="J238" s="21">
        <v>151</v>
      </c>
      <c r="K238" s="21"/>
      <c r="L238" s="21"/>
      <c r="M238" s="21">
        <f>AVERAGE(G238:L238)</f>
        <v>139</v>
      </c>
      <c r="N238" s="20">
        <v>46139</v>
      </c>
      <c r="O238" s="21">
        <v>3</v>
      </c>
      <c r="P238" s="21">
        <v>0</v>
      </c>
      <c r="Q238" s="21">
        <v>184</v>
      </c>
      <c r="R238" s="21">
        <v>285</v>
      </c>
      <c r="S238" s="21"/>
      <c r="T238" s="21">
        <v>240</v>
      </c>
      <c r="U238" s="21"/>
      <c r="V238" s="21"/>
      <c r="W238" s="40">
        <f>AVERAGE(Q238:V238)</f>
        <v>236.33333333333334</v>
      </c>
    </row>
    <row r="239" spans="1:24" ht="17.25" customHeight="1" x14ac:dyDescent="0.25">
      <c r="A239" s="5">
        <v>5</v>
      </c>
      <c r="B239" s="21" t="s">
        <v>231</v>
      </c>
      <c r="C239" s="13">
        <v>46148</v>
      </c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2"/>
    </row>
    <row r="240" spans="1:24" ht="17.25" customHeight="1" thickBot="1" x14ac:dyDescent="0.3">
      <c r="A240" s="7">
        <v>6</v>
      </c>
      <c r="B240" s="37"/>
      <c r="C240" s="10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9"/>
    </row>
  </sheetData>
  <mergeCells count="482">
    <mergeCell ref="A2:W2"/>
    <mergeCell ref="A1:W1"/>
    <mergeCell ref="Q3:W3"/>
    <mergeCell ref="A15:B15"/>
    <mergeCell ref="G15:H15"/>
    <mergeCell ref="I15:N15"/>
    <mergeCell ref="O15:P15"/>
    <mergeCell ref="Q15:W15"/>
    <mergeCell ref="W5:W6"/>
    <mergeCell ref="A4:B4"/>
    <mergeCell ref="A3:B3"/>
    <mergeCell ref="O3:P3"/>
    <mergeCell ref="G3:H3"/>
    <mergeCell ref="I3:N3"/>
    <mergeCell ref="C4:N4"/>
    <mergeCell ref="O4:P4"/>
    <mergeCell ref="Q4:W4"/>
    <mergeCell ref="G5:L5"/>
    <mergeCell ref="P5:P6"/>
    <mergeCell ref="O5:O6"/>
    <mergeCell ref="N5:N6"/>
    <mergeCell ref="M5:M6"/>
    <mergeCell ref="C15:D15"/>
    <mergeCell ref="Q5:V5"/>
    <mergeCell ref="B5:B6"/>
    <mergeCell ref="A5:A6"/>
    <mergeCell ref="A16:B16"/>
    <mergeCell ref="C16:N16"/>
    <mergeCell ref="O16:P16"/>
    <mergeCell ref="Q16:W16"/>
    <mergeCell ref="C5:C6"/>
    <mergeCell ref="D5:D6"/>
    <mergeCell ref="E5:E6"/>
    <mergeCell ref="F5:F6"/>
    <mergeCell ref="E15:F15"/>
    <mergeCell ref="A17:A18"/>
    <mergeCell ref="B17:B18"/>
    <mergeCell ref="C17:C18"/>
    <mergeCell ref="D17:D18"/>
    <mergeCell ref="E17:E18"/>
    <mergeCell ref="F17:F18"/>
    <mergeCell ref="W17:W18"/>
    <mergeCell ref="A27:B27"/>
    <mergeCell ref="G27:H27"/>
    <mergeCell ref="I27:N27"/>
    <mergeCell ref="O27:P27"/>
    <mergeCell ref="Q27:W27"/>
    <mergeCell ref="G17:L17"/>
    <mergeCell ref="M17:M18"/>
    <mergeCell ref="N17:N18"/>
    <mergeCell ref="O17:O18"/>
    <mergeCell ref="P17:P18"/>
    <mergeCell ref="Q17:V17"/>
    <mergeCell ref="C27:D27"/>
    <mergeCell ref="E27:F27"/>
    <mergeCell ref="A28:B28"/>
    <mergeCell ref="C28:N28"/>
    <mergeCell ref="O28:P28"/>
    <mergeCell ref="Q28:W28"/>
    <mergeCell ref="A29:A30"/>
    <mergeCell ref="B29:B30"/>
    <mergeCell ref="C29:C30"/>
    <mergeCell ref="D29:D30"/>
    <mergeCell ref="E29:E30"/>
    <mergeCell ref="F29:F30"/>
    <mergeCell ref="W29:W30"/>
    <mergeCell ref="A39:B39"/>
    <mergeCell ref="G39:H39"/>
    <mergeCell ref="I39:N39"/>
    <mergeCell ref="O39:P39"/>
    <mergeCell ref="Q39:W39"/>
    <mergeCell ref="G29:L29"/>
    <mergeCell ref="M29:M30"/>
    <mergeCell ref="N29:N30"/>
    <mergeCell ref="O29:O30"/>
    <mergeCell ref="P29:P30"/>
    <mergeCell ref="Q29:V29"/>
    <mergeCell ref="A40:B40"/>
    <mergeCell ref="C40:N40"/>
    <mergeCell ref="O40:P40"/>
    <mergeCell ref="Q40:W40"/>
    <mergeCell ref="A41:A42"/>
    <mergeCell ref="B41:B42"/>
    <mergeCell ref="C41:C42"/>
    <mergeCell ref="D41:D42"/>
    <mergeCell ref="E41:E42"/>
    <mergeCell ref="F41:F42"/>
    <mergeCell ref="W41:W42"/>
    <mergeCell ref="A51:B51"/>
    <mergeCell ref="G51:H51"/>
    <mergeCell ref="I51:N51"/>
    <mergeCell ref="O51:P51"/>
    <mergeCell ref="Q51:W51"/>
    <mergeCell ref="G41:L41"/>
    <mergeCell ref="M41:M42"/>
    <mergeCell ref="N41:N42"/>
    <mergeCell ref="O41:O42"/>
    <mergeCell ref="P41:P42"/>
    <mergeCell ref="Q41:V41"/>
    <mergeCell ref="C51:D51"/>
    <mergeCell ref="E51:F51"/>
    <mergeCell ref="A52:B52"/>
    <mergeCell ref="C52:N52"/>
    <mergeCell ref="O52:P52"/>
    <mergeCell ref="Q52:W52"/>
    <mergeCell ref="A53:A54"/>
    <mergeCell ref="B53:B54"/>
    <mergeCell ref="C53:C54"/>
    <mergeCell ref="D53:D54"/>
    <mergeCell ref="E53:E54"/>
    <mergeCell ref="F53:F54"/>
    <mergeCell ref="W53:W54"/>
    <mergeCell ref="A63:B63"/>
    <mergeCell ref="G63:H63"/>
    <mergeCell ref="I63:N63"/>
    <mergeCell ref="O63:P63"/>
    <mergeCell ref="Q63:W63"/>
    <mergeCell ref="G53:L53"/>
    <mergeCell ref="M53:M54"/>
    <mergeCell ref="N53:N54"/>
    <mergeCell ref="O53:O54"/>
    <mergeCell ref="P53:P54"/>
    <mergeCell ref="Q53:V53"/>
    <mergeCell ref="A64:B64"/>
    <mergeCell ref="C64:N64"/>
    <mergeCell ref="O64:P64"/>
    <mergeCell ref="Q64:W64"/>
    <mergeCell ref="A65:A66"/>
    <mergeCell ref="B65:B66"/>
    <mergeCell ref="C65:C66"/>
    <mergeCell ref="D65:D66"/>
    <mergeCell ref="E65:E66"/>
    <mergeCell ref="F65:F66"/>
    <mergeCell ref="W65:W66"/>
    <mergeCell ref="A75:B75"/>
    <mergeCell ref="G75:H75"/>
    <mergeCell ref="I75:N75"/>
    <mergeCell ref="O75:P75"/>
    <mergeCell ref="Q75:W75"/>
    <mergeCell ref="G65:L65"/>
    <mergeCell ref="M65:M66"/>
    <mergeCell ref="N65:N66"/>
    <mergeCell ref="O65:O66"/>
    <mergeCell ref="P65:P66"/>
    <mergeCell ref="Q65:V65"/>
    <mergeCell ref="A76:B76"/>
    <mergeCell ref="C76:N76"/>
    <mergeCell ref="O76:P76"/>
    <mergeCell ref="Q76:W76"/>
    <mergeCell ref="A77:A78"/>
    <mergeCell ref="B77:B78"/>
    <mergeCell ref="C77:C78"/>
    <mergeCell ref="D77:D78"/>
    <mergeCell ref="E77:E78"/>
    <mergeCell ref="F77:F78"/>
    <mergeCell ref="W77:W78"/>
    <mergeCell ref="A87:B87"/>
    <mergeCell ref="G87:H87"/>
    <mergeCell ref="I87:N87"/>
    <mergeCell ref="O87:P87"/>
    <mergeCell ref="Q87:W87"/>
    <mergeCell ref="G77:L77"/>
    <mergeCell ref="M77:M78"/>
    <mergeCell ref="N77:N78"/>
    <mergeCell ref="O77:O78"/>
    <mergeCell ref="P77:P78"/>
    <mergeCell ref="Q77:V77"/>
    <mergeCell ref="A88:B88"/>
    <mergeCell ref="C88:N88"/>
    <mergeCell ref="O88:P88"/>
    <mergeCell ref="Q88:W88"/>
    <mergeCell ref="A89:A90"/>
    <mergeCell ref="B89:B90"/>
    <mergeCell ref="C89:C90"/>
    <mergeCell ref="D89:D90"/>
    <mergeCell ref="E89:E90"/>
    <mergeCell ref="F89:F90"/>
    <mergeCell ref="W89:W90"/>
    <mergeCell ref="A99:B99"/>
    <mergeCell ref="G99:H99"/>
    <mergeCell ref="I99:N99"/>
    <mergeCell ref="O99:P99"/>
    <mergeCell ref="Q99:W99"/>
    <mergeCell ref="G89:L89"/>
    <mergeCell ref="M89:M90"/>
    <mergeCell ref="N89:N90"/>
    <mergeCell ref="O89:O90"/>
    <mergeCell ref="P89:P90"/>
    <mergeCell ref="Q89:V89"/>
    <mergeCell ref="C99:D99"/>
    <mergeCell ref="E99:F99"/>
    <mergeCell ref="A100:B100"/>
    <mergeCell ref="C100:N100"/>
    <mergeCell ref="O100:P100"/>
    <mergeCell ref="Q100:W100"/>
    <mergeCell ref="A101:A102"/>
    <mergeCell ref="B101:B102"/>
    <mergeCell ref="C101:C102"/>
    <mergeCell ref="D101:D102"/>
    <mergeCell ref="E101:E102"/>
    <mergeCell ref="F101:F102"/>
    <mergeCell ref="W101:W102"/>
    <mergeCell ref="A111:B111"/>
    <mergeCell ref="G111:H111"/>
    <mergeCell ref="I111:N111"/>
    <mergeCell ref="O111:P111"/>
    <mergeCell ref="Q111:W111"/>
    <mergeCell ref="G101:L101"/>
    <mergeCell ref="M101:M102"/>
    <mergeCell ref="N101:N102"/>
    <mergeCell ref="O101:O102"/>
    <mergeCell ref="P101:P102"/>
    <mergeCell ref="Q101:V101"/>
    <mergeCell ref="C111:D111"/>
    <mergeCell ref="E111:F111"/>
    <mergeCell ref="A112:B112"/>
    <mergeCell ref="C112:N112"/>
    <mergeCell ref="O112:P112"/>
    <mergeCell ref="Q112:W112"/>
    <mergeCell ref="A113:A114"/>
    <mergeCell ref="B113:B114"/>
    <mergeCell ref="C113:C114"/>
    <mergeCell ref="D113:D114"/>
    <mergeCell ref="E113:E114"/>
    <mergeCell ref="F113:F114"/>
    <mergeCell ref="W113:W114"/>
    <mergeCell ref="A123:B123"/>
    <mergeCell ref="G123:H123"/>
    <mergeCell ref="I123:N123"/>
    <mergeCell ref="O123:P123"/>
    <mergeCell ref="Q123:W123"/>
    <mergeCell ref="G113:L113"/>
    <mergeCell ref="M113:M114"/>
    <mergeCell ref="N113:N114"/>
    <mergeCell ref="O113:O114"/>
    <mergeCell ref="P113:P114"/>
    <mergeCell ref="Q113:V113"/>
    <mergeCell ref="C123:D123"/>
    <mergeCell ref="E123:F123"/>
    <mergeCell ref="A124:B124"/>
    <mergeCell ref="C124:N124"/>
    <mergeCell ref="O124:P124"/>
    <mergeCell ref="Q124:W124"/>
    <mergeCell ref="A125:A126"/>
    <mergeCell ref="B125:B126"/>
    <mergeCell ref="C125:C126"/>
    <mergeCell ref="D125:D126"/>
    <mergeCell ref="E125:E126"/>
    <mergeCell ref="F125:F126"/>
    <mergeCell ref="W125:W126"/>
    <mergeCell ref="A135:B135"/>
    <mergeCell ref="G135:H135"/>
    <mergeCell ref="I135:N135"/>
    <mergeCell ref="O135:P135"/>
    <mergeCell ref="Q135:W135"/>
    <mergeCell ref="G125:L125"/>
    <mergeCell ref="M125:M126"/>
    <mergeCell ref="N125:N126"/>
    <mergeCell ref="O125:O126"/>
    <mergeCell ref="P125:P126"/>
    <mergeCell ref="Q125:V125"/>
    <mergeCell ref="A136:B136"/>
    <mergeCell ref="C136:N136"/>
    <mergeCell ref="O136:P136"/>
    <mergeCell ref="Q136:W136"/>
    <mergeCell ref="A137:A138"/>
    <mergeCell ref="B137:B138"/>
    <mergeCell ref="C137:C138"/>
    <mergeCell ref="D137:D138"/>
    <mergeCell ref="E137:E138"/>
    <mergeCell ref="F137:F138"/>
    <mergeCell ref="W137:W138"/>
    <mergeCell ref="A147:B147"/>
    <mergeCell ref="G147:H147"/>
    <mergeCell ref="I147:N147"/>
    <mergeCell ref="O147:P147"/>
    <mergeCell ref="Q147:W147"/>
    <mergeCell ref="G137:L137"/>
    <mergeCell ref="M137:M138"/>
    <mergeCell ref="N137:N138"/>
    <mergeCell ref="O137:O138"/>
    <mergeCell ref="P137:P138"/>
    <mergeCell ref="Q137:V137"/>
    <mergeCell ref="A148:B148"/>
    <mergeCell ref="C148:N148"/>
    <mergeCell ref="O148:P148"/>
    <mergeCell ref="Q148:W148"/>
    <mergeCell ref="A149:A150"/>
    <mergeCell ref="B149:B150"/>
    <mergeCell ref="C149:C150"/>
    <mergeCell ref="D149:D150"/>
    <mergeCell ref="E149:E150"/>
    <mergeCell ref="F149:F150"/>
    <mergeCell ref="W149:W150"/>
    <mergeCell ref="A159:B159"/>
    <mergeCell ref="G159:H159"/>
    <mergeCell ref="I159:N159"/>
    <mergeCell ref="O159:P159"/>
    <mergeCell ref="Q159:W159"/>
    <mergeCell ref="G149:L149"/>
    <mergeCell ref="M149:M150"/>
    <mergeCell ref="N149:N150"/>
    <mergeCell ref="O149:O150"/>
    <mergeCell ref="P149:P150"/>
    <mergeCell ref="Q149:V149"/>
    <mergeCell ref="A160:B160"/>
    <mergeCell ref="C160:N160"/>
    <mergeCell ref="O160:P160"/>
    <mergeCell ref="Q160:W160"/>
    <mergeCell ref="A161:A162"/>
    <mergeCell ref="B161:B162"/>
    <mergeCell ref="C161:C162"/>
    <mergeCell ref="D161:D162"/>
    <mergeCell ref="E161:E162"/>
    <mergeCell ref="F161:F162"/>
    <mergeCell ref="W161:W162"/>
    <mergeCell ref="A171:B171"/>
    <mergeCell ref="G171:H171"/>
    <mergeCell ref="I171:N171"/>
    <mergeCell ref="O171:P171"/>
    <mergeCell ref="Q171:W171"/>
    <mergeCell ref="G161:L161"/>
    <mergeCell ref="M161:M162"/>
    <mergeCell ref="N161:N162"/>
    <mergeCell ref="O161:O162"/>
    <mergeCell ref="P161:P162"/>
    <mergeCell ref="Q161:V161"/>
    <mergeCell ref="C171:D171"/>
    <mergeCell ref="E171:F171"/>
    <mergeCell ref="A172:B172"/>
    <mergeCell ref="C172:N172"/>
    <mergeCell ref="O172:P172"/>
    <mergeCell ref="Q172:W172"/>
    <mergeCell ref="A173:A174"/>
    <mergeCell ref="B173:B174"/>
    <mergeCell ref="C173:C174"/>
    <mergeCell ref="D173:D174"/>
    <mergeCell ref="E173:E174"/>
    <mergeCell ref="F173:F174"/>
    <mergeCell ref="W173:W174"/>
    <mergeCell ref="A183:B183"/>
    <mergeCell ref="G183:H183"/>
    <mergeCell ref="I183:N183"/>
    <mergeCell ref="O183:P183"/>
    <mergeCell ref="Q183:W183"/>
    <mergeCell ref="G173:L173"/>
    <mergeCell ref="M173:M174"/>
    <mergeCell ref="N173:N174"/>
    <mergeCell ref="O173:O174"/>
    <mergeCell ref="P173:P174"/>
    <mergeCell ref="Q173:V173"/>
    <mergeCell ref="C183:D183"/>
    <mergeCell ref="E183:F183"/>
    <mergeCell ref="A184:B184"/>
    <mergeCell ref="C184:N184"/>
    <mergeCell ref="O184:P184"/>
    <mergeCell ref="Q184:W184"/>
    <mergeCell ref="A185:A186"/>
    <mergeCell ref="B185:B186"/>
    <mergeCell ref="C185:C186"/>
    <mergeCell ref="D185:D186"/>
    <mergeCell ref="E185:E186"/>
    <mergeCell ref="F185:F186"/>
    <mergeCell ref="W185:W186"/>
    <mergeCell ref="A195:B195"/>
    <mergeCell ref="G195:H195"/>
    <mergeCell ref="I195:N195"/>
    <mergeCell ref="O195:P195"/>
    <mergeCell ref="Q195:W195"/>
    <mergeCell ref="G185:L185"/>
    <mergeCell ref="M185:M186"/>
    <mergeCell ref="N185:N186"/>
    <mergeCell ref="O185:O186"/>
    <mergeCell ref="P185:P186"/>
    <mergeCell ref="Q185:V185"/>
    <mergeCell ref="C195:D195"/>
    <mergeCell ref="E195:F195"/>
    <mergeCell ref="A196:B196"/>
    <mergeCell ref="C196:N196"/>
    <mergeCell ref="O196:P196"/>
    <mergeCell ref="Q196:W196"/>
    <mergeCell ref="A197:A198"/>
    <mergeCell ref="B197:B198"/>
    <mergeCell ref="C197:C198"/>
    <mergeCell ref="D197:D198"/>
    <mergeCell ref="E197:E198"/>
    <mergeCell ref="F197:F198"/>
    <mergeCell ref="W197:W198"/>
    <mergeCell ref="A207:B207"/>
    <mergeCell ref="G207:H207"/>
    <mergeCell ref="I207:N207"/>
    <mergeCell ref="O207:P207"/>
    <mergeCell ref="Q207:W207"/>
    <mergeCell ref="G197:L197"/>
    <mergeCell ref="M197:M198"/>
    <mergeCell ref="N197:N198"/>
    <mergeCell ref="O197:O198"/>
    <mergeCell ref="P197:P198"/>
    <mergeCell ref="Q197:V197"/>
    <mergeCell ref="A208:B208"/>
    <mergeCell ref="C208:N208"/>
    <mergeCell ref="O208:P208"/>
    <mergeCell ref="Q208:W208"/>
    <mergeCell ref="A209:A210"/>
    <mergeCell ref="B209:B210"/>
    <mergeCell ref="C209:C210"/>
    <mergeCell ref="D209:D210"/>
    <mergeCell ref="E209:E210"/>
    <mergeCell ref="F209:F210"/>
    <mergeCell ref="W209:W210"/>
    <mergeCell ref="A219:B219"/>
    <mergeCell ref="G219:H219"/>
    <mergeCell ref="I219:N219"/>
    <mergeCell ref="O219:P219"/>
    <mergeCell ref="Q219:W219"/>
    <mergeCell ref="G209:L209"/>
    <mergeCell ref="M209:M210"/>
    <mergeCell ref="N209:N210"/>
    <mergeCell ref="O209:O210"/>
    <mergeCell ref="P209:P210"/>
    <mergeCell ref="Q209:V209"/>
    <mergeCell ref="C219:D219"/>
    <mergeCell ref="E219:F219"/>
    <mergeCell ref="A220:B220"/>
    <mergeCell ref="C220:N220"/>
    <mergeCell ref="O220:P220"/>
    <mergeCell ref="Q220:W220"/>
    <mergeCell ref="A221:A222"/>
    <mergeCell ref="B221:B222"/>
    <mergeCell ref="C221:C222"/>
    <mergeCell ref="D221:D222"/>
    <mergeCell ref="E221:E222"/>
    <mergeCell ref="F221:F222"/>
    <mergeCell ref="W221:W222"/>
    <mergeCell ref="A231:B231"/>
    <mergeCell ref="G231:H231"/>
    <mergeCell ref="I231:N231"/>
    <mergeCell ref="O231:P231"/>
    <mergeCell ref="Q231:W231"/>
    <mergeCell ref="G221:L221"/>
    <mergeCell ref="M221:M222"/>
    <mergeCell ref="N221:N222"/>
    <mergeCell ref="O221:O222"/>
    <mergeCell ref="P221:P222"/>
    <mergeCell ref="Q221:V221"/>
    <mergeCell ref="W233:W234"/>
    <mergeCell ref="G233:L233"/>
    <mergeCell ref="M233:M234"/>
    <mergeCell ref="N233:N234"/>
    <mergeCell ref="O233:O234"/>
    <mergeCell ref="P233:P234"/>
    <mergeCell ref="Q233:V233"/>
    <mergeCell ref="A232:B232"/>
    <mergeCell ref="C232:N232"/>
    <mergeCell ref="O232:P232"/>
    <mergeCell ref="Q232:W232"/>
    <mergeCell ref="A233:A234"/>
    <mergeCell ref="B233:B234"/>
    <mergeCell ref="C233:C234"/>
    <mergeCell ref="D233:D234"/>
    <mergeCell ref="E233:E234"/>
    <mergeCell ref="F233:F234"/>
    <mergeCell ref="C3:D3"/>
    <mergeCell ref="E3:F3"/>
    <mergeCell ref="C231:D231"/>
    <mergeCell ref="E231:F231"/>
    <mergeCell ref="C87:D87"/>
    <mergeCell ref="E87:F87"/>
    <mergeCell ref="C63:D63"/>
    <mergeCell ref="E63:F63"/>
    <mergeCell ref="C135:D135"/>
    <mergeCell ref="E135:F135"/>
    <mergeCell ref="C75:D75"/>
    <mergeCell ref="E75:F75"/>
    <mergeCell ref="C39:D39"/>
    <mergeCell ref="E39:F39"/>
    <mergeCell ref="C159:D159"/>
    <mergeCell ref="E159:F159"/>
    <mergeCell ref="C207:D207"/>
    <mergeCell ref="E207:F207"/>
    <mergeCell ref="C147:D147"/>
    <mergeCell ref="E147:F147"/>
  </mergeCells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06AC-6B89-4BA3-B030-84A13341466E}">
  <dimension ref="A1:X240"/>
  <sheetViews>
    <sheetView topLeftCell="A226" workbookViewId="0">
      <selection activeCell="C231" sqref="C231:D231"/>
    </sheetView>
  </sheetViews>
  <sheetFormatPr baseColWidth="10" defaultColWidth="11.42578125" defaultRowHeight="15" x14ac:dyDescent="0.25"/>
  <cols>
    <col min="1" max="1" width="7.5703125" customWidth="1"/>
    <col min="2" max="2" width="13.140625" customWidth="1"/>
    <col min="3" max="3" width="13.28515625" customWidth="1"/>
    <col min="4" max="4" width="12.5703125" bestFit="1" customWidth="1"/>
    <col min="7" max="7" width="5.42578125" customWidth="1"/>
    <col min="8" max="8" width="5" customWidth="1"/>
    <col min="9" max="9" width="4.85546875" customWidth="1"/>
    <col min="10" max="10" width="5.140625" customWidth="1"/>
    <col min="11" max="12" width="4.85546875" customWidth="1"/>
    <col min="13" max="13" width="9.5703125" customWidth="1"/>
    <col min="14" max="14" width="12.5703125" bestFit="1" customWidth="1"/>
    <col min="15" max="15" width="9.5703125" customWidth="1"/>
    <col min="16" max="16" width="11.42578125" customWidth="1"/>
    <col min="17" max="17" width="4.85546875" customWidth="1"/>
    <col min="18" max="18" width="5" customWidth="1"/>
    <col min="19" max="19" width="5.42578125" customWidth="1"/>
    <col min="20" max="20" width="5.5703125" customWidth="1"/>
    <col min="21" max="21" width="5.7109375" customWidth="1"/>
    <col min="22" max="22" width="5.5703125" customWidth="1"/>
  </cols>
  <sheetData>
    <row r="1" spans="1:24" s="4" customFormat="1" ht="20.100000000000001" customHeight="1" x14ac:dyDescent="0.3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s="2" customFormat="1" ht="30" customHeight="1" thickBot="1" x14ac:dyDescent="0.3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4" ht="20.100000000000001" customHeight="1" x14ac:dyDescent="0.25">
      <c r="A3" s="100" t="s">
        <v>2</v>
      </c>
      <c r="B3" s="101"/>
      <c r="C3" s="111" t="s">
        <v>48</v>
      </c>
      <c r="D3" s="112"/>
      <c r="E3" s="111" t="s">
        <v>380</v>
      </c>
      <c r="F3" s="112"/>
      <c r="G3" s="101" t="s">
        <v>4</v>
      </c>
      <c r="H3" s="101"/>
      <c r="I3" s="102" t="s">
        <v>5</v>
      </c>
      <c r="J3" s="102"/>
      <c r="K3" s="102"/>
      <c r="L3" s="102"/>
      <c r="M3" s="102"/>
      <c r="N3" s="102"/>
      <c r="O3" s="101" t="s">
        <v>6</v>
      </c>
      <c r="P3" s="101"/>
      <c r="Q3" s="103"/>
      <c r="R3" s="104"/>
      <c r="S3" s="104"/>
      <c r="T3" s="104"/>
      <c r="U3" s="104"/>
      <c r="V3" s="104"/>
      <c r="W3" s="105"/>
      <c r="X3" s="1"/>
    </row>
    <row r="4" spans="1:24" ht="20.100000000000001" customHeight="1" x14ac:dyDescent="0.25">
      <c r="A4" s="106" t="s">
        <v>7</v>
      </c>
      <c r="B4" s="107"/>
      <c r="C4" s="108" t="s">
        <v>44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9"/>
      <c r="P4" s="109"/>
      <c r="Q4" s="107"/>
      <c r="R4" s="107"/>
      <c r="S4" s="107"/>
      <c r="T4" s="107"/>
      <c r="U4" s="107"/>
      <c r="V4" s="107"/>
      <c r="W4" s="110"/>
      <c r="X4" s="1"/>
    </row>
    <row r="5" spans="1:24" ht="24.95" customHeight="1" x14ac:dyDescent="0.25">
      <c r="A5" s="113" t="s">
        <v>8</v>
      </c>
      <c r="B5" s="114" t="s">
        <v>9</v>
      </c>
      <c r="C5" s="114" t="s">
        <v>10</v>
      </c>
      <c r="D5" s="114" t="s">
        <v>11</v>
      </c>
      <c r="E5" s="114" t="s">
        <v>12</v>
      </c>
      <c r="F5" s="114" t="s">
        <v>13</v>
      </c>
      <c r="G5" s="114" t="s">
        <v>14</v>
      </c>
      <c r="H5" s="114"/>
      <c r="I5" s="114"/>
      <c r="J5" s="114"/>
      <c r="K5" s="114"/>
      <c r="L5" s="114"/>
      <c r="M5" s="114" t="s">
        <v>15</v>
      </c>
      <c r="N5" s="114" t="s">
        <v>16</v>
      </c>
      <c r="O5" s="114" t="s">
        <v>17</v>
      </c>
      <c r="P5" s="114" t="s">
        <v>18</v>
      </c>
      <c r="Q5" s="114" t="s">
        <v>19</v>
      </c>
      <c r="R5" s="114"/>
      <c r="S5" s="114"/>
      <c r="T5" s="114"/>
      <c r="U5" s="114"/>
      <c r="V5" s="114"/>
      <c r="W5" s="115" t="s">
        <v>20</v>
      </c>
      <c r="X5" s="3"/>
    </row>
    <row r="6" spans="1:24" ht="24.95" customHeight="1" x14ac:dyDescent="0.25">
      <c r="A6" s="113"/>
      <c r="B6" s="114"/>
      <c r="C6" s="114"/>
      <c r="D6" s="114"/>
      <c r="E6" s="114"/>
      <c r="F6" s="114"/>
      <c r="G6" s="31" t="s">
        <v>21</v>
      </c>
      <c r="H6" s="31" t="s">
        <v>21</v>
      </c>
      <c r="I6" s="31" t="s">
        <v>21</v>
      </c>
      <c r="J6" s="31" t="s">
        <v>22</v>
      </c>
      <c r="K6" s="31" t="s">
        <v>22</v>
      </c>
      <c r="L6" s="31" t="s">
        <v>22</v>
      </c>
      <c r="M6" s="114"/>
      <c r="N6" s="114"/>
      <c r="O6" s="114"/>
      <c r="P6" s="114"/>
      <c r="Q6" s="31" t="s">
        <v>21</v>
      </c>
      <c r="R6" s="31" t="s">
        <v>21</v>
      </c>
      <c r="S6" s="31" t="s">
        <v>21</v>
      </c>
      <c r="T6" s="31" t="s">
        <v>22</v>
      </c>
      <c r="U6" s="31" t="s">
        <v>22</v>
      </c>
      <c r="V6" s="31" t="s">
        <v>22</v>
      </c>
      <c r="W6" s="115"/>
      <c r="X6" s="3"/>
    </row>
    <row r="7" spans="1:24" ht="15.75" customHeight="1" x14ac:dyDescent="0.25">
      <c r="A7" s="5">
        <v>1</v>
      </c>
      <c r="B7" s="21" t="s">
        <v>27</v>
      </c>
      <c r="C7" s="13">
        <v>45738</v>
      </c>
      <c r="D7" s="20">
        <v>45820</v>
      </c>
      <c r="E7" s="21">
        <v>3</v>
      </c>
      <c r="F7" s="21">
        <v>0</v>
      </c>
      <c r="G7" s="21">
        <v>170</v>
      </c>
      <c r="H7" s="21">
        <v>156</v>
      </c>
      <c r="I7" s="21"/>
      <c r="J7" s="21">
        <v>154</v>
      </c>
      <c r="K7" s="21"/>
      <c r="L7" s="21"/>
      <c r="M7" s="21">
        <f>AVERAGE(G7:L7)</f>
        <v>160</v>
      </c>
      <c r="N7" s="20">
        <v>45848</v>
      </c>
      <c r="O7" s="21">
        <v>3</v>
      </c>
      <c r="P7" s="21">
        <v>0</v>
      </c>
      <c r="Q7" s="21">
        <v>410</v>
      </c>
      <c r="R7" s="21">
        <v>384</v>
      </c>
      <c r="S7" s="21"/>
      <c r="T7" s="21">
        <v>360</v>
      </c>
      <c r="U7" s="21"/>
      <c r="V7" s="21"/>
      <c r="W7" s="40">
        <f>AVERAGE(Q7:V7)</f>
        <v>384.66666666666669</v>
      </c>
    </row>
    <row r="8" spans="1:24" ht="16.5" customHeight="1" x14ac:dyDescent="0.25">
      <c r="A8" s="6">
        <v>2</v>
      </c>
      <c r="B8" s="21" t="s">
        <v>29</v>
      </c>
      <c r="C8" s="13">
        <v>45851</v>
      </c>
      <c r="D8" s="20">
        <v>45923</v>
      </c>
      <c r="E8" s="21">
        <v>3</v>
      </c>
      <c r="F8" s="21">
        <v>0</v>
      </c>
      <c r="G8" s="21">
        <v>114</v>
      </c>
      <c r="H8" s="21">
        <v>140</v>
      </c>
      <c r="I8" s="21">
        <v>117</v>
      </c>
      <c r="J8" s="21"/>
      <c r="K8" s="21"/>
      <c r="L8" s="21"/>
      <c r="M8" s="41">
        <f>AVERAGE(G8:L8)</f>
        <v>123.66666666666667</v>
      </c>
      <c r="N8" s="20">
        <v>45944</v>
      </c>
      <c r="O8" s="21">
        <v>3</v>
      </c>
      <c r="P8" s="21">
        <v>0</v>
      </c>
      <c r="Q8" s="21">
        <v>237</v>
      </c>
      <c r="R8" s="21">
        <v>299</v>
      </c>
      <c r="S8" s="21">
        <v>269</v>
      </c>
      <c r="T8" s="21"/>
      <c r="U8" s="21"/>
      <c r="V8" s="21"/>
      <c r="W8" s="40">
        <f>AVERAGE(Q8:V8)</f>
        <v>268.33333333333331</v>
      </c>
    </row>
    <row r="9" spans="1:24" ht="14.25" customHeight="1" x14ac:dyDescent="0.25">
      <c r="A9" s="6">
        <v>3</v>
      </c>
      <c r="B9" s="21"/>
      <c r="C9" s="8"/>
      <c r="D9" s="21"/>
      <c r="E9" s="21"/>
      <c r="F9" s="21"/>
      <c r="G9" s="21"/>
      <c r="H9" s="21"/>
      <c r="I9" s="21"/>
      <c r="J9" s="21"/>
      <c r="K9" s="21"/>
      <c r="L9" s="21"/>
      <c r="M9" s="41"/>
      <c r="N9" s="21"/>
      <c r="O9" s="21"/>
      <c r="P9" s="21"/>
      <c r="Q9" s="21"/>
      <c r="R9" s="21"/>
      <c r="S9" s="21"/>
      <c r="T9" s="21"/>
      <c r="U9" s="21"/>
      <c r="V9" s="21"/>
      <c r="W9" s="40"/>
    </row>
    <row r="10" spans="1:24" ht="16.5" customHeight="1" x14ac:dyDescent="0.25">
      <c r="A10" s="5">
        <v>4</v>
      </c>
      <c r="B10" s="21"/>
      <c r="C10" s="8"/>
      <c r="D10" s="21"/>
      <c r="E10" s="21"/>
      <c r="F10" s="21"/>
      <c r="G10" s="21"/>
      <c r="H10" s="21"/>
      <c r="I10" s="21"/>
      <c r="J10" s="21"/>
      <c r="K10" s="21"/>
      <c r="L10" s="21"/>
      <c r="M10" s="41"/>
      <c r="N10" s="21"/>
      <c r="O10" s="21"/>
      <c r="P10" s="21"/>
      <c r="Q10" s="21"/>
      <c r="R10" s="21"/>
      <c r="S10" s="21"/>
      <c r="T10" s="21"/>
      <c r="U10" s="21"/>
      <c r="V10" s="21"/>
      <c r="W10" s="40"/>
    </row>
    <row r="11" spans="1:24" ht="15.75" customHeight="1" x14ac:dyDescent="0.25">
      <c r="A11" s="5">
        <v>5</v>
      </c>
      <c r="B11" s="21"/>
      <c r="C11" s="8"/>
      <c r="D11" s="21"/>
      <c r="E11" s="21"/>
      <c r="F11" s="21"/>
      <c r="G11" s="21"/>
      <c r="H11" s="21"/>
      <c r="I11" s="21"/>
      <c r="J11" s="21"/>
      <c r="K11" s="21"/>
      <c r="L11" s="21"/>
      <c r="M11" s="41"/>
      <c r="N11" s="21"/>
      <c r="O11" s="21"/>
      <c r="P11" s="21"/>
      <c r="Q11" s="21"/>
      <c r="R11" s="21"/>
      <c r="S11" s="21"/>
      <c r="T11" s="21"/>
      <c r="U11" s="21"/>
      <c r="V11" s="21"/>
      <c r="W11" s="40"/>
    </row>
    <row r="12" spans="1:24" ht="15.75" customHeight="1" thickBot="1" x14ac:dyDescent="0.3">
      <c r="A12" s="7">
        <v>6</v>
      </c>
      <c r="B12" s="37"/>
      <c r="C12" s="10"/>
      <c r="D12" s="37"/>
      <c r="E12" s="37"/>
      <c r="F12" s="37"/>
      <c r="G12" s="37"/>
      <c r="H12" s="37"/>
      <c r="I12" s="37"/>
      <c r="J12" s="37"/>
      <c r="K12" s="37"/>
      <c r="L12" s="37"/>
      <c r="M12" s="42"/>
      <c r="N12" s="37"/>
      <c r="O12" s="37"/>
      <c r="P12" s="37"/>
      <c r="Q12" s="37"/>
      <c r="R12" s="37"/>
      <c r="S12" s="37"/>
      <c r="T12" s="37"/>
      <c r="U12" s="37"/>
      <c r="V12" s="37"/>
      <c r="W12" s="43"/>
    </row>
    <row r="13" spans="1:24" ht="20.100000000000001" customHeight="1" x14ac:dyDescent="0.25"/>
    <row r="14" spans="1:24" ht="20.100000000000001" customHeight="1" thickBot="1" x14ac:dyDescent="0.3"/>
    <row r="15" spans="1:24" ht="20.100000000000001" customHeight="1" x14ac:dyDescent="0.25">
      <c r="A15" s="100" t="s">
        <v>2</v>
      </c>
      <c r="B15" s="101"/>
      <c r="C15" s="111" t="s">
        <v>49</v>
      </c>
      <c r="D15" s="112"/>
      <c r="E15" s="111" t="s">
        <v>381</v>
      </c>
      <c r="F15" s="112"/>
      <c r="G15" s="101" t="s">
        <v>4</v>
      </c>
      <c r="H15" s="101"/>
      <c r="I15" s="102" t="s">
        <v>5</v>
      </c>
      <c r="J15" s="102"/>
      <c r="K15" s="102"/>
      <c r="L15" s="102"/>
      <c r="M15" s="102"/>
      <c r="N15" s="102"/>
      <c r="O15" s="101" t="s">
        <v>6</v>
      </c>
      <c r="P15" s="101"/>
      <c r="Q15" s="103"/>
      <c r="R15" s="104"/>
      <c r="S15" s="104"/>
      <c r="T15" s="104"/>
      <c r="U15" s="104"/>
      <c r="V15" s="104"/>
      <c r="W15" s="105"/>
      <c r="X15" s="1"/>
    </row>
    <row r="16" spans="1:24" ht="20.100000000000001" customHeight="1" x14ac:dyDescent="0.25">
      <c r="A16" s="106" t="s">
        <v>7</v>
      </c>
      <c r="B16" s="107"/>
      <c r="C16" s="116" t="s">
        <v>44</v>
      </c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09"/>
      <c r="P16" s="109"/>
      <c r="Q16" s="107"/>
      <c r="R16" s="107"/>
      <c r="S16" s="107"/>
      <c r="T16" s="107"/>
      <c r="U16" s="107"/>
      <c r="V16" s="107"/>
      <c r="W16" s="110"/>
      <c r="X16" s="1"/>
    </row>
    <row r="17" spans="1:24" ht="24.95" customHeight="1" x14ac:dyDescent="0.25">
      <c r="A17" s="113" t="s">
        <v>8</v>
      </c>
      <c r="B17" s="114" t="s">
        <v>9</v>
      </c>
      <c r="C17" s="114" t="s">
        <v>10</v>
      </c>
      <c r="D17" s="114" t="s">
        <v>11</v>
      </c>
      <c r="E17" s="114" t="s">
        <v>12</v>
      </c>
      <c r="F17" s="114" t="s">
        <v>13</v>
      </c>
      <c r="G17" s="114" t="s">
        <v>14</v>
      </c>
      <c r="H17" s="114"/>
      <c r="I17" s="114"/>
      <c r="J17" s="114"/>
      <c r="K17" s="114"/>
      <c r="L17" s="114"/>
      <c r="M17" s="114" t="s">
        <v>15</v>
      </c>
      <c r="N17" s="114" t="s">
        <v>16</v>
      </c>
      <c r="O17" s="114" t="s">
        <v>17</v>
      </c>
      <c r="P17" s="114" t="s">
        <v>18</v>
      </c>
      <c r="Q17" s="114" t="s">
        <v>19</v>
      </c>
      <c r="R17" s="114"/>
      <c r="S17" s="114"/>
      <c r="T17" s="114"/>
      <c r="U17" s="114"/>
      <c r="V17" s="114"/>
      <c r="W17" s="115" t="s">
        <v>20</v>
      </c>
      <c r="X17" s="3"/>
    </row>
    <row r="18" spans="1:24" ht="24.95" customHeight="1" x14ac:dyDescent="0.25">
      <c r="A18" s="113"/>
      <c r="B18" s="114"/>
      <c r="C18" s="114"/>
      <c r="D18" s="114"/>
      <c r="E18" s="114"/>
      <c r="F18" s="114"/>
      <c r="G18" s="31" t="s">
        <v>21</v>
      </c>
      <c r="H18" s="31" t="s">
        <v>21</v>
      </c>
      <c r="I18" s="31" t="s">
        <v>21</v>
      </c>
      <c r="J18" s="31" t="s">
        <v>22</v>
      </c>
      <c r="K18" s="31" t="s">
        <v>22</v>
      </c>
      <c r="L18" s="31" t="s">
        <v>22</v>
      </c>
      <c r="M18" s="114"/>
      <c r="N18" s="114"/>
      <c r="O18" s="114"/>
      <c r="P18" s="114"/>
      <c r="Q18" s="31" t="s">
        <v>21</v>
      </c>
      <c r="R18" s="31" t="s">
        <v>21</v>
      </c>
      <c r="S18" s="31" t="s">
        <v>21</v>
      </c>
      <c r="T18" s="31" t="s">
        <v>22</v>
      </c>
      <c r="U18" s="31" t="s">
        <v>22</v>
      </c>
      <c r="V18" s="31" t="s">
        <v>22</v>
      </c>
      <c r="W18" s="115"/>
      <c r="X18" s="3"/>
    </row>
    <row r="19" spans="1:24" ht="16.5" customHeight="1" x14ac:dyDescent="0.25">
      <c r="A19" s="5">
        <v>1</v>
      </c>
      <c r="B19" s="21" t="s">
        <v>29</v>
      </c>
      <c r="C19" s="13">
        <v>45738</v>
      </c>
      <c r="D19" s="20">
        <v>45813</v>
      </c>
      <c r="E19" s="21">
        <v>2</v>
      </c>
      <c r="F19" s="21">
        <v>0</v>
      </c>
      <c r="G19" s="21">
        <v>125</v>
      </c>
      <c r="H19" s="21"/>
      <c r="I19" s="21"/>
      <c r="J19" s="21">
        <v>100</v>
      </c>
      <c r="K19" s="21"/>
      <c r="L19" s="21"/>
      <c r="M19" s="21">
        <f>AVERAGE(G19,J19)</f>
        <v>112.5</v>
      </c>
      <c r="N19" s="20">
        <v>45833</v>
      </c>
      <c r="O19" s="21">
        <v>2</v>
      </c>
      <c r="P19" s="21">
        <v>0</v>
      </c>
      <c r="Q19" s="21">
        <v>266</v>
      </c>
      <c r="R19" s="21"/>
      <c r="S19" s="21"/>
      <c r="T19" s="21">
        <v>202</v>
      </c>
      <c r="U19" s="21"/>
      <c r="V19" s="21"/>
      <c r="W19" s="22">
        <f>AVERAGE(Q19,T19)</f>
        <v>234</v>
      </c>
    </row>
    <row r="20" spans="1:24" ht="15.75" customHeight="1" x14ac:dyDescent="0.25">
      <c r="A20" s="6">
        <v>2</v>
      </c>
      <c r="B20" s="21" t="s">
        <v>29</v>
      </c>
      <c r="C20" s="13">
        <v>45884</v>
      </c>
      <c r="D20" s="20">
        <v>45962</v>
      </c>
      <c r="E20" s="21">
        <v>3</v>
      </c>
      <c r="F20" s="21"/>
      <c r="G20" s="21">
        <v>155</v>
      </c>
      <c r="H20" s="21"/>
      <c r="I20" s="21"/>
      <c r="J20" s="21">
        <v>148</v>
      </c>
      <c r="K20" s="21">
        <v>134</v>
      </c>
      <c r="L20" s="21"/>
      <c r="M20" s="41">
        <f>AVERAGE(G20:L20)</f>
        <v>145.66666666666666</v>
      </c>
      <c r="N20" s="20">
        <v>45986</v>
      </c>
      <c r="O20" s="21">
        <v>3</v>
      </c>
      <c r="P20" s="21"/>
      <c r="Q20" s="21">
        <v>223</v>
      </c>
      <c r="R20" s="21"/>
      <c r="S20" s="21"/>
      <c r="T20" s="21">
        <v>205</v>
      </c>
      <c r="U20" s="21">
        <v>223</v>
      </c>
      <c r="V20" s="21"/>
      <c r="W20" s="22">
        <f>AVERAGE(Q20:V20)</f>
        <v>217</v>
      </c>
    </row>
    <row r="21" spans="1:24" ht="17.25" customHeight="1" x14ac:dyDescent="0.25">
      <c r="A21" s="6">
        <v>3</v>
      </c>
      <c r="B21" s="21"/>
      <c r="C21" s="8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4" ht="18" customHeight="1" x14ac:dyDescent="0.25">
      <c r="A22" s="5">
        <v>4</v>
      </c>
      <c r="B22" s="21"/>
      <c r="C22" s="8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4" ht="15" customHeight="1" x14ac:dyDescent="0.25">
      <c r="A23" s="5">
        <v>5</v>
      </c>
      <c r="B23" s="21"/>
      <c r="C23" s="8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4" ht="16.5" customHeight="1" thickBot="1" x14ac:dyDescent="0.3">
      <c r="A24" s="7">
        <v>6</v>
      </c>
      <c r="B24" s="37"/>
      <c r="C24" s="10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9"/>
    </row>
    <row r="25" spans="1:24" ht="20.100000000000001" customHeight="1" x14ac:dyDescent="0.25"/>
    <row r="26" spans="1:24" ht="20.100000000000001" customHeight="1" thickBot="1" x14ac:dyDescent="0.3"/>
    <row r="27" spans="1:24" ht="20.100000000000001" customHeight="1" x14ac:dyDescent="0.25">
      <c r="A27" s="100" t="s">
        <v>2</v>
      </c>
      <c r="B27" s="101"/>
      <c r="C27" s="111" t="s">
        <v>50</v>
      </c>
      <c r="D27" s="112"/>
      <c r="E27" s="111" t="s">
        <v>381</v>
      </c>
      <c r="F27" s="112"/>
      <c r="G27" s="101" t="s">
        <v>4</v>
      </c>
      <c r="H27" s="101"/>
      <c r="I27" s="102" t="s">
        <v>5</v>
      </c>
      <c r="J27" s="102"/>
      <c r="K27" s="102"/>
      <c r="L27" s="102"/>
      <c r="M27" s="102"/>
      <c r="N27" s="102"/>
      <c r="O27" s="101" t="s">
        <v>6</v>
      </c>
      <c r="P27" s="101"/>
      <c r="Q27" s="103"/>
      <c r="R27" s="104"/>
      <c r="S27" s="104"/>
      <c r="T27" s="104"/>
      <c r="U27" s="104"/>
      <c r="V27" s="104"/>
      <c r="W27" s="105"/>
      <c r="X27" s="1"/>
    </row>
    <row r="28" spans="1:24" ht="20.100000000000001" customHeight="1" x14ac:dyDescent="0.25">
      <c r="A28" s="106" t="s">
        <v>7</v>
      </c>
      <c r="B28" s="107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7"/>
      <c r="R28" s="107"/>
      <c r="S28" s="107"/>
      <c r="T28" s="107"/>
      <c r="U28" s="107"/>
      <c r="V28" s="107"/>
      <c r="W28" s="110"/>
      <c r="X28" s="1"/>
    </row>
    <row r="29" spans="1:24" ht="24.95" customHeight="1" x14ac:dyDescent="0.25">
      <c r="A29" s="113" t="s">
        <v>8</v>
      </c>
      <c r="B29" s="114" t="s">
        <v>9</v>
      </c>
      <c r="C29" s="114" t="s">
        <v>10</v>
      </c>
      <c r="D29" s="114" t="s">
        <v>11</v>
      </c>
      <c r="E29" s="114" t="s">
        <v>12</v>
      </c>
      <c r="F29" s="114" t="s">
        <v>13</v>
      </c>
      <c r="G29" s="114" t="s">
        <v>14</v>
      </c>
      <c r="H29" s="114"/>
      <c r="I29" s="114"/>
      <c r="J29" s="114"/>
      <c r="K29" s="114"/>
      <c r="L29" s="114"/>
      <c r="M29" s="114" t="s">
        <v>15</v>
      </c>
      <c r="N29" s="114" t="s">
        <v>16</v>
      </c>
      <c r="O29" s="114" t="s">
        <v>17</v>
      </c>
      <c r="P29" s="114" t="s">
        <v>18</v>
      </c>
      <c r="Q29" s="114" t="s">
        <v>19</v>
      </c>
      <c r="R29" s="114"/>
      <c r="S29" s="114"/>
      <c r="T29" s="114"/>
      <c r="U29" s="114"/>
      <c r="V29" s="114"/>
      <c r="W29" s="115" t="s">
        <v>20</v>
      </c>
      <c r="X29" s="3"/>
    </row>
    <row r="30" spans="1:24" ht="24.95" customHeight="1" x14ac:dyDescent="0.25">
      <c r="A30" s="113"/>
      <c r="B30" s="114"/>
      <c r="C30" s="114"/>
      <c r="D30" s="114"/>
      <c r="E30" s="114"/>
      <c r="F30" s="114"/>
      <c r="G30" s="31" t="s">
        <v>21</v>
      </c>
      <c r="H30" s="31" t="s">
        <v>21</v>
      </c>
      <c r="I30" s="31" t="s">
        <v>21</v>
      </c>
      <c r="J30" s="31" t="s">
        <v>22</v>
      </c>
      <c r="K30" s="31" t="s">
        <v>22</v>
      </c>
      <c r="L30" s="31" t="s">
        <v>22</v>
      </c>
      <c r="M30" s="114"/>
      <c r="N30" s="114"/>
      <c r="O30" s="114"/>
      <c r="P30" s="114"/>
      <c r="Q30" s="31" t="s">
        <v>21</v>
      </c>
      <c r="R30" s="31" t="s">
        <v>21</v>
      </c>
      <c r="S30" s="31" t="s">
        <v>21</v>
      </c>
      <c r="T30" s="31" t="s">
        <v>22</v>
      </c>
      <c r="U30" s="31" t="s">
        <v>22</v>
      </c>
      <c r="V30" s="31" t="s">
        <v>22</v>
      </c>
      <c r="W30" s="115"/>
      <c r="X30" s="3"/>
    </row>
    <row r="31" spans="1:24" ht="16.5" customHeight="1" x14ac:dyDescent="0.25">
      <c r="A31" s="5">
        <v>1</v>
      </c>
      <c r="B31" s="21" t="s">
        <v>29</v>
      </c>
      <c r="C31" s="13">
        <v>45770</v>
      </c>
      <c r="D31" s="20">
        <v>45853</v>
      </c>
      <c r="E31" s="21">
        <v>2</v>
      </c>
      <c r="F31" s="21">
        <v>0</v>
      </c>
      <c r="G31" s="21">
        <v>186</v>
      </c>
      <c r="H31" s="21">
        <v>195</v>
      </c>
      <c r="I31" s="21"/>
      <c r="J31" s="21"/>
      <c r="K31" s="21"/>
      <c r="L31" s="21"/>
      <c r="M31" s="21">
        <f>AVERAGE(G31:L31)</f>
        <v>190.5</v>
      </c>
      <c r="N31" s="20">
        <v>45869</v>
      </c>
      <c r="O31" s="21">
        <v>2</v>
      </c>
      <c r="P31" s="21">
        <v>0</v>
      </c>
      <c r="Q31" s="21">
        <v>275</v>
      </c>
      <c r="R31" s="21">
        <v>325</v>
      </c>
      <c r="S31" s="21"/>
      <c r="T31" s="21"/>
      <c r="U31" s="21"/>
      <c r="V31" s="21"/>
      <c r="W31" s="22">
        <f>AVERAGE(Q31:V31)</f>
        <v>300</v>
      </c>
    </row>
    <row r="32" spans="1:24" ht="16.5" customHeight="1" x14ac:dyDescent="0.25">
      <c r="A32" s="6">
        <v>2</v>
      </c>
      <c r="B32" s="21" t="s">
        <v>29</v>
      </c>
      <c r="C32" s="13">
        <v>45884</v>
      </c>
      <c r="D32" s="21" t="s">
        <v>28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2"/>
    </row>
    <row r="33" spans="1:24" ht="15" customHeight="1" x14ac:dyDescent="0.25">
      <c r="A33" s="6">
        <v>3</v>
      </c>
      <c r="B33" s="21" t="s">
        <v>232</v>
      </c>
      <c r="C33" s="13">
        <v>46039</v>
      </c>
      <c r="D33" s="20">
        <v>46123</v>
      </c>
      <c r="E33" s="21">
        <v>3</v>
      </c>
      <c r="F33" s="21">
        <v>0</v>
      </c>
      <c r="G33" s="21"/>
      <c r="H33" s="21"/>
      <c r="I33" s="21"/>
      <c r="J33" s="21">
        <v>118</v>
      </c>
      <c r="K33" s="21">
        <v>125</v>
      </c>
      <c r="L33" s="21">
        <v>130</v>
      </c>
      <c r="M33" s="41">
        <f>AVERAGE(G33:L33)</f>
        <v>124.33333333333333</v>
      </c>
      <c r="N33" s="20">
        <v>46139</v>
      </c>
      <c r="O33" s="21">
        <v>3</v>
      </c>
      <c r="P33" s="21">
        <v>0</v>
      </c>
      <c r="Q33" s="21"/>
      <c r="R33" s="21"/>
      <c r="S33" s="21"/>
      <c r="T33" s="21">
        <v>217</v>
      </c>
      <c r="U33" s="21">
        <v>200</v>
      </c>
      <c r="V33" s="21">
        <v>232</v>
      </c>
      <c r="W33" s="40">
        <f>AVERAGE(Q33:V33)</f>
        <v>216.33333333333334</v>
      </c>
    </row>
    <row r="34" spans="1:24" ht="15.75" customHeight="1" x14ac:dyDescent="0.25">
      <c r="A34" s="5">
        <v>4</v>
      </c>
      <c r="B34" s="21" t="s">
        <v>232</v>
      </c>
      <c r="C34" s="13">
        <v>46148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2"/>
    </row>
    <row r="35" spans="1:24" ht="13.5" customHeight="1" x14ac:dyDescent="0.25">
      <c r="A35" s="5">
        <v>5</v>
      </c>
      <c r="B35" s="21"/>
      <c r="C35" s="8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</row>
    <row r="36" spans="1:24" ht="15.75" customHeight="1" thickBot="1" x14ac:dyDescent="0.3">
      <c r="A36" s="7">
        <v>6</v>
      </c>
      <c r="B36" s="37"/>
      <c r="C36" s="10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9"/>
    </row>
    <row r="37" spans="1:24" ht="20.100000000000001" customHeight="1" x14ac:dyDescent="0.25"/>
    <row r="38" spans="1:24" ht="20.100000000000001" customHeight="1" thickBot="1" x14ac:dyDescent="0.3"/>
    <row r="39" spans="1:24" ht="20.100000000000001" customHeight="1" x14ac:dyDescent="0.25">
      <c r="A39" s="100" t="s">
        <v>2</v>
      </c>
      <c r="B39" s="101"/>
      <c r="C39" s="111" t="s">
        <v>51</v>
      </c>
      <c r="D39" s="112"/>
      <c r="E39" s="111" t="s">
        <v>381</v>
      </c>
      <c r="F39" s="112"/>
      <c r="G39" s="101" t="s">
        <v>4</v>
      </c>
      <c r="H39" s="101"/>
      <c r="I39" s="102" t="s">
        <v>5</v>
      </c>
      <c r="J39" s="102"/>
      <c r="K39" s="102"/>
      <c r="L39" s="102"/>
      <c r="M39" s="102"/>
      <c r="N39" s="102"/>
      <c r="O39" s="101" t="s">
        <v>6</v>
      </c>
      <c r="P39" s="101"/>
      <c r="Q39" s="103"/>
      <c r="R39" s="104"/>
      <c r="S39" s="104"/>
      <c r="T39" s="104"/>
      <c r="U39" s="104"/>
      <c r="V39" s="104"/>
      <c r="W39" s="105"/>
      <c r="X39" s="1"/>
    </row>
    <row r="40" spans="1:24" ht="20.100000000000001" customHeight="1" x14ac:dyDescent="0.25">
      <c r="A40" s="106" t="s">
        <v>7</v>
      </c>
      <c r="B40" s="107"/>
      <c r="C40" s="116" t="s">
        <v>44</v>
      </c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09"/>
      <c r="P40" s="109"/>
      <c r="Q40" s="107"/>
      <c r="R40" s="107"/>
      <c r="S40" s="107"/>
      <c r="T40" s="107"/>
      <c r="U40" s="107"/>
      <c r="V40" s="107"/>
      <c r="W40" s="110"/>
      <c r="X40" s="1"/>
    </row>
    <row r="41" spans="1:24" ht="24.95" customHeight="1" x14ac:dyDescent="0.25">
      <c r="A41" s="113" t="s">
        <v>8</v>
      </c>
      <c r="B41" s="114" t="s">
        <v>9</v>
      </c>
      <c r="C41" s="114" t="s">
        <v>10</v>
      </c>
      <c r="D41" s="114" t="s">
        <v>11</v>
      </c>
      <c r="E41" s="114" t="s">
        <v>12</v>
      </c>
      <c r="F41" s="114" t="s">
        <v>13</v>
      </c>
      <c r="G41" s="114" t="s">
        <v>14</v>
      </c>
      <c r="H41" s="114"/>
      <c r="I41" s="114"/>
      <c r="J41" s="114"/>
      <c r="K41" s="114"/>
      <c r="L41" s="114"/>
      <c r="M41" s="114" t="s">
        <v>15</v>
      </c>
      <c r="N41" s="114" t="s">
        <v>16</v>
      </c>
      <c r="O41" s="114" t="s">
        <v>17</v>
      </c>
      <c r="P41" s="114" t="s">
        <v>18</v>
      </c>
      <c r="Q41" s="114" t="s">
        <v>19</v>
      </c>
      <c r="R41" s="114"/>
      <c r="S41" s="114"/>
      <c r="T41" s="114"/>
      <c r="U41" s="114"/>
      <c r="V41" s="114"/>
      <c r="W41" s="115" t="s">
        <v>20</v>
      </c>
      <c r="X41" s="3"/>
    </row>
    <row r="42" spans="1:24" ht="24.95" customHeight="1" x14ac:dyDescent="0.25">
      <c r="A42" s="113"/>
      <c r="B42" s="114"/>
      <c r="C42" s="114"/>
      <c r="D42" s="114"/>
      <c r="E42" s="114"/>
      <c r="F42" s="114"/>
      <c r="G42" s="31" t="s">
        <v>21</v>
      </c>
      <c r="H42" s="31" t="s">
        <v>21</v>
      </c>
      <c r="I42" s="31" t="s">
        <v>21</v>
      </c>
      <c r="J42" s="31" t="s">
        <v>22</v>
      </c>
      <c r="K42" s="31" t="s">
        <v>22</v>
      </c>
      <c r="L42" s="31" t="s">
        <v>22</v>
      </c>
      <c r="M42" s="114"/>
      <c r="N42" s="114"/>
      <c r="O42" s="114"/>
      <c r="P42" s="114"/>
      <c r="Q42" s="31" t="s">
        <v>21</v>
      </c>
      <c r="R42" s="31" t="s">
        <v>21</v>
      </c>
      <c r="S42" s="31" t="s">
        <v>21</v>
      </c>
      <c r="T42" s="31" t="s">
        <v>22</v>
      </c>
      <c r="U42" s="31" t="s">
        <v>22</v>
      </c>
      <c r="V42" s="31" t="s">
        <v>22</v>
      </c>
      <c r="W42" s="115"/>
      <c r="X42" s="3"/>
    </row>
    <row r="43" spans="1:24" ht="16.5" customHeight="1" x14ac:dyDescent="0.25">
      <c r="A43" s="5">
        <v>1</v>
      </c>
      <c r="B43" s="21" t="s">
        <v>29</v>
      </c>
      <c r="C43" s="13">
        <v>45770</v>
      </c>
      <c r="D43" s="20">
        <v>45844</v>
      </c>
      <c r="E43" s="21">
        <v>3</v>
      </c>
      <c r="F43" s="21">
        <v>0</v>
      </c>
      <c r="G43" s="21">
        <v>147</v>
      </c>
      <c r="H43" s="21">
        <v>131</v>
      </c>
      <c r="I43" s="21"/>
      <c r="J43" s="21">
        <v>113</v>
      </c>
      <c r="K43" s="21"/>
      <c r="L43" s="21"/>
      <c r="M43" s="41">
        <f>AVERAGE(G43:L43)</f>
        <v>130.33333333333334</v>
      </c>
      <c r="N43" s="20">
        <v>45869</v>
      </c>
      <c r="O43" s="21">
        <v>3</v>
      </c>
      <c r="P43" s="21">
        <v>0</v>
      </c>
      <c r="Q43" s="21">
        <v>329</v>
      </c>
      <c r="R43" s="21">
        <v>281</v>
      </c>
      <c r="S43" s="21"/>
      <c r="T43" s="21">
        <v>305</v>
      </c>
      <c r="U43" s="21"/>
      <c r="V43" s="21"/>
      <c r="W43" s="22">
        <f>AVERAGE(Q43:V43)</f>
        <v>305</v>
      </c>
    </row>
    <row r="44" spans="1:24" ht="15.75" customHeight="1" x14ac:dyDescent="0.25">
      <c r="A44" s="6">
        <v>2</v>
      </c>
      <c r="B44" s="21" t="s">
        <v>29</v>
      </c>
      <c r="C44" s="13">
        <v>45884</v>
      </c>
      <c r="D44" s="20">
        <v>45956</v>
      </c>
      <c r="E44" s="21">
        <v>4</v>
      </c>
      <c r="F44" s="21">
        <v>0</v>
      </c>
      <c r="G44" s="21">
        <v>79</v>
      </c>
      <c r="H44" s="21">
        <v>109</v>
      </c>
      <c r="I44" s="21">
        <v>78</v>
      </c>
      <c r="J44" s="21">
        <v>80</v>
      </c>
      <c r="K44" s="21"/>
      <c r="L44" s="21"/>
      <c r="M44" s="21">
        <f>AVERAGE(G44:L44)</f>
        <v>86.5</v>
      </c>
      <c r="N44" s="20">
        <v>45973</v>
      </c>
      <c r="O44" s="21">
        <v>0</v>
      </c>
      <c r="P44" s="21"/>
      <c r="Q44" s="21"/>
      <c r="R44" s="21"/>
      <c r="S44" s="21"/>
      <c r="T44" s="21"/>
      <c r="U44" s="21"/>
      <c r="V44" s="21"/>
      <c r="W44" s="22"/>
    </row>
    <row r="45" spans="1:24" ht="15.75" customHeight="1" x14ac:dyDescent="0.25">
      <c r="A45" s="6">
        <v>3</v>
      </c>
      <c r="B45" s="21" t="s">
        <v>232</v>
      </c>
      <c r="C45" s="13">
        <v>46039</v>
      </c>
      <c r="D45" s="20">
        <v>46115</v>
      </c>
      <c r="E45" s="21">
        <v>4</v>
      </c>
      <c r="F45" s="21">
        <v>0</v>
      </c>
      <c r="G45" s="21">
        <v>120</v>
      </c>
      <c r="H45" s="21">
        <v>128</v>
      </c>
      <c r="I45" s="21"/>
      <c r="J45" s="21">
        <v>158</v>
      </c>
      <c r="K45" s="21">
        <v>99</v>
      </c>
      <c r="L45" s="21"/>
      <c r="M45" s="21">
        <f>AVERAGE(G45:L45)</f>
        <v>126.25</v>
      </c>
      <c r="N45" s="20">
        <v>46139</v>
      </c>
      <c r="O45" s="21">
        <v>4</v>
      </c>
      <c r="P45" s="21">
        <v>0</v>
      </c>
      <c r="Q45" s="21">
        <v>155</v>
      </c>
      <c r="R45" s="21">
        <v>192</v>
      </c>
      <c r="S45" s="21"/>
      <c r="T45" s="21">
        <v>177</v>
      </c>
      <c r="U45" s="21">
        <v>151</v>
      </c>
      <c r="V45" s="21"/>
      <c r="W45" s="22">
        <f>AVERAGE(Q45:V45)</f>
        <v>168.75</v>
      </c>
    </row>
    <row r="46" spans="1:24" ht="18" customHeight="1" x14ac:dyDescent="0.25">
      <c r="A46" s="5">
        <v>4</v>
      </c>
      <c r="B46" s="21" t="s">
        <v>232</v>
      </c>
      <c r="C46" s="13">
        <v>46148</v>
      </c>
      <c r="D46" s="21"/>
      <c r="E46" s="21"/>
      <c r="F46" s="21"/>
      <c r="G46" s="21"/>
      <c r="H46" s="21"/>
      <c r="I46" s="21" t="s">
        <v>356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2"/>
    </row>
    <row r="47" spans="1:24" ht="14.25" customHeight="1" x14ac:dyDescent="0.25">
      <c r="A47" s="5">
        <v>5</v>
      </c>
      <c r="B47" s="21"/>
      <c r="C47" s="8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</row>
    <row r="48" spans="1:24" ht="14.25" customHeight="1" thickBot="1" x14ac:dyDescent="0.3">
      <c r="A48" s="7">
        <v>6</v>
      </c>
      <c r="B48" s="37"/>
      <c r="C48" s="10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9"/>
    </row>
    <row r="49" spans="1:24" ht="20.100000000000001" customHeight="1" x14ac:dyDescent="0.25"/>
    <row r="50" spans="1:24" ht="20.100000000000001" customHeight="1" thickBot="1" x14ac:dyDescent="0.3"/>
    <row r="51" spans="1:24" ht="20.100000000000001" customHeight="1" x14ac:dyDescent="0.25">
      <c r="A51" s="100" t="s">
        <v>2</v>
      </c>
      <c r="B51" s="101"/>
      <c r="C51" s="178" t="s">
        <v>52</v>
      </c>
      <c r="D51" s="179"/>
      <c r="E51" s="117" t="s">
        <v>383</v>
      </c>
      <c r="F51" s="118"/>
      <c r="G51" s="101" t="s">
        <v>4</v>
      </c>
      <c r="H51" s="101"/>
      <c r="I51" s="102" t="s">
        <v>5</v>
      </c>
      <c r="J51" s="102"/>
      <c r="K51" s="102"/>
      <c r="L51" s="102"/>
      <c r="M51" s="102"/>
      <c r="N51" s="102"/>
      <c r="O51" s="101" t="s">
        <v>6</v>
      </c>
      <c r="P51" s="101"/>
      <c r="Q51" s="103"/>
      <c r="R51" s="104"/>
      <c r="S51" s="104"/>
      <c r="T51" s="104"/>
      <c r="U51" s="104"/>
      <c r="V51" s="104"/>
      <c r="W51" s="105"/>
      <c r="X51" s="1"/>
    </row>
    <row r="52" spans="1:24" ht="20.100000000000001" customHeight="1" x14ac:dyDescent="0.25">
      <c r="A52" s="106" t="s">
        <v>7</v>
      </c>
      <c r="B52" s="107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7"/>
      <c r="R52" s="107"/>
      <c r="S52" s="107"/>
      <c r="T52" s="107"/>
      <c r="U52" s="107"/>
      <c r="V52" s="107"/>
      <c r="W52" s="110"/>
      <c r="X52" s="1"/>
    </row>
    <row r="53" spans="1:24" ht="24.95" customHeight="1" x14ac:dyDescent="0.25">
      <c r="A53" s="113" t="s">
        <v>8</v>
      </c>
      <c r="B53" s="114" t="s">
        <v>9</v>
      </c>
      <c r="C53" s="114" t="s">
        <v>10</v>
      </c>
      <c r="D53" s="114" t="s">
        <v>11</v>
      </c>
      <c r="E53" s="114" t="s">
        <v>12</v>
      </c>
      <c r="F53" s="114" t="s">
        <v>13</v>
      </c>
      <c r="G53" s="114" t="s">
        <v>14</v>
      </c>
      <c r="H53" s="114"/>
      <c r="I53" s="114"/>
      <c r="J53" s="114"/>
      <c r="K53" s="114"/>
      <c r="L53" s="114"/>
      <c r="M53" s="114" t="s">
        <v>15</v>
      </c>
      <c r="N53" s="114" t="s">
        <v>16</v>
      </c>
      <c r="O53" s="114" t="s">
        <v>17</v>
      </c>
      <c r="P53" s="114" t="s">
        <v>18</v>
      </c>
      <c r="Q53" s="114" t="s">
        <v>19</v>
      </c>
      <c r="R53" s="114"/>
      <c r="S53" s="114"/>
      <c r="T53" s="114"/>
      <c r="U53" s="114"/>
      <c r="V53" s="114"/>
      <c r="W53" s="115" t="s">
        <v>20</v>
      </c>
      <c r="X53" s="3"/>
    </row>
    <row r="54" spans="1:24" ht="24.95" customHeight="1" x14ac:dyDescent="0.25">
      <c r="A54" s="113"/>
      <c r="B54" s="114"/>
      <c r="C54" s="114"/>
      <c r="D54" s="114"/>
      <c r="E54" s="114"/>
      <c r="F54" s="114"/>
      <c r="G54" s="31" t="s">
        <v>21</v>
      </c>
      <c r="H54" s="31" t="s">
        <v>21</v>
      </c>
      <c r="I54" s="31" t="s">
        <v>21</v>
      </c>
      <c r="J54" s="31" t="s">
        <v>22</v>
      </c>
      <c r="K54" s="31" t="s">
        <v>22</v>
      </c>
      <c r="L54" s="31" t="s">
        <v>22</v>
      </c>
      <c r="M54" s="114"/>
      <c r="N54" s="114"/>
      <c r="O54" s="114"/>
      <c r="P54" s="114"/>
      <c r="Q54" s="31" t="s">
        <v>21</v>
      </c>
      <c r="R54" s="31" t="s">
        <v>21</v>
      </c>
      <c r="S54" s="31" t="s">
        <v>21</v>
      </c>
      <c r="T54" s="31" t="s">
        <v>22</v>
      </c>
      <c r="U54" s="31" t="s">
        <v>22</v>
      </c>
      <c r="V54" s="31" t="s">
        <v>22</v>
      </c>
      <c r="W54" s="115"/>
      <c r="X54" s="3"/>
    </row>
    <row r="55" spans="1:24" ht="18" customHeight="1" x14ac:dyDescent="0.25">
      <c r="A55" s="5">
        <v>1</v>
      </c>
      <c r="B55" s="21" t="s">
        <v>29</v>
      </c>
      <c r="C55" s="13">
        <v>45738</v>
      </c>
      <c r="D55" s="20">
        <v>45810</v>
      </c>
      <c r="E55" s="21">
        <v>2</v>
      </c>
      <c r="F55" s="21">
        <v>0</v>
      </c>
      <c r="G55" s="21">
        <v>145</v>
      </c>
      <c r="H55" s="21"/>
      <c r="I55" s="21"/>
      <c r="J55" s="21">
        <v>146</v>
      </c>
      <c r="K55" s="21"/>
      <c r="L55" s="21"/>
      <c r="M55" s="21">
        <f>AVERAGE(G55,J55)</f>
        <v>145.5</v>
      </c>
      <c r="N55" s="20">
        <v>45833</v>
      </c>
      <c r="O55" s="21">
        <v>2</v>
      </c>
      <c r="P55" s="21">
        <v>0</v>
      </c>
      <c r="Q55" s="21">
        <v>235</v>
      </c>
      <c r="R55" s="21"/>
      <c r="S55" s="21"/>
      <c r="T55" s="21">
        <v>266</v>
      </c>
      <c r="U55" s="21"/>
      <c r="V55" s="21"/>
      <c r="W55" s="22">
        <f>AVERAGE(T55,Q55)</f>
        <v>250.5</v>
      </c>
    </row>
    <row r="56" spans="1:24" ht="15" customHeight="1" x14ac:dyDescent="0.25">
      <c r="A56" s="6">
        <v>2</v>
      </c>
      <c r="B56" s="21" t="s">
        <v>27</v>
      </c>
      <c r="C56" s="13">
        <v>45851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2"/>
    </row>
    <row r="57" spans="1:24" ht="16.5" customHeight="1" x14ac:dyDescent="0.25">
      <c r="A57" s="6">
        <v>3</v>
      </c>
      <c r="B57" s="21" t="s">
        <v>24</v>
      </c>
      <c r="C57" s="13">
        <v>45924</v>
      </c>
      <c r="D57" s="20">
        <v>45979</v>
      </c>
      <c r="E57" s="21">
        <v>3</v>
      </c>
      <c r="F57" s="21">
        <v>1</v>
      </c>
      <c r="G57" s="21">
        <v>182</v>
      </c>
      <c r="H57" s="21">
        <v>168</v>
      </c>
      <c r="I57" s="21"/>
      <c r="J57" s="21"/>
      <c r="K57" s="21"/>
      <c r="L57" s="21"/>
      <c r="M57" s="21">
        <f>AVERAGE(G57:L57)</f>
        <v>175</v>
      </c>
      <c r="N57" s="20">
        <v>45663</v>
      </c>
      <c r="O57" s="21">
        <v>1</v>
      </c>
      <c r="P57" s="21">
        <v>1</v>
      </c>
      <c r="Q57" s="21">
        <v>603</v>
      </c>
      <c r="R57" s="21"/>
      <c r="S57" s="21"/>
      <c r="T57" s="21"/>
      <c r="U57" s="21"/>
      <c r="V57" s="21"/>
      <c r="W57" s="22">
        <v>603</v>
      </c>
    </row>
    <row r="58" spans="1:24" ht="15" customHeight="1" x14ac:dyDescent="0.25">
      <c r="A58" s="5">
        <v>4</v>
      </c>
      <c r="B58" s="21" t="s">
        <v>24</v>
      </c>
      <c r="C58" s="13">
        <v>46039</v>
      </c>
      <c r="D58" s="20">
        <v>46117</v>
      </c>
      <c r="E58" s="21">
        <v>4</v>
      </c>
      <c r="F58" s="21">
        <v>0</v>
      </c>
      <c r="G58" s="21"/>
      <c r="H58" s="21"/>
      <c r="I58" s="21"/>
      <c r="J58" s="21">
        <v>128</v>
      </c>
      <c r="K58" s="21">
        <v>125</v>
      </c>
      <c r="L58" s="21">
        <v>130</v>
      </c>
      <c r="M58" s="41">
        <f>AVERAGE(G58:L58)</f>
        <v>127.66666666666667</v>
      </c>
      <c r="N58" s="20">
        <v>46139</v>
      </c>
      <c r="O58" s="21">
        <v>3</v>
      </c>
      <c r="P58" s="21">
        <v>0</v>
      </c>
      <c r="Q58" s="21"/>
      <c r="R58" s="21"/>
      <c r="S58" s="21"/>
      <c r="T58" s="21">
        <v>250</v>
      </c>
      <c r="U58" s="21">
        <v>241</v>
      </c>
      <c r="V58" s="21">
        <v>238</v>
      </c>
      <c r="W58" s="22">
        <f>AVERAGE(Q58:V58)</f>
        <v>243</v>
      </c>
    </row>
    <row r="59" spans="1:24" ht="16.5" customHeight="1" x14ac:dyDescent="0.25">
      <c r="A59" s="5">
        <v>5</v>
      </c>
      <c r="B59" s="21" t="s">
        <v>24</v>
      </c>
      <c r="C59" s="13">
        <v>46148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2"/>
    </row>
    <row r="60" spans="1:24" ht="14.25" customHeight="1" thickBot="1" x14ac:dyDescent="0.3">
      <c r="A60" s="7">
        <v>6</v>
      </c>
      <c r="B60" s="37"/>
      <c r="C60" s="10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9"/>
    </row>
    <row r="61" spans="1:24" ht="20.100000000000001" customHeight="1" x14ac:dyDescent="0.25"/>
    <row r="62" spans="1:24" ht="20.100000000000001" customHeight="1" thickBot="1" x14ac:dyDescent="0.3"/>
    <row r="63" spans="1:24" ht="20.100000000000001" customHeight="1" x14ac:dyDescent="0.25">
      <c r="A63" s="100" t="s">
        <v>2</v>
      </c>
      <c r="B63" s="101"/>
      <c r="C63" s="178" t="s">
        <v>53</v>
      </c>
      <c r="D63" s="179"/>
      <c r="E63" s="111" t="s">
        <v>383</v>
      </c>
      <c r="F63" s="112"/>
      <c r="G63" s="101" t="s">
        <v>4</v>
      </c>
      <c r="H63" s="101"/>
      <c r="I63" s="102" t="s">
        <v>5</v>
      </c>
      <c r="J63" s="102"/>
      <c r="K63" s="102"/>
      <c r="L63" s="102"/>
      <c r="M63" s="102"/>
      <c r="N63" s="102"/>
      <c r="O63" s="101" t="s">
        <v>6</v>
      </c>
      <c r="P63" s="101"/>
      <c r="Q63" s="103"/>
      <c r="R63" s="104"/>
      <c r="S63" s="104"/>
      <c r="T63" s="104"/>
      <c r="U63" s="104"/>
      <c r="V63" s="104"/>
      <c r="W63" s="105"/>
      <c r="X63" s="1"/>
    </row>
    <row r="64" spans="1:24" ht="20.100000000000001" customHeight="1" x14ac:dyDescent="0.25">
      <c r="A64" s="106" t="s">
        <v>7</v>
      </c>
      <c r="B64" s="107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7"/>
      <c r="R64" s="107"/>
      <c r="S64" s="107"/>
      <c r="T64" s="107"/>
      <c r="U64" s="107"/>
      <c r="V64" s="107"/>
      <c r="W64" s="110"/>
      <c r="X64" s="1"/>
    </row>
    <row r="65" spans="1:24" ht="24.95" customHeight="1" x14ac:dyDescent="0.25">
      <c r="A65" s="113" t="s">
        <v>8</v>
      </c>
      <c r="B65" s="114" t="s">
        <v>9</v>
      </c>
      <c r="C65" s="114" t="s">
        <v>10</v>
      </c>
      <c r="D65" s="114" t="s">
        <v>11</v>
      </c>
      <c r="E65" s="114" t="s">
        <v>12</v>
      </c>
      <c r="F65" s="114" t="s">
        <v>13</v>
      </c>
      <c r="G65" s="114" t="s">
        <v>14</v>
      </c>
      <c r="H65" s="114"/>
      <c r="I65" s="114"/>
      <c r="J65" s="114"/>
      <c r="K65" s="114"/>
      <c r="L65" s="114"/>
      <c r="M65" s="114" t="s">
        <v>15</v>
      </c>
      <c r="N65" s="114" t="s">
        <v>16</v>
      </c>
      <c r="O65" s="114" t="s">
        <v>17</v>
      </c>
      <c r="P65" s="114" t="s">
        <v>18</v>
      </c>
      <c r="Q65" s="114" t="s">
        <v>19</v>
      </c>
      <c r="R65" s="114"/>
      <c r="S65" s="114"/>
      <c r="T65" s="114"/>
      <c r="U65" s="114"/>
      <c r="V65" s="114"/>
      <c r="W65" s="115" t="s">
        <v>20</v>
      </c>
      <c r="X65" s="3"/>
    </row>
    <row r="66" spans="1:24" ht="24.95" customHeight="1" x14ac:dyDescent="0.25">
      <c r="A66" s="113"/>
      <c r="B66" s="114"/>
      <c r="C66" s="114"/>
      <c r="D66" s="114"/>
      <c r="E66" s="114"/>
      <c r="F66" s="114"/>
      <c r="G66" s="31" t="s">
        <v>21</v>
      </c>
      <c r="H66" s="31" t="s">
        <v>21</v>
      </c>
      <c r="I66" s="31" t="s">
        <v>21</v>
      </c>
      <c r="J66" s="31" t="s">
        <v>22</v>
      </c>
      <c r="K66" s="31" t="s">
        <v>22</v>
      </c>
      <c r="L66" s="31" t="s">
        <v>22</v>
      </c>
      <c r="M66" s="114"/>
      <c r="N66" s="114"/>
      <c r="O66" s="114"/>
      <c r="P66" s="114"/>
      <c r="Q66" s="31" t="s">
        <v>21</v>
      </c>
      <c r="R66" s="31" t="s">
        <v>21</v>
      </c>
      <c r="S66" s="31" t="s">
        <v>21</v>
      </c>
      <c r="T66" s="31" t="s">
        <v>22</v>
      </c>
      <c r="U66" s="31" t="s">
        <v>22</v>
      </c>
      <c r="V66" s="31" t="s">
        <v>22</v>
      </c>
      <c r="W66" s="115"/>
      <c r="X66" s="3"/>
    </row>
    <row r="67" spans="1:24" ht="18" customHeight="1" x14ac:dyDescent="0.25">
      <c r="A67" s="5">
        <v>1</v>
      </c>
      <c r="B67" s="21" t="s">
        <v>29</v>
      </c>
      <c r="C67" s="13">
        <v>45738</v>
      </c>
      <c r="D67" s="20">
        <v>45810</v>
      </c>
      <c r="E67" s="21">
        <v>2</v>
      </c>
      <c r="F67" s="21">
        <v>0</v>
      </c>
      <c r="G67" s="21">
        <v>153</v>
      </c>
      <c r="H67" s="21"/>
      <c r="I67" s="21"/>
      <c r="J67" s="21">
        <v>124</v>
      </c>
      <c r="K67" s="21"/>
      <c r="L67" s="21"/>
      <c r="M67" s="21"/>
      <c r="N67" s="20">
        <v>45833</v>
      </c>
      <c r="O67" s="21">
        <v>2</v>
      </c>
      <c r="P67" s="21">
        <v>0</v>
      </c>
      <c r="Q67" s="21">
        <v>302</v>
      </c>
      <c r="R67" s="21"/>
      <c r="S67" s="21"/>
      <c r="T67" s="21">
        <v>287</v>
      </c>
      <c r="U67" s="21"/>
      <c r="V67" s="21"/>
      <c r="W67" s="22">
        <f>AVERAGE(Q67,T67)</f>
        <v>294.5</v>
      </c>
    </row>
    <row r="68" spans="1:24" ht="19.5" customHeight="1" x14ac:dyDescent="0.25">
      <c r="A68" s="5">
        <v>2</v>
      </c>
      <c r="B68" s="21" t="s">
        <v>27</v>
      </c>
      <c r="C68" s="13">
        <v>45851</v>
      </c>
      <c r="D68" s="21" t="s">
        <v>428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2"/>
    </row>
    <row r="69" spans="1:24" ht="16.5" customHeight="1" x14ac:dyDescent="0.25">
      <c r="A69" s="5">
        <v>3</v>
      </c>
      <c r="B69" s="21" t="s">
        <v>24</v>
      </c>
      <c r="C69" s="13">
        <v>45924</v>
      </c>
      <c r="D69" s="20">
        <v>45973</v>
      </c>
      <c r="E69" s="21">
        <v>2</v>
      </c>
      <c r="F69" s="21">
        <v>2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2"/>
    </row>
    <row r="70" spans="1:24" ht="16.5" customHeight="1" x14ac:dyDescent="0.25">
      <c r="A70" s="5">
        <v>4</v>
      </c>
      <c r="B70" s="21" t="s">
        <v>24</v>
      </c>
      <c r="C70" s="13">
        <v>46039</v>
      </c>
      <c r="D70" s="20">
        <v>46122</v>
      </c>
      <c r="E70" s="21">
        <v>1</v>
      </c>
      <c r="F70" s="21">
        <v>0</v>
      </c>
      <c r="G70" s="21">
        <v>132</v>
      </c>
      <c r="H70" s="21"/>
      <c r="I70" s="21"/>
      <c r="J70" s="21"/>
      <c r="K70" s="21"/>
      <c r="L70" s="21"/>
      <c r="M70" s="21">
        <v>132</v>
      </c>
      <c r="N70" s="20">
        <v>46139</v>
      </c>
      <c r="O70" s="21">
        <v>1</v>
      </c>
      <c r="P70" s="21">
        <v>0</v>
      </c>
      <c r="Q70" s="21">
        <v>260</v>
      </c>
      <c r="R70" s="21"/>
      <c r="S70" s="21"/>
      <c r="T70" s="21"/>
      <c r="U70" s="21"/>
      <c r="V70" s="21"/>
      <c r="W70" s="22">
        <v>260</v>
      </c>
    </row>
    <row r="71" spans="1:24" ht="16.5" customHeight="1" x14ac:dyDescent="0.25">
      <c r="A71" s="5">
        <v>5</v>
      </c>
      <c r="B71" s="21" t="s">
        <v>24</v>
      </c>
      <c r="C71" s="13">
        <v>46148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2"/>
    </row>
    <row r="72" spans="1:24" ht="16.5" customHeight="1" thickBot="1" x14ac:dyDescent="0.3">
      <c r="A72" s="7">
        <v>6</v>
      </c>
      <c r="B72" s="37"/>
      <c r="C72" s="10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9"/>
    </row>
    <row r="73" spans="1:24" ht="20.100000000000001" customHeight="1" x14ac:dyDescent="0.25"/>
    <row r="74" spans="1:24" ht="20.100000000000001" customHeight="1" thickBot="1" x14ac:dyDescent="0.3"/>
    <row r="75" spans="1:24" ht="20.100000000000001" customHeight="1" x14ac:dyDescent="0.25">
      <c r="A75" s="100" t="s">
        <v>2</v>
      </c>
      <c r="B75" s="101"/>
      <c r="C75" s="178" t="s">
        <v>54</v>
      </c>
      <c r="D75" s="179"/>
      <c r="E75" s="111" t="s">
        <v>383</v>
      </c>
      <c r="F75" s="112"/>
      <c r="G75" s="101" t="s">
        <v>4</v>
      </c>
      <c r="H75" s="101"/>
      <c r="I75" s="102" t="s">
        <v>5</v>
      </c>
      <c r="J75" s="102"/>
      <c r="K75" s="102"/>
      <c r="L75" s="102"/>
      <c r="M75" s="102"/>
      <c r="N75" s="102"/>
      <c r="O75" s="101" t="s">
        <v>6</v>
      </c>
      <c r="P75" s="101"/>
      <c r="Q75" s="103"/>
      <c r="R75" s="104"/>
      <c r="S75" s="104"/>
      <c r="T75" s="104"/>
      <c r="U75" s="104"/>
      <c r="V75" s="104"/>
      <c r="W75" s="105"/>
      <c r="X75" s="1"/>
    </row>
    <row r="76" spans="1:24" ht="20.100000000000001" customHeight="1" x14ac:dyDescent="0.25">
      <c r="A76" s="106" t="s">
        <v>7</v>
      </c>
      <c r="B76" s="107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7"/>
      <c r="R76" s="107"/>
      <c r="S76" s="107"/>
      <c r="T76" s="107"/>
      <c r="U76" s="107"/>
      <c r="V76" s="107"/>
      <c r="W76" s="110"/>
      <c r="X76" s="1"/>
    </row>
    <row r="77" spans="1:24" ht="24.95" customHeight="1" x14ac:dyDescent="0.25">
      <c r="A77" s="113" t="s">
        <v>8</v>
      </c>
      <c r="B77" s="114" t="s">
        <v>9</v>
      </c>
      <c r="C77" s="114" t="s">
        <v>10</v>
      </c>
      <c r="D77" s="114" t="s">
        <v>11</v>
      </c>
      <c r="E77" s="114" t="s">
        <v>12</v>
      </c>
      <c r="F77" s="114" t="s">
        <v>13</v>
      </c>
      <c r="G77" s="114" t="s">
        <v>14</v>
      </c>
      <c r="H77" s="114"/>
      <c r="I77" s="114"/>
      <c r="J77" s="114"/>
      <c r="K77" s="114"/>
      <c r="L77" s="114"/>
      <c r="M77" s="114" t="s">
        <v>15</v>
      </c>
      <c r="N77" s="114" t="s">
        <v>16</v>
      </c>
      <c r="O77" s="114" t="s">
        <v>17</v>
      </c>
      <c r="P77" s="114" t="s">
        <v>18</v>
      </c>
      <c r="Q77" s="114" t="s">
        <v>19</v>
      </c>
      <c r="R77" s="114"/>
      <c r="S77" s="114"/>
      <c r="T77" s="114"/>
      <c r="U77" s="114"/>
      <c r="V77" s="114"/>
      <c r="W77" s="115" t="s">
        <v>20</v>
      </c>
      <c r="X77" s="3"/>
    </row>
    <row r="78" spans="1:24" ht="24.95" customHeight="1" x14ac:dyDescent="0.25">
      <c r="A78" s="113"/>
      <c r="B78" s="114"/>
      <c r="C78" s="114"/>
      <c r="D78" s="114"/>
      <c r="E78" s="114"/>
      <c r="F78" s="114"/>
      <c r="G78" s="31" t="s">
        <v>21</v>
      </c>
      <c r="H78" s="31" t="s">
        <v>21</v>
      </c>
      <c r="I78" s="31" t="s">
        <v>21</v>
      </c>
      <c r="J78" s="31" t="s">
        <v>22</v>
      </c>
      <c r="K78" s="31" t="s">
        <v>22</v>
      </c>
      <c r="L78" s="31" t="s">
        <v>22</v>
      </c>
      <c r="M78" s="114"/>
      <c r="N78" s="114"/>
      <c r="O78" s="114"/>
      <c r="P78" s="114"/>
      <c r="Q78" s="31" t="s">
        <v>21</v>
      </c>
      <c r="R78" s="31" t="s">
        <v>21</v>
      </c>
      <c r="S78" s="31" t="s">
        <v>21</v>
      </c>
      <c r="T78" s="31" t="s">
        <v>22</v>
      </c>
      <c r="U78" s="31" t="s">
        <v>22</v>
      </c>
      <c r="V78" s="31" t="s">
        <v>22</v>
      </c>
      <c r="W78" s="115"/>
      <c r="X78" s="3"/>
    </row>
    <row r="79" spans="1:24" ht="16.5" customHeight="1" x14ac:dyDescent="0.25">
      <c r="A79" s="5">
        <v>1</v>
      </c>
      <c r="B79" s="21" t="s">
        <v>29</v>
      </c>
      <c r="C79" s="13">
        <v>45738</v>
      </c>
      <c r="D79" s="13">
        <v>45809</v>
      </c>
      <c r="E79" s="21">
        <v>2</v>
      </c>
      <c r="F79" s="21">
        <v>0</v>
      </c>
      <c r="G79" s="21">
        <v>118</v>
      </c>
      <c r="H79" s="21"/>
      <c r="I79" s="21"/>
      <c r="J79" s="21">
        <v>109</v>
      </c>
      <c r="K79" s="21"/>
      <c r="L79" s="21"/>
      <c r="M79" s="21">
        <f>AVERAGE(G79,J79)</f>
        <v>113.5</v>
      </c>
      <c r="N79" s="20">
        <v>45833</v>
      </c>
      <c r="O79" s="21">
        <v>2</v>
      </c>
      <c r="P79" s="21">
        <v>0</v>
      </c>
      <c r="Q79" s="21">
        <v>321</v>
      </c>
      <c r="R79" s="21"/>
      <c r="S79" s="21"/>
      <c r="T79" s="21">
        <v>300</v>
      </c>
      <c r="U79" s="21"/>
      <c r="V79" s="21"/>
      <c r="W79" s="22">
        <f>AVERAGE(Q79,T79)</f>
        <v>310.5</v>
      </c>
    </row>
    <row r="80" spans="1:24" ht="15.75" customHeight="1" x14ac:dyDescent="0.25">
      <c r="A80" s="5">
        <v>2</v>
      </c>
      <c r="B80" s="21" t="s">
        <v>27</v>
      </c>
      <c r="C80" s="13">
        <v>45851</v>
      </c>
      <c r="D80" s="8" t="s">
        <v>428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2"/>
    </row>
    <row r="81" spans="1:24" ht="15.75" customHeight="1" x14ac:dyDescent="0.25">
      <c r="A81" s="5">
        <v>3</v>
      </c>
      <c r="B81" s="21" t="s">
        <v>24</v>
      </c>
      <c r="C81" s="13">
        <v>45924</v>
      </c>
      <c r="D81" s="13">
        <v>46002</v>
      </c>
      <c r="E81" s="21">
        <v>3</v>
      </c>
      <c r="F81" s="21">
        <v>0</v>
      </c>
      <c r="G81" s="21">
        <v>125</v>
      </c>
      <c r="H81" s="21"/>
      <c r="I81" s="21"/>
      <c r="J81" s="21">
        <v>110</v>
      </c>
      <c r="K81" s="21">
        <v>101</v>
      </c>
      <c r="L81" s="21"/>
      <c r="M81" s="21">
        <v>112</v>
      </c>
      <c r="N81" s="20">
        <v>46028</v>
      </c>
      <c r="O81" s="21">
        <v>3</v>
      </c>
      <c r="P81" s="21">
        <v>0</v>
      </c>
      <c r="Q81" s="21">
        <v>192</v>
      </c>
      <c r="R81" s="21"/>
      <c r="S81" s="21"/>
      <c r="T81" s="21">
        <v>233</v>
      </c>
      <c r="U81" s="21">
        <v>200</v>
      </c>
      <c r="V81" s="21"/>
      <c r="W81" s="22">
        <v>208.3</v>
      </c>
    </row>
    <row r="82" spans="1:24" ht="15.75" customHeight="1" x14ac:dyDescent="0.25">
      <c r="A82" s="5">
        <v>4</v>
      </c>
      <c r="B82" s="21" t="s">
        <v>24</v>
      </c>
      <c r="C82" s="13">
        <v>46039</v>
      </c>
      <c r="D82" s="13">
        <v>46108</v>
      </c>
      <c r="E82" s="21">
        <v>3</v>
      </c>
      <c r="F82" s="21">
        <v>0</v>
      </c>
      <c r="G82" s="21">
        <v>150</v>
      </c>
      <c r="H82" s="21">
        <v>121</v>
      </c>
      <c r="I82" s="21"/>
      <c r="J82" s="21">
        <v>156</v>
      </c>
      <c r="K82" s="21"/>
      <c r="L82" s="21"/>
      <c r="M82" s="41">
        <f>AVERAGE(G82:L82)</f>
        <v>142.33333333333334</v>
      </c>
      <c r="N82" s="20">
        <v>46133</v>
      </c>
      <c r="O82" s="21">
        <v>3</v>
      </c>
      <c r="P82" s="21">
        <v>0</v>
      </c>
      <c r="Q82" s="21">
        <v>269</v>
      </c>
      <c r="R82" s="21">
        <v>278</v>
      </c>
      <c r="S82" s="21"/>
      <c r="T82" s="21">
        <v>361</v>
      </c>
      <c r="U82" s="21"/>
      <c r="V82" s="21"/>
      <c r="W82" s="40">
        <f>AVERAGE(Q82:V82)</f>
        <v>302.66666666666669</v>
      </c>
    </row>
    <row r="83" spans="1:24" ht="16.5" customHeight="1" x14ac:dyDescent="0.25">
      <c r="A83" s="5">
        <v>5</v>
      </c>
      <c r="B83" s="21" t="s">
        <v>24</v>
      </c>
      <c r="C83" s="13">
        <v>46148</v>
      </c>
      <c r="D83" s="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2"/>
    </row>
    <row r="84" spans="1:24" ht="15" customHeight="1" thickBot="1" x14ac:dyDescent="0.3">
      <c r="A84" s="7">
        <v>6</v>
      </c>
      <c r="B84" s="37"/>
      <c r="C84" s="10"/>
      <c r="D84" s="10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9"/>
    </row>
    <row r="85" spans="1:24" ht="20.100000000000001" customHeight="1" x14ac:dyDescent="0.25"/>
    <row r="86" spans="1:24" ht="20.100000000000001" customHeight="1" thickBot="1" x14ac:dyDescent="0.3"/>
    <row r="87" spans="1:24" ht="20.100000000000001" customHeight="1" x14ac:dyDescent="0.25">
      <c r="A87" s="100" t="s">
        <v>2</v>
      </c>
      <c r="B87" s="101"/>
      <c r="C87" s="178" t="s">
        <v>55</v>
      </c>
      <c r="D87" s="179"/>
      <c r="E87" s="111" t="s">
        <v>383</v>
      </c>
      <c r="F87" s="112"/>
      <c r="G87" s="101" t="s">
        <v>4</v>
      </c>
      <c r="H87" s="101"/>
      <c r="I87" s="102" t="s">
        <v>5</v>
      </c>
      <c r="J87" s="102"/>
      <c r="K87" s="102"/>
      <c r="L87" s="102"/>
      <c r="M87" s="102"/>
      <c r="N87" s="102"/>
      <c r="O87" s="101" t="s">
        <v>6</v>
      </c>
      <c r="P87" s="101"/>
      <c r="Q87" s="103"/>
      <c r="R87" s="104"/>
      <c r="S87" s="104"/>
      <c r="T87" s="104"/>
      <c r="U87" s="104"/>
      <c r="V87" s="104"/>
      <c r="W87" s="105"/>
      <c r="X87" s="1"/>
    </row>
    <row r="88" spans="1:24" ht="20.100000000000001" customHeight="1" x14ac:dyDescent="0.25">
      <c r="A88" s="106" t="s">
        <v>7</v>
      </c>
      <c r="B88" s="107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7"/>
      <c r="R88" s="107"/>
      <c r="S88" s="107"/>
      <c r="T88" s="107"/>
      <c r="U88" s="107"/>
      <c r="V88" s="107"/>
      <c r="W88" s="110"/>
      <c r="X88" s="1"/>
    </row>
    <row r="89" spans="1:24" ht="24.95" customHeight="1" x14ac:dyDescent="0.25">
      <c r="A89" s="113" t="s">
        <v>8</v>
      </c>
      <c r="B89" s="114" t="s">
        <v>9</v>
      </c>
      <c r="C89" s="114" t="s">
        <v>10</v>
      </c>
      <c r="D89" s="114" t="s">
        <v>11</v>
      </c>
      <c r="E89" s="114" t="s">
        <v>12</v>
      </c>
      <c r="F89" s="114" t="s">
        <v>13</v>
      </c>
      <c r="G89" s="114" t="s">
        <v>14</v>
      </c>
      <c r="H89" s="114"/>
      <c r="I89" s="114"/>
      <c r="J89" s="114"/>
      <c r="K89" s="114"/>
      <c r="L89" s="114"/>
      <c r="M89" s="114" t="s">
        <v>15</v>
      </c>
      <c r="N89" s="114" t="s">
        <v>16</v>
      </c>
      <c r="O89" s="114" t="s">
        <v>17</v>
      </c>
      <c r="P89" s="114" t="s">
        <v>18</v>
      </c>
      <c r="Q89" s="114" t="s">
        <v>19</v>
      </c>
      <c r="R89" s="114"/>
      <c r="S89" s="114"/>
      <c r="T89" s="114"/>
      <c r="U89" s="114"/>
      <c r="V89" s="114"/>
      <c r="W89" s="115" t="s">
        <v>20</v>
      </c>
      <c r="X89" s="3"/>
    </row>
    <row r="90" spans="1:24" ht="24.95" customHeight="1" x14ac:dyDescent="0.25">
      <c r="A90" s="113"/>
      <c r="B90" s="114"/>
      <c r="C90" s="114"/>
      <c r="D90" s="114"/>
      <c r="E90" s="114"/>
      <c r="F90" s="114"/>
      <c r="G90" s="31" t="s">
        <v>21</v>
      </c>
      <c r="H90" s="31" t="s">
        <v>21</v>
      </c>
      <c r="I90" s="31" t="s">
        <v>21</v>
      </c>
      <c r="J90" s="31" t="s">
        <v>22</v>
      </c>
      <c r="K90" s="31" t="s">
        <v>22</v>
      </c>
      <c r="L90" s="31" t="s">
        <v>22</v>
      </c>
      <c r="M90" s="114"/>
      <c r="N90" s="114"/>
      <c r="O90" s="114"/>
      <c r="P90" s="114"/>
      <c r="Q90" s="31" t="s">
        <v>21</v>
      </c>
      <c r="R90" s="31" t="s">
        <v>21</v>
      </c>
      <c r="S90" s="31" t="s">
        <v>21</v>
      </c>
      <c r="T90" s="31" t="s">
        <v>22</v>
      </c>
      <c r="U90" s="31" t="s">
        <v>22</v>
      </c>
      <c r="V90" s="31" t="s">
        <v>22</v>
      </c>
      <c r="W90" s="115"/>
      <c r="X90" s="3"/>
    </row>
    <row r="91" spans="1:24" ht="15.75" customHeight="1" x14ac:dyDescent="0.25">
      <c r="A91" s="5">
        <v>1</v>
      </c>
      <c r="B91" s="21" t="s">
        <v>29</v>
      </c>
      <c r="C91" s="13">
        <v>45738</v>
      </c>
      <c r="D91" s="20">
        <v>45815</v>
      </c>
      <c r="E91" s="21">
        <v>3</v>
      </c>
      <c r="F91" s="21">
        <v>0</v>
      </c>
      <c r="G91" s="21"/>
      <c r="H91" s="21"/>
      <c r="I91" s="21"/>
      <c r="J91" s="21">
        <v>88</v>
      </c>
      <c r="K91" s="21">
        <v>98</v>
      </c>
      <c r="L91" s="21">
        <v>100</v>
      </c>
      <c r="M91" s="41">
        <f>AVERAGE(G91:L91)</f>
        <v>95.333333333333329</v>
      </c>
      <c r="N91" s="20">
        <v>45833</v>
      </c>
      <c r="O91" s="21">
        <v>3</v>
      </c>
      <c r="P91" s="21">
        <v>0</v>
      </c>
      <c r="Q91" s="21"/>
      <c r="R91" s="21"/>
      <c r="S91" s="21"/>
      <c r="T91" s="21">
        <v>164</v>
      </c>
      <c r="U91" s="21">
        <v>201</v>
      </c>
      <c r="V91" s="21">
        <v>212</v>
      </c>
      <c r="W91" s="40">
        <f>AVERAGE(Q91:V91)</f>
        <v>192.33333333333334</v>
      </c>
    </row>
    <row r="92" spans="1:24" ht="18" customHeight="1" x14ac:dyDescent="0.25">
      <c r="A92" s="5">
        <v>2</v>
      </c>
      <c r="B92" s="21" t="s">
        <v>27</v>
      </c>
      <c r="C92" s="13">
        <v>45851</v>
      </c>
      <c r="D92" s="21" t="s">
        <v>428</v>
      </c>
      <c r="E92" s="21"/>
      <c r="F92" s="21"/>
      <c r="G92" s="21"/>
      <c r="H92" s="21"/>
      <c r="I92" s="21"/>
      <c r="J92" s="21"/>
      <c r="K92" s="21"/>
      <c r="L92" s="21"/>
      <c r="M92" s="41"/>
      <c r="N92" s="21"/>
      <c r="O92" s="21"/>
      <c r="P92" s="21"/>
      <c r="Q92" s="21"/>
      <c r="R92" s="21"/>
      <c r="S92" s="21"/>
      <c r="T92" s="21"/>
      <c r="U92" s="21"/>
      <c r="V92" s="21"/>
      <c r="W92" s="40"/>
    </row>
    <row r="93" spans="1:24" ht="15.75" customHeight="1" x14ac:dyDescent="0.25">
      <c r="A93" s="5">
        <v>3</v>
      </c>
      <c r="B93" s="21" t="s">
        <v>24</v>
      </c>
      <c r="C93" s="13">
        <v>45924</v>
      </c>
      <c r="D93" s="20">
        <v>46000</v>
      </c>
      <c r="E93" s="21">
        <v>3</v>
      </c>
      <c r="F93" s="21">
        <v>0</v>
      </c>
      <c r="G93" s="21">
        <v>116</v>
      </c>
      <c r="H93" s="21"/>
      <c r="I93" s="21"/>
      <c r="J93" s="21">
        <v>115</v>
      </c>
      <c r="K93" s="21">
        <v>105</v>
      </c>
      <c r="L93" s="21"/>
      <c r="M93" s="41">
        <f>AVERAGE(G93:L93)</f>
        <v>112</v>
      </c>
      <c r="N93" s="20">
        <v>46028</v>
      </c>
      <c r="O93" s="21">
        <v>3</v>
      </c>
      <c r="P93" s="21">
        <v>0</v>
      </c>
      <c r="Q93" s="21">
        <v>266</v>
      </c>
      <c r="R93" s="21"/>
      <c r="S93" s="21"/>
      <c r="T93" s="21">
        <v>298</v>
      </c>
      <c r="U93" s="21">
        <v>289</v>
      </c>
      <c r="V93" s="21"/>
      <c r="W93" s="40">
        <f>AVERAGE(Q93:V93)</f>
        <v>284.33333333333331</v>
      </c>
    </row>
    <row r="94" spans="1:24" ht="15" customHeight="1" x14ac:dyDescent="0.25">
      <c r="A94" s="5">
        <v>4</v>
      </c>
      <c r="B94" s="21" t="s">
        <v>24</v>
      </c>
      <c r="C94" s="13">
        <v>46039</v>
      </c>
      <c r="D94" s="20">
        <v>46112</v>
      </c>
      <c r="E94" s="21">
        <v>2</v>
      </c>
      <c r="F94" s="21">
        <v>0</v>
      </c>
      <c r="G94" s="21">
        <v>76</v>
      </c>
      <c r="H94" s="21"/>
      <c r="I94" s="21"/>
      <c r="J94" s="21">
        <v>94</v>
      </c>
      <c r="K94" s="21"/>
      <c r="L94" s="21"/>
      <c r="M94" s="41"/>
      <c r="N94" s="20">
        <v>46133</v>
      </c>
      <c r="O94" s="21">
        <v>2</v>
      </c>
      <c r="P94" s="21">
        <v>0</v>
      </c>
      <c r="Q94" s="21">
        <v>245</v>
      </c>
      <c r="R94" s="21"/>
      <c r="S94" s="21"/>
      <c r="T94" s="21">
        <v>258</v>
      </c>
      <c r="U94" s="21"/>
      <c r="V94" s="21"/>
      <c r="W94" s="40">
        <f>AVERAGE(Q94:V94)</f>
        <v>251.5</v>
      </c>
    </row>
    <row r="95" spans="1:24" ht="16.5" customHeight="1" x14ac:dyDescent="0.25">
      <c r="A95" s="5">
        <v>5</v>
      </c>
      <c r="B95" s="21" t="s">
        <v>24</v>
      </c>
      <c r="C95" s="13">
        <v>46148</v>
      </c>
      <c r="D95" s="21"/>
      <c r="E95" s="21"/>
      <c r="F95" s="21"/>
      <c r="G95" s="21"/>
      <c r="H95" s="21"/>
      <c r="I95" s="21"/>
      <c r="J95" s="21"/>
      <c r="K95" s="21"/>
      <c r="L95" s="21"/>
      <c r="M95" s="41"/>
      <c r="N95" s="21"/>
      <c r="O95" s="21"/>
      <c r="P95" s="21"/>
      <c r="Q95" s="21"/>
      <c r="R95" s="21"/>
      <c r="S95" s="21"/>
      <c r="T95" s="21"/>
      <c r="U95" s="21"/>
      <c r="V95" s="21"/>
      <c r="W95" s="40"/>
    </row>
    <row r="96" spans="1:24" ht="15.75" customHeight="1" thickBot="1" x14ac:dyDescent="0.3">
      <c r="A96" s="7">
        <v>6</v>
      </c>
      <c r="B96" s="37"/>
      <c r="C96" s="10"/>
      <c r="D96" s="37"/>
      <c r="E96" s="37"/>
      <c r="F96" s="37"/>
      <c r="G96" s="37"/>
      <c r="H96" s="37"/>
      <c r="I96" s="37"/>
      <c r="J96" s="37"/>
      <c r="K96" s="37"/>
      <c r="L96" s="37"/>
      <c r="M96" s="42"/>
      <c r="N96" s="37"/>
      <c r="O96" s="37"/>
      <c r="P96" s="37"/>
      <c r="Q96" s="37"/>
      <c r="R96" s="37"/>
      <c r="S96" s="37"/>
      <c r="T96" s="37"/>
      <c r="U96" s="37"/>
      <c r="V96" s="37"/>
      <c r="W96" s="43"/>
    </row>
    <row r="97" spans="1:24" ht="20.100000000000001" customHeight="1" x14ac:dyDescent="0.25"/>
    <row r="98" spans="1:24" ht="20.100000000000001" customHeight="1" thickBot="1" x14ac:dyDescent="0.3"/>
    <row r="99" spans="1:24" ht="20.100000000000001" customHeight="1" x14ac:dyDescent="0.25">
      <c r="A99" s="100" t="s">
        <v>2</v>
      </c>
      <c r="B99" s="101"/>
      <c r="C99" s="178" t="s">
        <v>56</v>
      </c>
      <c r="D99" s="179"/>
      <c r="E99" s="111" t="s">
        <v>383</v>
      </c>
      <c r="F99" s="112"/>
      <c r="G99" s="101" t="s">
        <v>4</v>
      </c>
      <c r="H99" s="101"/>
      <c r="I99" s="102" t="s">
        <v>5</v>
      </c>
      <c r="J99" s="102"/>
      <c r="K99" s="102"/>
      <c r="L99" s="102"/>
      <c r="M99" s="102"/>
      <c r="N99" s="102"/>
      <c r="O99" s="101" t="s">
        <v>6</v>
      </c>
      <c r="P99" s="101"/>
      <c r="Q99" s="103"/>
      <c r="R99" s="104"/>
      <c r="S99" s="104"/>
      <c r="T99" s="104"/>
      <c r="U99" s="104"/>
      <c r="V99" s="104"/>
      <c r="W99" s="105"/>
      <c r="X99" s="1"/>
    </row>
    <row r="100" spans="1:24" ht="20.100000000000001" customHeight="1" x14ac:dyDescent="0.25">
      <c r="A100" s="106" t="s">
        <v>7</v>
      </c>
      <c r="B100" s="107"/>
      <c r="C100" s="116" t="s">
        <v>44</v>
      </c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09"/>
      <c r="P100" s="109"/>
      <c r="Q100" s="107"/>
      <c r="R100" s="107"/>
      <c r="S100" s="107"/>
      <c r="T100" s="107"/>
      <c r="U100" s="107"/>
      <c r="V100" s="107"/>
      <c r="W100" s="110"/>
      <c r="X100" s="1"/>
    </row>
    <row r="101" spans="1:24" ht="24.95" customHeight="1" x14ac:dyDescent="0.25">
      <c r="A101" s="113" t="s">
        <v>8</v>
      </c>
      <c r="B101" s="114" t="s">
        <v>9</v>
      </c>
      <c r="C101" s="114" t="s">
        <v>10</v>
      </c>
      <c r="D101" s="114" t="s">
        <v>11</v>
      </c>
      <c r="E101" s="114" t="s">
        <v>12</v>
      </c>
      <c r="F101" s="114" t="s">
        <v>13</v>
      </c>
      <c r="G101" s="114" t="s">
        <v>14</v>
      </c>
      <c r="H101" s="114"/>
      <c r="I101" s="114"/>
      <c r="J101" s="114"/>
      <c r="K101" s="114"/>
      <c r="L101" s="114"/>
      <c r="M101" s="114" t="s">
        <v>15</v>
      </c>
      <c r="N101" s="114" t="s">
        <v>16</v>
      </c>
      <c r="O101" s="114" t="s">
        <v>17</v>
      </c>
      <c r="P101" s="114" t="s">
        <v>18</v>
      </c>
      <c r="Q101" s="114" t="s">
        <v>19</v>
      </c>
      <c r="R101" s="114"/>
      <c r="S101" s="114"/>
      <c r="T101" s="114"/>
      <c r="U101" s="114"/>
      <c r="V101" s="114"/>
      <c r="W101" s="115" t="s">
        <v>20</v>
      </c>
      <c r="X101" s="3"/>
    </row>
    <row r="102" spans="1:24" ht="24.95" customHeight="1" x14ac:dyDescent="0.25">
      <c r="A102" s="113"/>
      <c r="B102" s="114"/>
      <c r="C102" s="114"/>
      <c r="D102" s="114"/>
      <c r="E102" s="114"/>
      <c r="F102" s="114"/>
      <c r="G102" s="31" t="s">
        <v>21</v>
      </c>
      <c r="H102" s="31" t="s">
        <v>21</v>
      </c>
      <c r="I102" s="31" t="s">
        <v>21</v>
      </c>
      <c r="J102" s="31" t="s">
        <v>22</v>
      </c>
      <c r="K102" s="31" t="s">
        <v>22</v>
      </c>
      <c r="L102" s="31" t="s">
        <v>22</v>
      </c>
      <c r="M102" s="114"/>
      <c r="N102" s="114"/>
      <c r="O102" s="114"/>
      <c r="P102" s="114"/>
      <c r="Q102" s="31" t="s">
        <v>21</v>
      </c>
      <c r="R102" s="31" t="s">
        <v>21</v>
      </c>
      <c r="S102" s="31" t="s">
        <v>21</v>
      </c>
      <c r="T102" s="31" t="s">
        <v>22</v>
      </c>
      <c r="U102" s="31" t="s">
        <v>22</v>
      </c>
      <c r="V102" s="31" t="s">
        <v>22</v>
      </c>
      <c r="W102" s="115"/>
      <c r="X102" s="3"/>
    </row>
    <row r="103" spans="1:24" ht="15.75" customHeight="1" x14ac:dyDescent="0.25">
      <c r="A103" s="5">
        <v>1</v>
      </c>
      <c r="B103" s="21" t="s">
        <v>29</v>
      </c>
      <c r="C103" s="13">
        <v>45738</v>
      </c>
      <c r="D103" s="8" t="s">
        <v>428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/>
    </row>
    <row r="104" spans="1:24" ht="17.25" customHeight="1" x14ac:dyDescent="0.25">
      <c r="A104" s="5">
        <v>2</v>
      </c>
      <c r="B104" s="21" t="s">
        <v>27</v>
      </c>
      <c r="C104" s="13">
        <v>45851</v>
      </c>
      <c r="D104" s="8" t="s">
        <v>428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</row>
    <row r="105" spans="1:24" ht="16.5" customHeight="1" x14ac:dyDescent="0.25">
      <c r="A105" s="5">
        <v>3</v>
      </c>
      <c r="B105" s="21" t="s">
        <v>24</v>
      </c>
      <c r="C105" s="13">
        <v>45924</v>
      </c>
      <c r="D105" s="13">
        <v>45979</v>
      </c>
      <c r="E105" s="21">
        <v>3</v>
      </c>
      <c r="F105" s="21">
        <v>0</v>
      </c>
      <c r="G105" s="21">
        <v>171</v>
      </c>
      <c r="H105" s="21">
        <v>141</v>
      </c>
      <c r="I105" s="21">
        <v>160</v>
      </c>
      <c r="J105" s="21"/>
      <c r="K105" s="21"/>
      <c r="L105" s="21"/>
      <c r="M105" s="41">
        <f>AVERAGE(G105:L105)</f>
        <v>157.33333333333334</v>
      </c>
      <c r="N105" s="20">
        <v>45663</v>
      </c>
      <c r="O105" s="21">
        <v>1</v>
      </c>
      <c r="P105" s="21">
        <v>2</v>
      </c>
      <c r="Q105" s="21">
        <v>506</v>
      </c>
      <c r="R105" s="21"/>
      <c r="S105" s="21"/>
      <c r="T105" s="21"/>
      <c r="U105" s="21"/>
      <c r="V105" s="21"/>
      <c r="W105" s="22">
        <v>506</v>
      </c>
    </row>
    <row r="106" spans="1:24" ht="17.25" customHeight="1" x14ac:dyDescent="0.25">
      <c r="A106" s="5">
        <v>4</v>
      </c>
      <c r="B106" s="21" t="s">
        <v>24</v>
      </c>
      <c r="C106" s="13">
        <v>46039</v>
      </c>
      <c r="D106" s="13">
        <v>46110</v>
      </c>
      <c r="E106" s="21">
        <v>1</v>
      </c>
      <c r="F106" s="21">
        <v>0</v>
      </c>
      <c r="G106" s="21">
        <v>147</v>
      </c>
      <c r="H106" s="21"/>
      <c r="I106" s="21"/>
      <c r="J106" s="21"/>
      <c r="K106" s="21"/>
      <c r="L106" s="21"/>
      <c r="M106" s="21">
        <v>147</v>
      </c>
      <c r="N106" s="20">
        <v>46133</v>
      </c>
      <c r="O106" s="21">
        <v>1</v>
      </c>
      <c r="P106" s="21">
        <v>0</v>
      </c>
      <c r="Q106" s="21">
        <v>282</v>
      </c>
      <c r="R106" s="21"/>
      <c r="S106" s="21"/>
      <c r="T106" s="21"/>
      <c r="U106" s="21"/>
      <c r="V106" s="21"/>
      <c r="W106" s="22">
        <v>282</v>
      </c>
    </row>
    <row r="107" spans="1:24" ht="15.75" customHeight="1" x14ac:dyDescent="0.25">
      <c r="A107" s="5">
        <v>5</v>
      </c>
      <c r="B107" s="21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9"/>
    </row>
    <row r="108" spans="1:24" ht="13.5" customHeight="1" thickBot="1" x14ac:dyDescent="0.3">
      <c r="A108" s="7">
        <v>6</v>
      </c>
      <c r="B108" s="37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4" ht="20.100000000000001" customHeight="1" x14ac:dyDescent="0.25"/>
    <row r="110" spans="1:24" ht="20.100000000000001" customHeight="1" thickBot="1" x14ac:dyDescent="0.3"/>
    <row r="111" spans="1:24" ht="20.100000000000001" customHeight="1" x14ac:dyDescent="0.25">
      <c r="A111" s="100" t="s">
        <v>2</v>
      </c>
      <c r="B111" s="101"/>
      <c r="C111" s="178" t="s">
        <v>57</v>
      </c>
      <c r="D111" s="179"/>
      <c r="E111" s="111" t="s">
        <v>379</v>
      </c>
      <c r="F111" s="112"/>
      <c r="G111" s="101" t="s">
        <v>4</v>
      </c>
      <c r="H111" s="101"/>
      <c r="I111" s="102" t="s">
        <v>5</v>
      </c>
      <c r="J111" s="102"/>
      <c r="K111" s="102"/>
      <c r="L111" s="102"/>
      <c r="M111" s="102"/>
      <c r="N111" s="102"/>
      <c r="O111" s="101" t="s">
        <v>6</v>
      </c>
      <c r="P111" s="101"/>
      <c r="Q111" s="103"/>
      <c r="R111" s="104"/>
      <c r="S111" s="104"/>
      <c r="T111" s="104"/>
      <c r="U111" s="104"/>
      <c r="V111" s="104"/>
      <c r="W111" s="105"/>
      <c r="X111" s="1"/>
    </row>
    <row r="112" spans="1:24" ht="20.100000000000001" customHeight="1" x14ac:dyDescent="0.25">
      <c r="A112" s="106" t="s">
        <v>7</v>
      </c>
      <c r="B112" s="107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7"/>
      <c r="R112" s="107"/>
      <c r="S112" s="107"/>
      <c r="T112" s="107"/>
      <c r="U112" s="107"/>
      <c r="V112" s="107"/>
      <c r="W112" s="110"/>
      <c r="X112" s="1"/>
    </row>
    <row r="113" spans="1:24" ht="24.95" customHeight="1" x14ac:dyDescent="0.25">
      <c r="A113" s="113" t="s">
        <v>8</v>
      </c>
      <c r="B113" s="114" t="s">
        <v>9</v>
      </c>
      <c r="C113" s="114" t="s">
        <v>10</v>
      </c>
      <c r="D113" s="114" t="s">
        <v>11</v>
      </c>
      <c r="E113" s="114" t="s">
        <v>12</v>
      </c>
      <c r="F113" s="114" t="s">
        <v>13</v>
      </c>
      <c r="G113" s="114" t="s">
        <v>14</v>
      </c>
      <c r="H113" s="114"/>
      <c r="I113" s="114"/>
      <c r="J113" s="114"/>
      <c r="K113" s="114"/>
      <c r="L113" s="114"/>
      <c r="M113" s="114" t="s">
        <v>15</v>
      </c>
      <c r="N113" s="114" t="s">
        <v>16</v>
      </c>
      <c r="O113" s="114" t="s">
        <v>17</v>
      </c>
      <c r="P113" s="114" t="s">
        <v>18</v>
      </c>
      <c r="Q113" s="114" t="s">
        <v>19</v>
      </c>
      <c r="R113" s="114"/>
      <c r="S113" s="114"/>
      <c r="T113" s="114"/>
      <c r="U113" s="114"/>
      <c r="V113" s="114"/>
      <c r="W113" s="115" t="s">
        <v>20</v>
      </c>
      <c r="X113" s="3"/>
    </row>
    <row r="114" spans="1:24" ht="24.95" customHeight="1" x14ac:dyDescent="0.25">
      <c r="A114" s="113"/>
      <c r="B114" s="114"/>
      <c r="C114" s="114"/>
      <c r="D114" s="114"/>
      <c r="E114" s="114"/>
      <c r="F114" s="114"/>
      <c r="G114" s="31" t="s">
        <v>21</v>
      </c>
      <c r="H114" s="31" t="s">
        <v>21</v>
      </c>
      <c r="I114" s="31" t="s">
        <v>21</v>
      </c>
      <c r="J114" s="31" t="s">
        <v>22</v>
      </c>
      <c r="K114" s="31" t="s">
        <v>22</v>
      </c>
      <c r="L114" s="31" t="s">
        <v>22</v>
      </c>
      <c r="M114" s="114"/>
      <c r="N114" s="114"/>
      <c r="O114" s="114"/>
      <c r="P114" s="114"/>
      <c r="Q114" s="31" t="s">
        <v>21</v>
      </c>
      <c r="R114" s="31" t="s">
        <v>21</v>
      </c>
      <c r="S114" s="31" t="s">
        <v>21</v>
      </c>
      <c r="T114" s="31" t="s">
        <v>22</v>
      </c>
      <c r="U114" s="31" t="s">
        <v>22</v>
      </c>
      <c r="V114" s="31" t="s">
        <v>22</v>
      </c>
      <c r="W114" s="115"/>
      <c r="X114" s="3"/>
    </row>
    <row r="115" spans="1:24" ht="18" customHeight="1" x14ac:dyDescent="0.25">
      <c r="A115" s="5">
        <v>1</v>
      </c>
      <c r="B115" s="21" t="s">
        <v>231</v>
      </c>
      <c r="C115" s="13">
        <v>45738</v>
      </c>
      <c r="D115" s="20">
        <v>45813</v>
      </c>
      <c r="E115" s="21">
        <v>1</v>
      </c>
      <c r="F115" s="21">
        <v>0</v>
      </c>
      <c r="G115" s="21"/>
      <c r="H115" s="21"/>
      <c r="I115" s="21"/>
      <c r="J115" s="21">
        <v>142</v>
      </c>
      <c r="K115" s="21"/>
      <c r="L115" s="21"/>
      <c r="M115" s="21">
        <v>142</v>
      </c>
      <c r="N115" s="20">
        <v>45833</v>
      </c>
      <c r="O115" s="21">
        <v>1</v>
      </c>
      <c r="P115" s="21">
        <v>0</v>
      </c>
      <c r="Q115" s="21"/>
      <c r="R115" s="21"/>
      <c r="S115" s="21"/>
      <c r="T115" s="21">
        <v>327</v>
      </c>
      <c r="U115" s="21"/>
      <c r="V115" s="21"/>
      <c r="W115" s="22">
        <v>327</v>
      </c>
    </row>
    <row r="116" spans="1:24" ht="15" customHeight="1" x14ac:dyDescent="0.25">
      <c r="A116" s="5">
        <v>2</v>
      </c>
      <c r="B116" s="21" t="s">
        <v>232</v>
      </c>
      <c r="C116" s="13">
        <v>45851</v>
      </c>
      <c r="D116" s="20">
        <v>45927</v>
      </c>
      <c r="E116" s="21">
        <v>3</v>
      </c>
      <c r="F116" s="21">
        <v>0</v>
      </c>
      <c r="G116" s="21">
        <v>153</v>
      </c>
      <c r="H116" s="21"/>
      <c r="I116" s="21"/>
      <c r="J116" s="21">
        <v>142</v>
      </c>
      <c r="K116" s="21">
        <v>144</v>
      </c>
      <c r="L116" s="21"/>
      <c r="M116" s="41">
        <f>AVERAGE(G116:L116)</f>
        <v>146.33333333333334</v>
      </c>
      <c r="N116" s="20">
        <v>45944</v>
      </c>
      <c r="O116" s="21">
        <v>3</v>
      </c>
      <c r="P116" s="21">
        <v>0</v>
      </c>
      <c r="Q116" s="21">
        <v>153</v>
      </c>
      <c r="R116" s="21"/>
      <c r="S116" s="21"/>
      <c r="T116" s="21">
        <v>186</v>
      </c>
      <c r="U116" s="21">
        <v>294</v>
      </c>
      <c r="V116" s="21"/>
      <c r="W116" s="22">
        <f>AVERAGE(Q116:V116)</f>
        <v>211</v>
      </c>
    </row>
    <row r="117" spans="1:24" ht="14.25" customHeight="1" x14ac:dyDescent="0.25">
      <c r="A117" s="5">
        <v>3</v>
      </c>
      <c r="B117" s="21" t="s">
        <v>24</v>
      </c>
      <c r="C117" s="13">
        <v>45950</v>
      </c>
      <c r="D117" s="21" t="s">
        <v>428</v>
      </c>
      <c r="E117" s="21"/>
      <c r="F117" s="21"/>
      <c r="G117" s="21"/>
      <c r="H117" s="21"/>
      <c r="I117" s="21"/>
      <c r="J117" s="21"/>
      <c r="K117" s="21"/>
      <c r="L117" s="21"/>
      <c r="M117" s="41"/>
      <c r="N117" s="21"/>
      <c r="O117" s="21"/>
      <c r="P117" s="21"/>
      <c r="Q117" s="21"/>
      <c r="R117" s="21"/>
      <c r="S117" s="21"/>
      <c r="T117" s="21"/>
      <c r="U117" s="21"/>
      <c r="V117" s="21"/>
      <c r="W117" s="22"/>
    </row>
    <row r="118" spans="1:24" ht="15" customHeight="1" x14ac:dyDescent="0.25">
      <c r="A118" s="5">
        <v>4</v>
      </c>
      <c r="B118" s="21" t="s">
        <v>24</v>
      </c>
      <c r="C118" s="13">
        <v>46070</v>
      </c>
      <c r="D118" s="20">
        <v>46144</v>
      </c>
      <c r="E118" s="21">
        <v>3</v>
      </c>
      <c r="F118" s="21">
        <v>0</v>
      </c>
      <c r="G118" s="21">
        <v>115</v>
      </c>
      <c r="H118" s="21"/>
      <c r="I118" s="21"/>
      <c r="J118" s="21">
        <v>117</v>
      </c>
      <c r="K118" s="21">
        <v>121</v>
      </c>
      <c r="L118" s="21"/>
      <c r="M118" s="80">
        <f>AVERAGE(G118:L118)</f>
        <v>117.66666666666667</v>
      </c>
      <c r="N118" s="20">
        <v>46176</v>
      </c>
      <c r="O118" s="21">
        <v>2</v>
      </c>
      <c r="P118" s="21">
        <v>1</v>
      </c>
      <c r="Q118" s="21"/>
      <c r="R118" s="21"/>
      <c r="S118" s="21"/>
      <c r="T118" s="21">
        <v>260</v>
      </c>
      <c r="U118" s="21">
        <v>241</v>
      </c>
      <c r="V118" s="21"/>
      <c r="W118" s="68">
        <f>AVERAGE(Q118:V118)</f>
        <v>250.5</v>
      </c>
    </row>
    <row r="119" spans="1:24" ht="15.75" customHeight="1" x14ac:dyDescent="0.25">
      <c r="A119" s="5">
        <v>5</v>
      </c>
      <c r="B119" s="21" t="s">
        <v>231</v>
      </c>
      <c r="C119" s="13">
        <v>46181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41"/>
      <c r="N119" s="21"/>
      <c r="O119" s="21"/>
      <c r="P119" s="21"/>
      <c r="Q119" s="21"/>
      <c r="R119" s="21"/>
      <c r="S119" s="21"/>
      <c r="T119" s="21"/>
      <c r="U119" s="21"/>
      <c r="V119" s="21"/>
      <c r="W119" s="22"/>
    </row>
    <row r="120" spans="1:24" ht="16.5" customHeight="1" thickBot="1" x14ac:dyDescent="0.3">
      <c r="A120" s="7">
        <v>6</v>
      </c>
      <c r="B120" s="37"/>
      <c r="C120" s="10"/>
      <c r="D120" s="37"/>
      <c r="E120" s="37"/>
      <c r="F120" s="37"/>
      <c r="G120" s="37"/>
      <c r="H120" s="37"/>
      <c r="I120" s="37"/>
      <c r="J120" s="37"/>
      <c r="K120" s="37"/>
      <c r="L120" s="37"/>
      <c r="M120" s="42"/>
      <c r="N120" s="37"/>
      <c r="O120" s="37"/>
      <c r="P120" s="37"/>
      <c r="Q120" s="37"/>
      <c r="R120" s="37"/>
      <c r="S120" s="37"/>
      <c r="T120" s="37"/>
      <c r="U120" s="37"/>
      <c r="V120" s="37"/>
      <c r="W120" s="39"/>
    </row>
    <row r="121" spans="1:24" ht="20.100000000000001" customHeight="1" x14ac:dyDescent="0.25"/>
    <row r="122" spans="1:24" ht="20.100000000000001" customHeight="1" thickBot="1" x14ac:dyDescent="0.3"/>
    <row r="123" spans="1:24" ht="20.100000000000001" customHeight="1" x14ac:dyDescent="0.25">
      <c r="A123" s="100" t="s">
        <v>2</v>
      </c>
      <c r="B123" s="101"/>
      <c r="C123" s="178" t="s">
        <v>58</v>
      </c>
      <c r="D123" s="179"/>
      <c r="E123" s="111" t="s">
        <v>379</v>
      </c>
      <c r="F123" s="112"/>
      <c r="G123" s="101" t="s">
        <v>4</v>
      </c>
      <c r="H123" s="101"/>
      <c r="I123" s="102" t="s">
        <v>5</v>
      </c>
      <c r="J123" s="102"/>
      <c r="K123" s="102"/>
      <c r="L123" s="102"/>
      <c r="M123" s="102"/>
      <c r="N123" s="102"/>
      <c r="O123" s="101" t="s">
        <v>6</v>
      </c>
      <c r="P123" s="101"/>
      <c r="Q123" s="103"/>
      <c r="R123" s="104"/>
      <c r="S123" s="104"/>
      <c r="T123" s="104"/>
      <c r="U123" s="104"/>
      <c r="V123" s="104"/>
      <c r="W123" s="105"/>
      <c r="X123" s="1"/>
    </row>
    <row r="124" spans="1:24" ht="20.100000000000001" customHeight="1" x14ac:dyDescent="0.25">
      <c r="A124" s="106" t="s">
        <v>7</v>
      </c>
      <c r="B124" s="107"/>
      <c r="C124" s="116" t="s">
        <v>44</v>
      </c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09"/>
      <c r="P124" s="109"/>
      <c r="Q124" s="107"/>
      <c r="R124" s="107"/>
      <c r="S124" s="107"/>
      <c r="T124" s="107"/>
      <c r="U124" s="107"/>
      <c r="V124" s="107"/>
      <c r="W124" s="110"/>
      <c r="X124" s="1"/>
    </row>
    <row r="125" spans="1:24" ht="24.95" customHeight="1" x14ac:dyDescent="0.25">
      <c r="A125" s="113" t="s">
        <v>8</v>
      </c>
      <c r="B125" s="114" t="s">
        <v>9</v>
      </c>
      <c r="C125" s="114" t="s">
        <v>10</v>
      </c>
      <c r="D125" s="114" t="s">
        <v>11</v>
      </c>
      <c r="E125" s="114" t="s">
        <v>12</v>
      </c>
      <c r="F125" s="114" t="s">
        <v>13</v>
      </c>
      <c r="G125" s="114" t="s">
        <v>14</v>
      </c>
      <c r="H125" s="114"/>
      <c r="I125" s="114"/>
      <c r="J125" s="114"/>
      <c r="K125" s="114"/>
      <c r="L125" s="114"/>
      <c r="M125" s="114" t="s">
        <v>15</v>
      </c>
      <c r="N125" s="114" t="s">
        <v>16</v>
      </c>
      <c r="O125" s="114" t="s">
        <v>17</v>
      </c>
      <c r="P125" s="114" t="s">
        <v>18</v>
      </c>
      <c r="Q125" s="114" t="s">
        <v>19</v>
      </c>
      <c r="R125" s="114"/>
      <c r="S125" s="114"/>
      <c r="T125" s="114"/>
      <c r="U125" s="114"/>
      <c r="V125" s="114"/>
      <c r="W125" s="115" t="s">
        <v>20</v>
      </c>
      <c r="X125" s="3"/>
    </row>
    <row r="126" spans="1:24" ht="24.95" customHeight="1" x14ac:dyDescent="0.25">
      <c r="A126" s="113"/>
      <c r="B126" s="114"/>
      <c r="C126" s="114"/>
      <c r="D126" s="114"/>
      <c r="E126" s="114"/>
      <c r="F126" s="114"/>
      <c r="G126" s="31" t="s">
        <v>21</v>
      </c>
      <c r="H126" s="31" t="s">
        <v>21</v>
      </c>
      <c r="I126" s="31" t="s">
        <v>21</v>
      </c>
      <c r="J126" s="31" t="s">
        <v>22</v>
      </c>
      <c r="K126" s="31" t="s">
        <v>22</v>
      </c>
      <c r="L126" s="31" t="s">
        <v>22</v>
      </c>
      <c r="M126" s="114"/>
      <c r="N126" s="114"/>
      <c r="O126" s="114"/>
      <c r="P126" s="114"/>
      <c r="Q126" s="31" t="s">
        <v>21</v>
      </c>
      <c r="R126" s="31" t="s">
        <v>21</v>
      </c>
      <c r="S126" s="31" t="s">
        <v>21</v>
      </c>
      <c r="T126" s="31" t="s">
        <v>22</v>
      </c>
      <c r="U126" s="31" t="s">
        <v>22</v>
      </c>
      <c r="V126" s="31" t="s">
        <v>22</v>
      </c>
      <c r="W126" s="115"/>
      <c r="X126" s="3"/>
    </row>
    <row r="127" spans="1:24" ht="16.5" customHeight="1" x14ac:dyDescent="0.25">
      <c r="A127" s="5">
        <v>1</v>
      </c>
      <c r="B127" s="21" t="s">
        <v>231</v>
      </c>
      <c r="C127" s="13">
        <v>45738</v>
      </c>
      <c r="D127" s="13">
        <v>45832</v>
      </c>
      <c r="E127" s="21">
        <v>2</v>
      </c>
      <c r="F127" s="21">
        <v>0</v>
      </c>
      <c r="G127" s="21"/>
      <c r="H127" s="21"/>
      <c r="I127" s="21"/>
      <c r="J127" s="21">
        <v>131</v>
      </c>
      <c r="K127" s="21"/>
      <c r="L127" s="21"/>
      <c r="M127" s="21">
        <v>131</v>
      </c>
      <c r="N127" s="20">
        <v>45848</v>
      </c>
      <c r="O127" s="21">
        <v>2</v>
      </c>
      <c r="P127" s="21">
        <v>1</v>
      </c>
      <c r="Q127" s="21"/>
      <c r="R127" s="21"/>
      <c r="S127" s="21"/>
      <c r="T127" s="21">
        <v>245</v>
      </c>
      <c r="U127" s="21"/>
      <c r="V127" s="21"/>
      <c r="W127" s="22">
        <v>245</v>
      </c>
    </row>
    <row r="128" spans="1:24" ht="16.5" customHeight="1" x14ac:dyDescent="0.25">
      <c r="A128" s="5">
        <v>2</v>
      </c>
      <c r="B128" s="21" t="s">
        <v>232</v>
      </c>
      <c r="C128" s="13">
        <v>45851</v>
      </c>
      <c r="D128" s="13">
        <v>45928</v>
      </c>
      <c r="E128" s="21">
        <v>2</v>
      </c>
      <c r="F128" s="21">
        <v>2</v>
      </c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2"/>
    </row>
    <row r="129" spans="1:24" ht="16.5" customHeight="1" x14ac:dyDescent="0.25">
      <c r="A129" s="5">
        <v>3</v>
      </c>
      <c r="B129" s="21" t="s">
        <v>24</v>
      </c>
      <c r="C129" s="13">
        <v>45950</v>
      </c>
      <c r="D129" s="13">
        <v>46027</v>
      </c>
      <c r="E129" s="21">
        <v>3</v>
      </c>
      <c r="F129" s="21">
        <v>0</v>
      </c>
      <c r="G129" s="21">
        <v>130</v>
      </c>
      <c r="H129" s="21"/>
      <c r="I129" s="21"/>
      <c r="J129" s="21">
        <v>125</v>
      </c>
      <c r="K129" s="21">
        <v>128</v>
      </c>
      <c r="L129" s="21"/>
      <c r="M129" s="80">
        <f>AVERAGE(G129:L129)</f>
        <v>127.66666666666667</v>
      </c>
      <c r="N129" s="20">
        <v>46039</v>
      </c>
      <c r="O129" s="21">
        <v>3</v>
      </c>
      <c r="P129" s="21">
        <v>0</v>
      </c>
      <c r="Q129" s="21">
        <v>203</v>
      </c>
      <c r="R129" s="21"/>
      <c r="S129" s="21"/>
      <c r="T129" s="21">
        <v>172</v>
      </c>
      <c r="U129" s="21">
        <v>180</v>
      </c>
      <c r="V129" s="21"/>
      <c r="W129" s="22">
        <f>AVERAGE(Q129:V129)</f>
        <v>185</v>
      </c>
    </row>
    <row r="130" spans="1:24" ht="15.75" customHeight="1" x14ac:dyDescent="0.25">
      <c r="A130" s="5">
        <v>4</v>
      </c>
      <c r="B130" s="21" t="s">
        <v>24</v>
      </c>
      <c r="C130" s="13">
        <v>46070</v>
      </c>
      <c r="D130" s="13">
        <v>46148</v>
      </c>
      <c r="E130" s="21">
        <v>2</v>
      </c>
      <c r="F130" s="21">
        <v>0</v>
      </c>
      <c r="G130" s="21">
        <v>108</v>
      </c>
      <c r="H130" s="21">
        <v>112</v>
      </c>
      <c r="I130" s="21"/>
      <c r="J130" s="21"/>
      <c r="K130" s="21"/>
      <c r="L130" s="21"/>
      <c r="M130" s="21">
        <f>AVERAGE(G130:L130)</f>
        <v>110</v>
      </c>
      <c r="N130" s="20">
        <v>46176</v>
      </c>
      <c r="O130" s="21">
        <v>2</v>
      </c>
      <c r="P130" s="21">
        <v>1</v>
      </c>
      <c r="Q130" s="21">
        <v>200</v>
      </c>
      <c r="R130" s="21"/>
      <c r="S130" s="21"/>
      <c r="T130" s="21"/>
      <c r="U130" s="21"/>
      <c r="V130" s="21"/>
      <c r="W130" s="22">
        <v>200</v>
      </c>
    </row>
    <row r="131" spans="1:24" ht="15.75" customHeight="1" x14ac:dyDescent="0.25">
      <c r="A131" s="5">
        <v>5</v>
      </c>
      <c r="B131" s="21"/>
      <c r="C131" s="8"/>
      <c r="D131" s="8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2"/>
    </row>
    <row r="132" spans="1:24" ht="15.75" customHeight="1" thickBot="1" x14ac:dyDescent="0.3">
      <c r="A132" s="7">
        <v>6</v>
      </c>
      <c r="B132" s="37"/>
      <c r="C132" s="10"/>
      <c r="D132" s="10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9"/>
    </row>
    <row r="133" spans="1:24" ht="20.100000000000001" customHeight="1" x14ac:dyDescent="0.25"/>
    <row r="134" spans="1:24" ht="20.100000000000001" customHeight="1" thickBot="1" x14ac:dyDescent="0.3"/>
    <row r="135" spans="1:24" ht="20.100000000000001" customHeight="1" x14ac:dyDescent="0.25">
      <c r="A135" s="100" t="s">
        <v>2</v>
      </c>
      <c r="B135" s="101"/>
      <c r="C135" s="178" t="s">
        <v>59</v>
      </c>
      <c r="D135" s="179"/>
      <c r="E135" s="111" t="s">
        <v>379</v>
      </c>
      <c r="F135" s="112"/>
      <c r="G135" s="101" t="s">
        <v>4</v>
      </c>
      <c r="H135" s="101"/>
      <c r="I135" s="102" t="s">
        <v>5</v>
      </c>
      <c r="J135" s="102"/>
      <c r="K135" s="102"/>
      <c r="L135" s="102"/>
      <c r="M135" s="102"/>
      <c r="N135" s="102"/>
      <c r="O135" s="101" t="s">
        <v>6</v>
      </c>
      <c r="P135" s="101"/>
      <c r="Q135" s="103"/>
      <c r="R135" s="104"/>
      <c r="S135" s="104"/>
      <c r="T135" s="104"/>
      <c r="U135" s="104"/>
      <c r="V135" s="104"/>
      <c r="W135" s="105"/>
      <c r="X135" s="1"/>
    </row>
    <row r="136" spans="1:24" ht="20.100000000000001" customHeight="1" x14ac:dyDescent="0.25">
      <c r="A136" s="106" t="s">
        <v>7</v>
      </c>
      <c r="B136" s="107"/>
      <c r="C136" s="116" t="s">
        <v>44</v>
      </c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09"/>
      <c r="P136" s="109"/>
      <c r="Q136" s="107"/>
      <c r="R136" s="107"/>
      <c r="S136" s="107"/>
      <c r="T136" s="107"/>
      <c r="U136" s="107"/>
      <c r="V136" s="107"/>
      <c r="W136" s="110"/>
      <c r="X136" s="1"/>
    </row>
    <row r="137" spans="1:24" ht="24.95" customHeight="1" x14ac:dyDescent="0.25">
      <c r="A137" s="113" t="s">
        <v>8</v>
      </c>
      <c r="B137" s="114" t="s">
        <v>9</v>
      </c>
      <c r="C137" s="114" t="s">
        <v>10</v>
      </c>
      <c r="D137" s="114" t="s">
        <v>11</v>
      </c>
      <c r="E137" s="114" t="s">
        <v>12</v>
      </c>
      <c r="F137" s="114" t="s">
        <v>13</v>
      </c>
      <c r="G137" s="114" t="s">
        <v>14</v>
      </c>
      <c r="H137" s="114"/>
      <c r="I137" s="114"/>
      <c r="J137" s="114"/>
      <c r="K137" s="114"/>
      <c r="L137" s="114"/>
      <c r="M137" s="114" t="s">
        <v>15</v>
      </c>
      <c r="N137" s="114" t="s">
        <v>16</v>
      </c>
      <c r="O137" s="114" t="s">
        <v>17</v>
      </c>
      <c r="P137" s="114" t="s">
        <v>18</v>
      </c>
      <c r="Q137" s="114" t="s">
        <v>19</v>
      </c>
      <c r="R137" s="114"/>
      <c r="S137" s="114"/>
      <c r="T137" s="114"/>
      <c r="U137" s="114"/>
      <c r="V137" s="114"/>
      <c r="W137" s="115" t="s">
        <v>20</v>
      </c>
      <c r="X137" s="3"/>
    </row>
    <row r="138" spans="1:24" ht="24.95" customHeight="1" x14ac:dyDescent="0.25">
      <c r="A138" s="113"/>
      <c r="B138" s="114"/>
      <c r="C138" s="114"/>
      <c r="D138" s="114"/>
      <c r="E138" s="114"/>
      <c r="F138" s="114"/>
      <c r="G138" s="31" t="s">
        <v>21</v>
      </c>
      <c r="H138" s="31" t="s">
        <v>21</v>
      </c>
      <c r="I138" s="31" t="s">
        <v>21</v>
      </c>
      <c r="J138" s="31" t="s">
        <v>22</v>
      </c>
      <c r="K138" s="31" t="s">
        <v>22</v>
      </c>
      <c r="L138" s="31" t="s">
        <v>22</v>
      </c>
      <c r="M138" s="114"/>
      <c r="N138" s="114"/>
      <c r="O138" s="114"/>
      <c r="P138" s="114"/>
      <c r="Q138" s="31" t="s">
        <v>21</v>
      </c>
      <c r="R138" s="31" t="s">
        <v>21</v>
      </c>
      <c r="S138" s="31" t="s">
        <v>21</v>
      </c>
      <c r="T138" s="31" t="s">
        <v>22</v>
      </c>
      <c r="U138" s="31" t="s">
        <v>22</v>
      </c>
      <c r="V138" s="31" t="s">
        <v>22</v>
      </c>
      <c r="W138" s="115"/>
      <c r="X138" s="3"/>
    </row>
    <row r="139" spans="1:24" ht="14.25" customHeight="1" x14ac:dyDescent="0.25">
      <c r="A139" s="5">
        <v>1</v>
      </c>
      <c r="B139" s="21" t="s">
        <v>231</v>
      </c>
      <c r="C139" s="13">
        <v>45738</v>
      </c>
      <c r="D139" s="8" t="s">
        <v>428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</row>
    <row r="140" spans="1:24" ht="16.5" customHeight="1" x14ac:dyDescent="0.25">
      <c r="A140" s="5">
        <v>2</v>
      </c>
      <c r="B140" s="21" t="s">
        <v>232</v>
      </c>
      <c r="C140" s="13">
        <v>45851</v>
      </c>
      <c r="D140" s="20">
        <v>45925</v>
      </c>
      <c r="E140" s="21">
        <v>4</v>
      </c>
      <c r="F140" s="21">
        <v>0</v>
      </c>
      <c r="G140" s="21">
        <v>71</v>
      </c>
      <c r="H140" s="21">
        <v>83</v>
      </c>
      <c r="I140" s="21"/>
      <c r="J140" s="21">
        <v>82</v>
      </c>
      <c r="K140" s="21">
        <v>74</v>
      </c>
      <c r="L140" s="21"/>
      <c r="M140" s="21">
        <f>AVERAGE(G140:L140)</f>
        <v>77.5</v>
      </c>
      <c r="N140" s="20">
        <v>45944</v>
      </c>
      <c r="O140" s="21">
        <v>0</v>
      </c>
      <c r="P140" s="21"/>
      <c r="Q140" s="21"/>
      <c r="R140" s="21"/>
      <c r="S140" s="21"/>
      <c r="T140" s="21"/>
      <c r="U140" s="21"/>
      <c r="V140" s="21"/>
      <c r="W140" s="22"/>
    </row>
    <row r="141" spans="1:24" ht="15.75" customHeight="1" x14ac:dyDescent="0.25">
      <c r="A141" s="5">
        <v>3</v>
      </c>
      <c r="B141" s="21" t="s">
        <v>24</v>
      </c>
      <c r="C141" s="13">
        <v>45950</v>
      </c>
      <c r="D141" s="20">
        <v>46025</v>
      </c>
      <c r="E141" s="21">
        <v>3</v>
      </c>
      <c r="F141" s="21">
        <v>0</v>
      </c>
      <c r="G141" s="21">
        <v>125</v>
      </c>
      <c r="H141" s="21">
        <v>128</v>
      </c>
      <c r="I141" s="21"/>
      <c r="J141" s="21">
        <v>131</v>
      </c>
      <c r="K141" s="21"/>
      <c r="L141" s="21"/>
      <c r="M141" s="21">
        <f>AVERAGE(G141:L141)</f>
        <v>128</v>
      </c>
      <c r="N141" s="20">
        <v>46039</v>
      </c>
      <c r="O141" s="21">
        <v>3</v>
      </c>
      <c r="P141" s="21">
        <v>0</v>
      </c>
      <c r="Q141" s="21">
        <v>200</v>
      </c>
      <c r="R141" s="21">
        <v>199</v>
      </c>
      <c r="S141" s="21"/>
      <c r="T141" s="21">
        <v>200</v>
      </c>
      <c r="U141" s="21"/>
      <c r="V141" s="21"/>
      <c r="W141" s="40">
        <f>AVERAGE(Q141:V141)</f>
        <v>199.66666666666666</v>
      </c>
    </row>
    <row r="142" spans="1:24" ht="15" customHeight="1" x14ac:dyDescent="0.25">
      <c r="A142" s="5">
        <v>4</v>
      </c>
      <c r="B142" s="21" t="s">
        <v>24</v>
      </c>
      <c r="C142" s="13">
        <v>46070</v>
      </c>
      <c r="D142" s="21" t="s">
        <v>428</v>
      </c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2"/>
    </row>
    <row r="143" spans="1:24" ht="17.25" customHeight="1" x14ac:dyDescent="0.25">
      <c r="A143" s="5">
        <v>5</v>
      </c>
      <c r="B143" s="21"/>
      <c r="C143" s="8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2"/>
    </row>
    <row r="144" spans="1:24" ht="15.75" customHeight="1" thickBot="1" x14ac:dyDescent="0.3">
      <c r="A144" s="7">
        <v>6</v>
      </c>
      <c r="B144" s="37"/>
      <c r="C144" s="10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9"/>
    </row>
    <row r="145" spans="1:24" ht="20.100000000000001" customHeight="1" x14ac:dyDescent="0.25"/>
    <row r="146" spans="1:24" ht="20.100000000000001" customHeight="1" thickBot="1" x14ac:dyDescent="0.3"/>
    <row r="147" spans="1:24" ht="20.100000000000001" customHeight="1" x14ac:dyDescent="0.25">
      <c r="A147" s="100" t="s">
        <v>2</v>
      </c>
      <c r="B147" s="101"/>
      <c r="C147" s="180" t="s">
        <v>60</v>
      </c>
      <c r="D147" s="181"/>
      <c r="E147" s="111" t="s">
        <v>381</v>
      </c>
      <c r="F147" s="112"/>
      <c r="G147" s="101" t="s">
        <v>4</v>
      </c>
      <c r="H147" s="101"/>
      <c r="I147" s="102" t="s">
        <v>5</v>
      </c>
      <c r="J147" s="102"/>
      <c r="K147" s="102"/>
      <c r="L147" s="102"/>
      <c r="M147" s="102"/>
      <c r="N147" s="102"/>
      <c r="O147" s="101" t="s">
        <v>6</v>
      </c>
      <c r="P147" s="101"/>
      <c r="Q147" s="103"/>
      <c r="R147" s="104"/>
      <c r="S147" s="104"/>
      <c r="T147" s="104"/>
      <c r="U147" s="104"/>
      <c r="V147" s="104"/>
      <c r="W147" s="105"/>
      <c r="X147" s="1"/>
    </row>
    <row r="148" spans="1:24" ht="20.100000000000001" customHeight="1" x14ac:dyDescent="0.25">
      <c r="A148" s="106" t="s">
        <v>7</v>
      </c>
      <c r="B148" s="107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7"/>
      <c r="R148" s="107"/>
      <c r="S148" s="107"/>
      <c r="T148" s="107"/>
      <c r="U148" s="107"/>
      <c r="V148" s="107"/>
      <c r="W148" s="110"/>
      <c r="X148" s="1"/>
    </row>
    <row r="149" spans="1:24" ht="24.95" customHeight="1" x14ac:dyDescent="0.25">
      <c r="A149" s="113" t="s">
        <v>8</v>
      </c>
      <c r="B149" s="114" t="s">
        <v>9</v>
      </c>
      <c r="C149" s="114" t="s">
        <v>10</v>
      </c>
      <c r="D149" s="114" t="s">
        <v>11</v>
      </c>
      <c r="E149" s="114" t="s">
        <v>12</v>
      </c>
      <c r="F149" s="114" t="s">
        <v>13</v>
      </c>
      <c r="G149" s="114" t="s">
        <v>14</v>
      </c>
      <c r="H149" s="114"/>
      <c r="I149" s="114"/>
      <c r="J149" s="114"/>
      <c r="K149" s="114"/>
      <c r="L149" s="114"/>
      <c r="M149" s="114" t="s">
        <v>15</v>
      </c>
      <c r="N149" s="114" t="s">
        <v>16</v>
      </c>
      <c r="O149" s="114" t="s">
        <v>17</v>
      </c>
      <c r="P149" s="114" t="s">
        <v>18</v>
      </c>
      <c r="Q149" s="114" t="s">
        <v>19</v>
      </c>
      <c r="R149" s="114"/>
      <c r="S149" s="114"/>
      <c r="T149" s="114"/>
      <c r="U149" s="114"/>
      <c r="V149" s="114"/>
      <c r="W149" s="115" t="s">
        <v>20</v>
      </c>
      <c r="X149" s="3"/>
    </row>
    <row r="150" spans="1:24" ht="24.95" customHeight="1" x14ac:dyDescent="0.25">
      <c r="A150" s="113"/>
      <c r="B150" s="114"/>
      <c r="C150" s="114"/>
      <c r="D150" s="114"/>
      <c r="E150" s="114"/>
      <c r="F150" s="114"/>
      <c r="G150" s="31" t="s">
        <v>21</v>
      </c>
      <c r="H150" s="31" t="s">
        <v>21</v>
      </c>
      <c r="I150" s="31" t="s">
        <v>21</v>
      </c>
      <c r="J150" s="31" t="s">
        <v>22</v>
      </c>
      <c r="K150" s="31" t="s">
        <v>22</v>
      </c>
      <c r="L150" s="31" t="s">
        <v>22</v>
      </c>
      <c r="M150" s="114"/>
      <c r="N150" s="114"/>
      <c r="O150" s="114"/>
      <c r="P150" s="114"/>
      <c r="Q150" s="31" t="s">
        <v>21</v>
      </c>
      <c r="R150" s="31" t="s">
        <v>21</v>
      </c>
      <c r="S150" s="31" t="s">
        <v>21</v>
      </c>
      <c r="T150" s="31" t="s">
        <v>22</v>
      </c>
      <c r="U150" s="31" t="s">
        <v>22</v>
      </c>
      <c r="V150" s="31" t="s">
        <v>22</v>
      </c>
      <c r="W150" s="115"/>
      <c r="X150" s="3"/>
    </row>
    <row r="151" spans="1:24" ht="16.5" customHeight="1" x14ac:dyDescent="0.25">
      <c r="A151" s="5">
        <v>1</v>
      </c>
      <c r="B151" s="21" t="s">
        <v>231</v>
      </c>
      <c r="C151" s="13">
        <v>45738</v>
      </c>
      <c r="D151" s="20">
        <v>45809</v>
      </c>
      <c r="E151" s="21">
        <v>2</v>
      </c>
      <c r="F151" s="21">
        <v>0</v>
      </c>
      <c r="G151" s="21">
        <v>168</v>
      </c>
      <c r="H151" s="21"/>
      <c r="I151" s="21"/>
      <c r="J151" s="21">
        <v>142</v>
      </c>
      <c r="K151" s="21"/>
      <c r="L151" s="21"/>
      <c r="M151" s="21">
        <f>AVERAGE(G151,J151)</f>
        <v>155</v>
      </c>
      <c r="N151" s="20">
        <v>45833</v>
      </c>
      <c r="O151" s="21">
        <v>2</v>
      </c>
      <c r="P151" s="21">
        <v>0</v>
      </c>
      <c r="Q151" s="21">
        <v>415</v>
      </c>
      <c r="R151" s="21"/>
      <c r="S151" s="21"/>
      <c r="T151" s="21">
        <v>392</v>
      </c>
      <c r="U151" s="21"/>
      <c r="V151" s="21"/>
      <c r="W151" s="22">
        <f>AVERAGE(Q151,T151)</f>
        <v>403.5</v>
      </c>
    </row>
    <row r="152" spans="1:24" ht="15" customHeight="1" x14ac:dyDescent="0.25">
      <c r="A152" s="5">
        <v>2</v>
      </c>
      <c r="B152" s="21" t="s">
        <v>29</v>
      </c>
      <c r="C152" s="13">
        <v>45884</v>
      </c>
      <c r="D152" s="20">
        <v>45957</v>
      </c>
      <c r="E152" s="21">
        <v>3</v>
      </c>
      <c r="F152" s="21">
        <v>0</v>
      </c>
      <c r="G152" s="21"/>
      <c r="H152" s="21"/>
      <c r="I152" s="21"/>
      <c r="J152" s="21">
        <v>74</v>
      </c>
      <c r="K152" s="21">
        <v>79</v>
      </c>
      <c r="L152" s="21">
        <v>60</v>
      </c>
      <c r="M152" s="21">
        <f>AVERAGE(G152:L152)</f>
        <v>71</v>
      </c>
      <c r="N152" s="20">
        <v>45973</v>
      </c>
      <c r="O152" s="21">
        <v>3</v>
      </c>
      <c r="P152" s="21">
        <v>0</v>
      </c>
      <c r="Q152" s="21"/>
      <c r="R152" s="21"/>
      <c r="S152" s="21"/>
      <c r="T152" s="21">
        <v>170</v>
      </c>
      <c r="U152" s="21">
        <v>172</v>
      </c>
      <c r="V152" s="21">
        <v>161</v>
      </c>
      <c r="W152" s="40">
        <f>AVERAGE(Q152:V152)</f>
        <v>167.66666666666666</v>
      </c>
    </row>
    <row r="153" spans="1:24" ht="15.75" customHeight="1" x14ac:dyDescent="0.25">
      <c r="A153" s="5">
        <v>3</v>
      </c>
      <c r="B153" s="21" t="s">
        <v>232</v>
      </c>
      <c r="C153" s="13">
        <v>46039</v>
      </c>
      <c r="D153" s="20">
        <v>46107</v>
      </c>
      <c r="E153" s="21">
        <v>4</v>
      </c>
      <c r="F153" s="21">
        <v>0</v>
      </c>
      <c r="G153" s="21">
        <v>140</v>
      </c>
      <c r="H153" s="21"/>
      <c r="I153" s="21"/>
      <c r="J153" s="21">
        <v>156</v>
      </c>
      <c r="K153" s="21">
        <v>133</v>
      </c>
      <c r="L153" s="21">
        <v>163</v>
      </c>
      <c r="M153" s="21">
        <f>AVERAGE(G153:L153)</f>
        <v>148</v>
      </c>
      <c r="N153" s="20">
        <v>46133</v>
      </c>
      <c r="O153" s="21">
        <v>4</v>
      </c>
      <c r="P153" s="21">
        <v>0</v>
      </c>
      <c r="Q153" s="21">
        <v>225</v>
      </c>
      <c r="R153" s="21"/>
      <c r="S153" s="21"/>
      <c r="T153" s="21">
        <v>283</v>
      </c>
      <c r="U153" s="21">
        <v>253</v>
      </c>
      <c r="V153" s="21">
        <v>415</v>
      </c>
      <c r="W153" s="22">
        <f>AVERAGE(Q153:V153)</f>
        <v>294</v>
      </c>
    </row>
    <row r="154" spans="1:24" ht="16.5" customHeight="1" x14ac:dyDescent="0.25">
      <c r="A154" s="5">
        <v>4</v>
      </c>
      <c r="B154" s="21" t="s">
        <v>232</v>
      </c>
      <c r="C154" s="13">
        <v>46148</v>
      </c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2"/>
    </row>
    <row r="155" spans="1:24" ht="15.75" customHeight="1" x14ac:dyDescent="0.25">
      <c r="A155" s="5">
        <v>5</v>
      </c>
      <c r="B155" s="21"/>
      <c r="C155" s="8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2"/>
    </row>
    <row r="156" spans="1:24" ht="15.75" customHeight="1" thickBot="1" x14ac:dyDescent="0.3">
      <c r="A156" s="7">
        <v>6</v>
      </c>
      <c r="B156" s="37"/>
      <c r="C156" s="10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9"/>
    </row>
    <row r="157" spans="1:24" ht="20.100000000000001" customHeight="1" x14ac:dyDescent="0.25"/>
    <row r="158" spans="1:24" ht="20.100000000000001" customHeight="1" thickBot="1" x14ac:dyDescent="0.3"/>
    <row r="159" spans="1:24" ht="20.100000000000001" customHeight="1" x14ac:dyDescent="0.25">
      <c r="A159" s="100" t="s">
        <v>2</v>
      </c>
      <c r="B159" s="101"/>
      <c r="C159" s="180" t="s">
        <v>61</v>
      </c>
      <c r="D159" s="181"/>
      <c r="E159" s="111" t="s">
        <v>382</v>
      </c>
      <c r="F159" s="112"/>
      <c r="G159" s="101" t="s">
        <v>4</v>
      </c>
      <c r="H159" s="101"/>
      <c r="I159" s="102" t="s">
        <v>5</v>
      </c>
      <c r="J159" s="102"/>
      <c r="K159" s="102"/>
      <c r="L159" s="102"/>
      <c r="M159" s="102"/>
      <c r="N159" s="102"/>
      <c r="O159" s="101" t="s">
        <v>6</v>
      </c>
      <c r="P159" s="101"/>
      <c r="Q159" s="103"/>
      <c r="R159" s="104"/>
      <c r="S159" s="104"/>
      <c r="T159" s="104"/>
      <c r="U159" s="104"/>
      <c r="V159" s="104"/>
      <c r="W159" s="105"/>
      <c r="X159" s="1"/>
    </row>
    <row r="160" spans="1:24" ht="20.100000000000001" customHeight="1" x14ac:dyDescent="0.25">
      <c r="A160" s="106" t="s">
        <v>7</v>
      </c>
      <c r="B160" s="107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7"/>
      <c r="R160" s="107"/>
      <c r="S160" s="107"/>
      <c r="T160" s="107"/>
      <c r="U160" s="107"/>
      <c r="V160" s="107"/>
      <c r="W160" s="110"/>
      <c r="X160" s="1"/>
    </row>
    <row r="161" spans="1:24" ht="24.95" customHeight="1" x14ac:dyDescent="0.25">
      <c r="A161" s="113" t="s">
        <v>8</v>
      </c>
      <c r="B161" s="114" t="s">
        <v>9</v>
      </c>
      <c r="C161" s="114" t="s">
        <v>10</v>
      </c>
      <c r="D161" s="114" t="s">
        <v>11</v>
      </c>
      <c r="E161" s="114" t="s">
        <v>12</v>
      </c>
      <c r="F161" s="114" t="s">
        <v>13</v>
      </c>
      <c r="G161" s="114" t="s">
        <v>14</v>
      </c>
      <c r="H161" s="114"/>
      <c r="I161" s="114"/>
      <c r="J161" s="114"/>
      <c r="K161" s="114"/>
      <c r="L161" s="114"/>
      <c r="M161" s="114" t="s">
        <v>15</v>
      </c>
      <c r="N161" s="114" t="s">
        <v>16</v>
      </c>
      <c r="O161" s="114" t="s">
        <v>17</v>
      </c>
      <c r="P161" s="114" t="s">
        <v>18</v>
      </c>
      <c r="Q161" s="114" t="s">
        <v>19</v>
      </c>
      <c r="R161" s="114"/>
      <c r="S161" s="114"/>
      <c r="T161" s="114"/>
      <c r="U161" s="114"/>
      <c r="V161" s="114"/>
      <c r="W161" s="115" t="s">
        <v>20</v>
      </c>
      <c r="X161" s="3"/>
    </row>
    <row r="162" spans="1:24" ht="24.95" customHeight="1" x14ac:dyDescent="0.25">
      <c r="A162" s="113"/>
      <c r="B162" s="114"/>
      <c r="C162" s="114"/>
      <c r="D162" s="114"/>
      <c r="E162" s="114"/>
      <c r="F162" s="114"/>
      <c r="G162" s="31" t="s">
        <v>21</v>
      </c>
      <c r="H162" s="31" t="s">
        <v>21</v>
      </c>
      <c r="I162" s="31" t="s">
        <v>21</v>
      </c>
      <c r="J162" s="31" t="s">
        <v>22</v>
      </c>
      <c r="K162" s="31" t="s">
        <v>22</v>
      </c>
      <c r="L162" s="31" t="s">
        <v>22</v>
      </c>
      <c r="M162" s="114"/>
      <c r="N162" s="114"/>
      <c r="O162" s="114"/>
      <c r="P162" s="114"/>
      <c r="Q162" s="31" t="s">
        <v>21</v>
      </c>
      <c r="R162" s="31" t="s">
        <v>21</v>
      </c>
      <c r="S162" s="31" t="s">
        <v>21</v>
      </c>
      <c r="T162" s="31" t="s">
        <v>22</v>
      </c>
      <c r="U162" s="31" t="s">
        <v>22</v>
      </c>
      <c r="V162" s="31" t="s">
        <v>22</v>
      </c>
      <c r="W162" s="115"/>
      <c r="X162" s="3"/>
    </row>
    <row r="163" spans="1:24" ht="15" customHeight="1" x14ac:dyDescent="0.25">
      <c r="A163" s="5">
        <v>1</v>
      </c>
      <c r="B163" s="21" t="s">
        <v>232</v>
      </c>
      <c r="C163" s="13">
        <v>45738</v>
      </c>
      <c r="D163" s="20">
        <v>45827</v>
      </c>
      <c r="E163" s="21">
        <v>2</v>
      </c>
      <c r="F163" s="21"/>
      <c r="G163" s="21">
        <v>167</v>
      </c>
      <c r="H163" s="21">
        <v>194</v>
      </c>
      <c r="I163" s="21"/>
      <c r="J163" s="21"/>
      <c r="K163" s="21"/>
      <c r="L163" s="21"/>
      <c r="M163" s="80">
        <f>AVERAGE(G163:L163)</f>
        <v>180.5</v>
      </c>
      <c r="N163" s="20">
        <v>45848</v>
      </c>
      <c r="O163" s="21">
        <v>2</v>
      </c>
      <c r="P163" s="21">
        <v>0</v>
      </c>
      <c r="Q163" s="21">
        <v>435</v>
      </c>
      <c r="R163" s="21">
        <v>351</v>
      </c>
      <c r="S163" s="21"/>
      <c r="T163" s="21"/>
      <c r="U163" s="21"/>
      <c r="V163" s="21"/>
      <c r="W163" s="22">
        <f>AVERAGE(Q163:V163)</f>
        <v>393</v>
      </c>
    </row>
    <row r="164" spans="1:24" ht="14.25" customHeight="1" x14ac:dyDescent="0.25">
      <c r="A164" s="6">
        <v>2</v>
      </c>
      <c r="B164" s="21" t="s">
        <v>231</v>
      </c>
      <c r="C164" s="13">
        <v>45851</v>
      </c>
      <c r="D164" s="20">
        <v>45925</v>
      </c>
      <c r="E164" s="21">
        <v>3</v>
      </c>
      <c r="F164" s="21">
        <v>0</v>
      </c>
      <c r="G164" s="21">
        <v>138</v>
      </c>
      <c r="H164" s="21">
        <v>140</v>
      </c>
      <c r="I164" s="21">
        <v>141</v>
      </c>
      <c r="J164" s="21"/>
      <c r="K164" s="21"/>
      <c r="L164" s="21"/>
      <c r="M164" s="80">
        <f>AVERAGE(G164:L164)</f>
        <v>139.66666666666666</v>
      </c>
      <c r="N164" s="21"/>
      <c r="O164" s="21">
        <v>0</v>
      </c>
      <c r="P164" s="21"/>
      <c r="Q164" s="21"/>
      <c r="R164" s="21"/>
      <c r="S164" s="21"/>
      <c r="T164" s="21"/>
      <c r="U164" s="21"/>
      <c r="V164" s="21"/>
      <c r="W164" s="22"/>
    </row>
    <row r="165" spans="1:24" ht="16.5" customHeight="1" x14ac:dyDescent="0.25">
      <c r="A165" s="6">
        <v>3</v>
      </c>
      <c r="B165" s="21" t="s">
        <v>23</v>
      </c>
      <c r="C165" s="13">
        <v>45950</v>
      </c>
      <c r="D165" s="20">
        <v>46033</v>
      </c>
      <c r="E165" s="21">
        <v>2</v>
      </c>
      <c r="F165" s="21">
        <v>1</v>
      </c>
      <c r="G165" s="21">
        <v>130</v>
      </c>
      <c r="H165" s="21"/>
      <c r="I165" s="21"/>
      <c r="J165" s="21"/>
      <c r="K165" s="21"/>
      <c r="L165" s="21"/>
      <c r="M165" s="41">
        <v>130</v>
      </c>
      <c r="N165" s="20">
        <v>46055</v>
      </c>
      <c r="O165" s="21">
        <v>1</v>
      </c>
      <c r="P165" s="21">
        <v>0</v>
      </c>
      <c r="Q165" s="21">
        <v>225</v>
      </c>
      <c r="R165" s="21"/>
      <c r="S165" s="21"/>
      <c r="T165" s="21"/>
      <c r="U165" s="21"/>
      <c r="V165" s="21"/>
      <c r="W165" s="22">
        <v>225</v>
      </c>
    </row>
    <row r="166" spans="1:24" ht="14.25" customHeight="1" x14ac:dyDescent="0.25">
      <c r="A166" s="5">
        <v>4</v>
      </c>
      <c r="B166" s="21" t="s">
        <v>23</v>
      </c>
      <c r="C166" s="13">
        <v>46070</v>
      </c>
      <c r="D166" s="20">
        <v>46147</v>
      </c>
      <c r="E166" s="21">
        <v>4</v>
      </c>
      <c r="F166" s="21">
        <v>0</v>
      </c>
      <c r="G166" s="21">
        <v>115</v>
      </c>
      <c r="H166" s="21">
        <v>117</v>
      </c>
      <c r="I166" s="21"/>
      <c r="J166" s="21">
        <v>119</v>
      </c>
      <c r="K166" s="21">
        <v>120</v>
      </c>
      <c r="L166" s="21"/>
      <c r="M166" s="80">
        <f>AVERAGE(G166:L166)</f>
        <v>117.75</v>
      </c>
      <c r="N166" s="20">
        <v>46176</v>
      </c>
      <c r="O166" s="21">
        <v>4</v>
      </c>
      <c r="P166" s="21">
        <v>0</v>
      </c>
      <c r="Q166" s="21">
        <v>258</v>
      </c>
      <c r="R166" s="21">
        <v>252</v>
      </c>
      <c r="S166" s="21"/>
      <c r="T166" s="21">
        <v>260</v>
      </c>
      <c r="U166" s="21">
        <v>268</v>
      </c>
      <c r="V166" s="21"/>
      <c r="W166" s="68">
        <f>AVERAGE(Q166:V166)</f>
        <v>259.5</v>
      </c>
    </row>
    <row r="167" spans="1:24" ht="15.75" customHeight="1" x14ac:dyDescent="0.25">
      <c r="A167" s="5">
        <v>5</v>
      </c>
      <c r="B167" s="21" t="s">
        <v>23</v>
      </c>
      <c r="C167" s="13">
        <v>46181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41"/>
      <c r="N167" s="21"/>
      <c r="O167" s="21"/>
      <c r="P167" s="21"/>
      <c r="Q167" s="21"/>
      <c r="R167" s="21"/>
      <c r="S167" s="21"/>
      <c r="T167" s="21"/>
      <c r="U167" s="21"/>
      <c r="V167" s="21"/>
      <c r="W167" s="22"/>
    </row>
    <row r="168" spans="1:24" ht="15" customHeight="1" thickBot="1" x14ac:dyDescent="0.3">
      <c r="A168" s="7">
        <v>6</v>
      </c>
      <c r="B168" s="37"/>
      <c r="C168" s="10"/>
      <c r="D168" s="37"/>
      <c r="E168" s="37"/>
      <c r="F168" s="37"/>
      <c r="G168" s="37"/>
      <c r="H168" s="37"/>
      <c r="I168" s="37"/>
      <c r="J168" s="37"/>
      <c r="K168" s="37"/>
      <c r="L168" s="37"/>
      <c r="M168" s="42"/>
      <c r="N168" s="37"/>
      <c r="O168" s="37"/>
      <c r="P168" s="37"/>
      <c r="Q168" s="37"/>
      <c r="R168" s="37"/>
      <c r="S168" s="37"/>
      <c r="T168" s="37"/>
      <c r="U168" s="37"/>
      <c r="V168" s="37"/>
      <c r="W168" s="39"/>
    </row>
    <row r="169" spans="1:24" ht="20.100000000000001" customHeight="1" x14ac:dyDescent="0.25"/>
    <row r="170" spans="1:24" ht="20.100000000000001" customHeight="1" thickBot="1" x14ac:dyDescent="0.3"/>
    <row r="171" spans="1:24" ht="20.100000000000001" customHeight="1" x14ac:dyDescent="0.25">
      <c r="A171" s="100" t="s">
        <v>2</v>
      </c>
      <c r="B171" s="101"/>
      <c r="C171" s="178" t="s">
        <v>62</v>
      </c>
      <c r="D171" s="179"/>
      <c r="E171" s="111" t="s">
        <v>383</v>
      </c>
      <c r="F171" s="112"/>
      <c r="G171" s="101" t="s">
        <v>4</v>
      </c>
      <c r="H171" s="101"/>
      <c r="I171" s="102" t="s">
        <v>5</v>
      </c>
      <c r="J171" s="102"/>
      <c r="K171" s="102"/>
      <c r="L171" s="102"/>
      <c r="M171" s="102"/>
      <c r="N171" s="102"/>
      <c r="O171" s="101" t="s">
        <v>6</v>
      </c>
      <c r="P171" s="101"/>
      <c r="Q171" s="103"/>
      <c r="R171" s="104"/>
      <c r="S171" s="104"/>
      <c r="T171" s="104"/>
      <c r="U171" s="104"/>
      <c r="V171" s="104"/>
      <c r="W171" s="105"/>
      <c r="X171" s="1"/>
    </row>
    <row r="172" spans="1:24" ht="20.100000000000001" customHeight="1" x14ac:dyDescent="0.25">
      <c r="A172" s="106" t="s">
        <v>7</v>
      </c>
      <c r="B172" s="107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7"/>
      <c r="R172" s="107"/>
      <c r="S172" s="107"/>
      <c r="T172" s="107"/>
      <c r="U172" s="107"/>
      <c r="V172" s="107"/>
      <c r="W172" s="110"/>
      <c r="X172" s="1"/>
    </row>
    <row r="173" spans="1:24" ht="24.95" customHeight="1" x14ac:dyDescent="0.25">
      <c r="A173" s="113" t="s">
        <v>8</v>
      </c>
      <c r="B173" s="114" t="s">
        <v>9</v>
      </c>
      <c r="C173" s="114" t="s">
        <v>10</v>
      </c>
      <c r="D173" s="114" t="s">
        <v>11</v>
      </c>
      <c r="E173" s="114" t="s">
        <v>12</v>
      </c>
      <c r="F173" s="114" t="s">
        <v>13</v>
      </c>
      <c r="G173" s="114" t="s">
        <v>14</v>
      </c>
      <c r="H173" s="114"/>
      <c r="I173" s="114"/>
      <c r="J173" s="114"/>
      <c r="K173" s="114"/>
      <c r="L173" s="114"/>
      <c r="M173" s="114" t="s">
        <v>15</v>
      </c>
      <c r="N173" s="114" t="s">
        <v>16</v>
      </c>
      <c r="O173" s="114" t="s">
        <v>17</v>
      </c>
      <c r="P173" s="114" t="s">
        <v>18</v>
      </c>
      <c r="Q173" s="114" t="s">
        <v>19</v>
      </c>
      <c r="R173" s="114"/>
      <c r="S173" s="114"/>
      <c r="T173" s="114"/>
      <c r="U173" s="114"/>
      <c r="V173" s="114"/>
      <c r="W173" s="115" t="s">
        <v>20</v>
      </c>
      <c r="X173" s="3"/>
    </row>
    <row r="174" spans="1:24" ht="24.95" customHeight="1" x14ac:dyDescent="0.25">
      <c r="A174" s="113"/>
      <c r="B174" s="114"/>
      <c r="C174" s="114"/>
      <c r="D174" s="114"/>
      <c r="E174" s="114"/>
      <c r="F174" s="114"/>
      <c r="G174" s="31" t="s">
        <v>21</v>
      </c>
      <c r="H174" s="31" t="s">
        <v>21</v>
      </c>
      <c r="I174" s="31" t="s">
        <v>21</v>
      </c>
      <c r="J174" s="31" t="s">
        <v>22</v>
      </c>
      <c r="K174" s="31" t="s">
        <v>22</v>
      </c>
      <c r="L174" s="31" t="s">
        <v>22</v>
      </c>
      <c r="M174" s="114"/>
      <c r="N174" s="114"/>
      <c r="O174" s="114"/>
      <c r="P174" s="114"/>
      <c r="Q174" s="31" t="s">
        <v>21</v>
      </c>
      <c r="R174" s="31" t="s">
        <v>21</v>
      </c>
      <c r="S174" s="31" t="s">
        <v>21</v>
      </c>
      <c r="T174" s="31" t="s">
        <v>22</v>
      </c>
      <c r="U174" s="31" t="s">
        <v>22</v>
      </c>
      <c r="V174" s="31" t="s">
        <v>22</v>
      </c>
      <c r="W174" s="115"/>
      <c r="X174" s="3"/>
    </row>
    <row r="175" spans="1:24" ht="16.5" customHeight="1" x14ac:dyDescent="0.25">
      <c r="A175" s="5">
        <v>1</v>
      </c>
      <c r="B175" s="21" t="s">
        <v>29</v>
      </c>
      <c r="C175" s="13">
        <v>45738</v>
      </c>
      <c r="D175" s="20">
        <v>45804</v>
      </c>
      <c r="E175" s="21">
        <v>2</v>
      </c>
      <c r="F175" s="21">
        <v>0</v>
      </c>
      <c r="G175" s="21">
        <v>108</v>
      </c>
      <c r="H175" s="21"/>
      <c r="I175" s="21"/>
      <c r="J175" s="21">
        <v>91</v>
      </c>
      <c r="K175" s="21"/>
      <c r="L175" s="21"/>
      <c r="M175" s="21">
        <f>AVERAGE(G175,J175)</f>
        <v>99.5</v>
      </c>
      <c r="N175" s="20">
        <v>45820</v>
      </c>
      <c r="O175" s="21">
        <v>1</v>
      </c>
      <c r="P175" s="21">
        <v>1</v>
      </c>
      <c r="Q175" s="21"/>
      <c r="R175" s="21"/>
      <c r="S175" s="21"/>
      <c r="T175" s="21">
        <v>331</v>
      </c>
      <c r="U175" s="21"/>
      <c r="V175" s="21"/>
      <c r="W175" s="22">
        <v>331</v>
      </c>
    </row>
    <row r="176" spans="1:24" ht="15" customHeight="1" x14ac:dyDescent="0.25">
      <c r="A176" s="5">
        <v>2</v>
      </c>
      <c r="B176" s="21" t="s">
        <v>27</v>
      </c>
      <c r="C176" s="13">
        <v>45851</v>
      </c>
      <c r="D176" s="21" t="s">
        <v>428</v>
      </c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2"/>
    </row>
    <row r="177" spans="1:24" ht="14.25" customHeight="1" x14ac:dyDescent="0.25">
      <c r="A177" s="5">
        <v>3</v>
      </c>
      <c r="B177" s="21" t="s">
        <v>24</v>
      </c>
      <c r="C177" s="13">
        <v>45924</v>
      </c>
      <c r="D177" s="20">
        <v>45956</v>
      </c>
      <c r="E177" s="21">
        <v>1</v>
      </c>
      <c r="F177" s="21">
        <v>0</v>
      </c>
      <c r="G177" s="21"/>
      <c r="H177" s="21"/>
      <c r="I177" s="21"/>
      <c r="J177" s="21">
        <v>203</v>
      </c>
      <c r="K177" s="21"/>
      <c r="L177" s="21"/>
      <c r="M177" s="21">
        <v>203</v>
      </c>
      <c r="N177" s="20">
        <v>45973</v>
      </c>
      <c r="O177" s="21">
        <v>1</v>
      </c>
      <c r="P177" s="21">
        <v>0</v>
      </c>
      <c r="Q177" s="21"/>
      <c r="R177" s="21"/>
      <c r="S177" s="21"/>
      <c r="T177" s="21">
        <v>446</v>
      </c>
      <c r="U177" s="21"/>
      <c r="V177" s="21"/>
      <c r="W177" s="22">
        <v>446</v>
      </c>
    </row>
    <row r="178" spans="1:24" ht="15.75" customHeight="1" x14ac:dyDescent="0.25">
      <c r="A178" s="5">
        <v>4</v>
      </c>
      <c r="B178" s="21" t="s">
        <v>24</v>
      </c>
      <c r="C178" s="13">
        <v>46039</v>
      </c>
      <c r="D178" s="20">
        <v>46117</v>
      </c>
      <c r="E178" s="21">
        <v>3</v>
      </c>
      <c r="F178" s="21">
        <v>1</v>
      </c>
      <c r="G178" s="21">
        <v>118</v>
      </c>
      <c r="H178" s="21"/>
      <c r="I178" s="21"/>
      <c r="J178" s="21">
        <v>125</v>
      </c>
      <c r="K178" s="21">
        <v>122</v>
      </c>
      <c r="L178" s="21"/>
      <c r="M178" s="41">
        <f>AVERAGE(G178:L178)</f>
        <v>121.66666666666667</v>
      </c>
      <c r="N178" s="20">
        <v>46139</v>
      </c>
      <c r="O178" s="21">
        <v>3</v>
      </c>
      <c r="P178" s="21">
        <v>0</v>
      </c>
      <c r="Q178" s="21">
        <v>274</v>
      </c>
      <c r="R178" s="21"/>
      <c r="S178" s="21"/>
      <c r="T178" s="21">
        <v>200</v>
      </c>
      <c r="U178" s="21">
        <v>199</v>
      </c>
      <c r="V178" s="21"/>
      <c r="W178" s="40">
        <f>AVERAGE(Q178:V178)</f>
        <v>224.33333333333334</v>
      </c>
    </row>
    <row r="179" spans="1:24" ht="18" customHeight="1" x14ac:dyDescent="0.25">
      <c r="A179" s="5">
        <v>5</v>
      </c>
      <c r="B179" s="21" t="s">
        <v>24</v>
      </c>
      <c r="C179" s="13">
        <v>46148</v>
      </c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2"/>
    </row>
    <row r="180" spans="1:24" ht="15" customHeight="1" thickBot="1" x14ac:dyDescent="0.3">
      <c r="A180" s="7">
        <v>6</v>
      </c>
      <c r="B180" s="37"/>
      <c r="C180" s="10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9"/>
    </row>
    <row r="181" spans="1:24" ht="20.100000000000001" customHeight="1" x14ac:dyDescent="0.25"/>
    <row r="182" spans="1:24" ht="20.100000000000001" customHeight="1" thickBot="1" x14ac:dyDescent="0.3"/>
    <row r="183" spans="1:24" ht="20.100000000000001" customHeight="1" x14ac:dyDescent="0.25">
      <c r="A183" s="100" t="s">
        <v>2</v>
      </c>
      <c r="B183" s="101"/>
      <c r="C183" s="111" t="s">
        <v>63</v>
      </c>
      <c r="D183" s="112"/>
      <c r="E183" s="111" t="s">
        <v>379</v>
      </c>
      <c r="F183" s="112"/>
      <c r="G183" s="101" t="s">
        <v>4</v>
      </c>
      <c r="H183" s="101"/>
      <c r="I183" s="102" t="s">
        <v>5</v>
      </c>
      <c r="J183" s="102"/>
      <c r="K183" s="102"/>
      <c r="L183" s="102"/>
      <c r="M183" s="102"/>
      <c r="N183" s="102"/>
      <c r="O183" s="101" t="s">
        <v>6</v>
      </c>
      <c r="P183" s="101"/>
      <c r="Q183" s="103"/>
      <c r="R183" s="104"/>
      <c r="S183" s="104"/>
      <c r="T183" s="104"/>
      <c r="U183" s="104"/>
      <c r="V183" s="104"/>
      <c r="W183" s="105"/>
      <c r="X183" s="1"/>
    </row>
    <row r="184" spans="1:24" ht="20.100000000000001" customHeight="1" x14ac:dyDescent="0.25">
      <c r="A184" s="106" t="s">
        <v>7</v>
      </c>
      <c r="B184" s="107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7"/>
      <c r="R184" s="107"/>
      <c r="S184" s="107"/>
      <c r="T184" s="107"/>
      <c r="U184" s="107"/>
      <c r="V184" s="107"/>
      <c r="W184" s="110"/>
      <c r="X184" s="1"/>
    </row>
    <row r="185" spans="1:24" ht="24.95" customHeight="1" x14ac:dyDescent="0.25">
      <c r="A185" s="113" t="s">
        <v>8</v>
      </c>
      <c r="B185" s="114" t="s">
        <v>9</v>
      </c>
      <c r="C185" s="114" t="s">
        <v>10</v>
      </c>
      <c r="D185" s="114" t="s">
        <v>11</v>
      </c>
      <c r="E185" s="114" t="s">
        <v>12</v>
      </c>
      <c r="F185" s="114" t="s">
        <v>13</v>
      </c>
      <c r="G185" s="114" t="s">
        <v>14</v>
      </c>
      <c r="H185" s="114"/>
      <c r="I185" s="114"/>
      <c r="J185" s="114"/>
      <c r="K185" s="114"/>
      <c r="L185" s="114"/>
      <c r="M185" s="114" t="s">
        <v>15</v>
      </c>
      <c r="N185" s="114" t="s">
        <v>16</v>
      </c>
      <c r="O185" s="114" t="s">
        <v>17</v>
      </c>
      <c r="P185" s="114" t="s">
        <v>18</v>
      </c>
      <c r="Q185" s="114" t="s">
        <v>19</v>
      </c>
      <c r="R185" s="114"/>
      <c r="S185" s="114"/>
      <c r="T185" s="114"/>
      <c r="U185" s="114"/>
      <c r="V185" s="114"/>
      <c r="W185" s="115" t="s">
        <v>20</v>
      </c>
      <c r="X185" s="3"/>
    </row>
    <row r="186" spans="1:24" ht="24.95" customHeight="1" x14ac:dyDescent="0.25">
      <c r="A186" s="113"/>
      <c r="B186" s="114"/>
      <c r="C186" s="114"/>
      <c r="D186" s="114"/>
      <c r="E186" s="114"/>
      <c r="F186" s="114"/>
      <c r="G186" s="31" t="s">
        <v>21</v>
      </c>
      <c r="H186" s="31" t="s">
        <v>21</v>
      </c>
      <c r="I186" s="31" t="s">
        <v>21</v>
      </c>
      <c r="J186" s="31" t="s">
        <v>22</v>
      </c>
      <c r="K186" s="31" t="s">
        <v>22</v>
      </c>
      <c r="L186" s="31" t="s">
        <v>22</v>
      </c>
      <c r="M186" s="114"/>
      <c r="N186" s="114"/>
      <c r="O186" s="114"/>
      <c r="P186" s="114"/>
      <c r="Q186" s="31" t="s">
        <v>21</v>
      </c>
      <c r="R186" s="31" t="s">
        <v>21</v>
      </c>
      <c r="S186" s="31" t="s">
        <v>21</v>
      </c>
      <c r="T186" s="31" t="s">
        <v>22</v>
      </c>
      <c r="U186" s="31" t="s">
        <v>22</v>
      </c>
      <c r="V186" s="31" t="s">
        <v>22</v>
      </c>
      <c r="W186" s="115"/>
      <c r="X186" s="3"/>
    </row>
    <row r="187" spans="1:24" ht="15.75" customHeight="1" x14ac:dyDescent="0.25">
      <c r="A187" s="5">
        <v>1</v>
      </c>
      <c r="B187" s="21" t="s">
        <v>231</v>
      </c>
      <c r="C187" s="13">
        <v>45738</v>
      </c>
      <c r="D187" s="8" t="s">
        <v>371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</row>
    <row r="188" spans="1:24" ht="15.75" customHeight="1" x14ac:dyDescent="0.25">
      <c r="A188" s="5">
        <v>2</v>
      </c>
      <c r="B188" s="21" t="s">
        <v>232</v>
      </c>
      <c r="C188" s="13">
        <v>45851</v>
      </c>
      <c r="D188" s="20">
        <v>45928</v>
      </c>
      <c r="E188" s="21">
        <v>3</v>
      </c>
      <c r="F188" s="21">
        <v>0</v>
      </c>
      <c r="G188" s="21">
        <v>102</v>
      </c>
      <c r="H188" s="21"/>
      <c r="I188" s="21"/>
      <c r="J188" s="21">
        <v>123</v>
      </c>
      <c r="K188" s="21">
        <v>113</v>
      </c>
      <c r="L188" s="21"/>
      <c r="M188" s="80">
        <f>AVERAGE(G188:L188)</f>
        <v>112.66666666666667</v>
      </c>
      <c r="N188" s="20">
        <v>45944</v>
      </c>
      <c r="O188" s="21">
        <v>2</v>
      </c>
      <c r="P188" s="21">
        <v>1</v>
      </c>
      <c r="Q188" s="21"/>
      <c r="R188" s="21"/>
      <c r="S188" s="21"/>
      <c r="T188" s="21">
        <v>252</v>
      </c>
      <c r="U188" s="21">
        <v>237</v>
      </c>
      <c r="V188" s="21"/>
      <c r="W188" s="68">
        <f>AVERAGE(Q188:V188)</f>
        <v>244.5</v>
      </c>
    </row>
    <row r="189" spans="1:24" ht="15" customHeight="1" x14ac:dyDescent="0.25">
      <c r="A189" s="5">
        <v>3</v>
      </c>
      <c r="B189" s="21" t="s">
        <v>24</v>
      </c>
      <c r="C189" s="13">
        <v>45950</v>
      </c>
      <c r="D189" s="20">
        <v>46033</v>
      </c>
      <c r="E189" s="21">
        <v>3</v>
      </c>
      <c r="F189" s="21">
        <v>0</v>
      </c>
      <c r="G189" s="21"/>
      <c r="H189" s="21"/>
      <c r="I189" s="21"/>
      <c r="J189" s="21">
        <v>120</v>
      </c>
      <c r="K189" s="21">
        <v>122</v>
      </c>
      <c r="L189" s="21">
        <v>125</v>
      </c>
      <c r="M189" s="80">
        <f>AVERAGE(G189:L189)</f>
        <v>122.33333333333333</v>
      </c>
      <c r="N189" s="20">
        <v>46055</v>
      </c>
      <c r="O189" s="21">
        <v>3</v>
      </c>
      <c r="P189" s="21">
        <v>0</v>
      </c>
      <c r="Q189" s="21"/>
      <c r="R189" s="21"/>
      <c r="S189" s="21"/>
      <c r="T189" s="21">
        <v>191</v>
      </c>
      <c r="U189" s="21">
        <v>228</v>
      </c>
      <c r="V189" s="21">
        <v>183</v>
      </c>
      <c r="W189" s="68">
        <f>AVERAGE(Q189:V189)</f>
        <v>200.66666666666666</v>
      </c>
    </row>
    <row r="190" spans="1:24" ht="15" customHeight="1" x14ac:dyDescent="0.25">
      <c r="A190" s="5">
        <v>4</v>
      </c>
      <c r="B190" s="21" t="s">
        <v>24</v>
      </c>
      <c r="C190" s="13">
        <v>46070</v>
      </c>
      <c r="D190" s="20">
        <v>46145</v>
      </c>
      <c r="E190" s="21">
        <v>2</v>
      </c>
      <c r="F190" s="21">
        <v>0</v>
      </c>
      <c r="G190" s="21">
        <v>100</v>
      </c>
      <c r="H190" s="21">
        <v>105</v>
      </c>
      <c r="I190" s="21"/>
      <c r="J190" s="21"/>
      <c r="K190" s="21"/>
      <c r="L190" s="21"/>
      <c r="M190" s="80">
        <f>AVERAGE(G190:L190)</f>
        <v>102.5</v>
      </c>
      <c r="N190" s="20">
        <v>46176</v>
      </c>
      <c r="O190" s="21">
        <v>2</v>
      </c>
      <c r="P190" s="21">
        <v>0</v>
      </c>
      <c r="Q190" s="21">
        <v>300</v>
      </c>
      <c r="R190" s="21"/>
      <c r="S190" s="21"/>
      <c r="T190" s="21"/>
      <c r="U190" s="21"/>
      <c r="V190" s="21"/>
      <c r="W190" s="22">
        <v>300</v>
      </c>
    </row>
    <row r="191" spans="1:24" ht="17.25" customHeight="1" x14ac:dyDescent="0.25">
      <c r="A191" s="5">
        <v>5</v>
      </c>
      <c r="B191" s="21" t="s">
        <v>231</v>
      </c>
      <c r="C191" s="13">
        <v>46181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41"/>
      <c r="N191" s="21"/>
      <c r="O191" s="21"/>
      <c r="P191" s="21"/>
      <c r="Q191" s="21"/>
      <c r="R191" s="21"/>
      <c r="S191" s="21"/>
      <c r="T191" s="21"/>
      <c r="U191" s="21"/>
      <c r="V191" s="21"/>
      <c r="W191" s="22"/>
    </row>
    <row r="192" spans="1:24" ht="18" customHeight="1" thickBot="1" x14ac:dyDescent="0.3">
      <c r="A192" s="7">
        <v>6</v>
      </c>
      <c r="B192" s="37"/>
      <c r="C192" s="10"/>
      <c r="D192" s="37"/>
      <c r="E192" s="37"/>
      <c r="F192" s="37"/>
      <c r="G192" s="37"/>
      <c r="H192" s="37"/>
      <c r="I192" s="37"/>
      <c r="J192" s="37"/>
      <c r="K192" s="37"/>
      <c r="L192" s="37"/>
      <c r="M192" s="42"/>
      <c r="N192" s="37"/>
      <c r="O192" s="37"/>
      <c r="P192" s="37"/>
      <c r="Q192" s="37"/>
      <c r="R192" s="37"/>
      <c r="S192" s="37"/>
      <c r="T192" s="37"/>
      <c r="U192" s="37"/>
      <c r="V192" s="37"/>
      <c r="W192" s="39"/>
    </row>
    <row r="193" spans="1:24" ht="20.100000000000001" customHeight="1" x14ac:dyDescent="0.25"/>
    <row r="194" spans="1:24" ht="20.100000000000001" customHeight="1" thickBot="1" x14ac:dyDescent="0.3"/>
    <row r="195" spans="1:24" ht="20.100000000000001" customHeight="1" x14ac:dyDescent="0.25">
      <c r="A195" s="100" t="s">
        <v>2</v>
      </c>
      <c r="B195" s="101"/>
      <c r="C195" s="111" t="s">
        <v>64</v>
      </c>
      <c r="D195" s="112"/>
      <c r="E195" s="111" t="s">
        <v>382</v>
      </c>
      <c r="F195" s="112"/>
      <c r="G195" s="101" t="s">
        <v>4</v>
      </c>
      <c r="H195" s="101"/>
      <c r="I195" s="102" t="s">
        <v>5</v>
      </c>
      <c r="J195" s="102"/>
      <c r="K195" s="102"/>
      <c r="L195" s="102"/>
      <c r="M195" s="102"/>
      <c r="N195" s="102"/>
      <c r="O195" s="101" t="s">
        <v>6</v>
      </c>
      <c r="P195" s="101"/>
      <c r="Q195" s="103"/>
      <c r="R195" s="104"/>
      <c r="S195" s="104"/>
      <c r="T195" s="104"/>
      <c r="U195" s="104"/>
      <c r="V195" s="104"/>
      <c r="W195" s="105"/>
      <c r="X195" s="1"/>
    </row>
    <row r="196" spans="1:24" ht="20.100000000000001" customHeight="1" x14ac:dyDescent="0.25">
      <c r="A196" s="106" t="s">
        <v>7</v>
      </c>
      <c r="B196" s="107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7"/>
      <c r="R196" s="107"/>
      <c r="S196" s="107"/>
      <c r="T196" s="107"/>
      <c r="U196" s="107"/>
      <c r="V196" s="107"/>
      <c r="W196" s="110"/>
      <c r="X196" s="1"/>
    </row>
    <row r="197" spans="1:24" ht="24.95" customHeight="1" x14ac:dyDescent="0.25">
      <c r="A197" s="113" t="s">
        <v>8</v>
      </c>
      <c r="B197" s="114" t="s">
        <v>9</v>
      </c>
      <c r="C197" s="114" t="s">
        <v>10</v>
      </c>
      <c r="D197" s="114" t="s">
        <v>11</v>
      </c>
      <c r="E197" s="114" t="s">
        <v>12</v>
      </c>
      <c r="F197" s="114" t="s">
        <v>13</v>
      </c>
      <c r="G197" s="114" t="s">
        <v>14</v>
      </c>
      <c r="H197" s="114"/>
      <c r="I197" s="114"/>
      <c r="J197" s="114"/>
      <c r="K197" s="114"/>
      <c r="L197" s="114"/>
      <c r="M197" s="114" t="s">
        <v>15</v>
      </c>
      <c r="N197" s="114" t="s">
        <v>16</v>
      </c>
      <c r="O197" s="114" t="s">
        <v>17</v>
      </c>
      <c r="P197" s="114" t="s">
        <v>18</v>
      </c>
      <c r="Q197" s="114" t="s">
        <v>19</v>
      </c>
      <c r="R197" s="114"/>
      <c r="S197" s="114"/>
      <c r="T197" s="114"/>
      <c r="U197" s="114"/>
      <c r="V197" s="114"/>
      <c r="W197" s="115" t="s">
        <v>20</v>
      </c>
      <c r="X197" s="3"/>
    </row>
    <row r="198" spans="1:24" ht="24.95" customHeight="1" x14ac:dyDescent="0.25">
      <c r="A198" s="113"/>
      <c r="B198" s="114"/>
      <c r="C198" s="114"/>
      <c r="D198" s="114"/>
      <c r="E198" s="114"/>
      <c r="F198" s="114"/>
      <c r="G198" s="31" t="s">
        <v>21</v>
      </c>
      <c r="H198" s="31" t="s">
        <v>21</v>
      </c>
      <c r="I198" s="31" t="s">
        <v>21</v>
      </c>
      <c r="J198" s="31" t="s">
        <v>22</v>
      </c>
      <c r="K198" s="31" t="s">
        <v>22</v>
      </c>
      <c r="L198" s="31" t="s">
        <v>22</v>
      </c>
      <c r="M198" s="114"/>
      <c r="N198" s="114"/>
      <c r="O198" s="114"/>
      <c r="P198" s="114"/>
      <c r="Q198" s="31" t="s">
        <v>21</v>
      </c>
      <c r="R198" s="31" t="s">
        <v>21</v>
      </c>
      <c r="S198" s="31" t="s">
        <v>21</v>
      </c>
      <c r="T198" s="31" t="s">
        <v>22</v>
      </c>
      <c r="U198" s="31" t="s">
        <v>22</v>
      </c>
      <c r="V198" s="31" t="s">
        <v>22</v>
      </c>
      <c r="W198" s="115"/>
      <c r="X198" s="3"/>
    </row>
    <row r="199" spans="1:24" ht="15" customHeight="1" x14ac:dyDescent="0.25">
      <c r="A199" s="5">
        <v>1</v>
      </c>
      <c r="B199" s="21" t="s">
        <v>232</v>
      </c>
      <c r="C199" s="13">
        <v>45738</v>
      </c>
      <c r="D199" s="8" t="s">
        <v>371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</row>
    <row r="200" spans="1:24" ht="16.5" customHeight="1" x14ac:dyDescent="0.25">
      <c r="A200" s="5">
        <v>2</v>
      </c>
      <c r="B200" s="21" t="s">
        <v>231</v>
      </c>
      <c r="C200" s="13">
        <v>45851</v>
      </c>
      <c r="D200" s="20">
        <v>45924</v>
      </c>
      <c r="E200" s="21">
        <v>3</v>
      </c>
      <c r="F200" s="21">
        <v>0</v>
      </c>
      <c r="G200" s="21">
        <v>115</v>
      </c>
      <c r="H200" s="21"/>
      <c r="I200" s="21"/>
      <c r="J200" s="21">
        <v>96</v>
      </c>
      <c r="K200" s="21">
        <v>102</v>
      </c>
      <c r="L200" s="21"/>
      <c r="M200" s="80">
        <f>AVERAGE(G200:L200)</f>
        <v>104.33333333333333</v>
      </c>
      <c r="N200" s="20">
        <v>45944</v>
      </c>
      <c r="O200" s="21">
        <v>3</v>
      </c>
      <c r="P200" s="21">
        <v>0</v>
      </c>
      <c r="Q200" s="21">
        <v>246</v>
      </c>
      <c r="R200" s="21"/>
      <c r="S200" s="21"/>
      <c r="T200" s="21">
        <v>334</v>
      </c>
      <c r="U200" s="21">
        <v>335</v>
      </c>
      <c r="V200" s="21"/>
      <c r="W200" s="22">
        <f>AVERAGE(Q200:V200)</f>
        <v>305</v>
      </c>
    </row>
    <row r="201" spans="1:24" ht="17.25" customHeight="1" x14ac:dyDescent="0.25">
      <c r="A201" s="5">
        <v>3</v>
      </c>
      <c r="B201" s="21" t="s">
        <v>23</v>
      </c>
      <c r="C201" s="13">
        <v>45950</v>
      </c>
      <c r="D201" s="20">
        <v>46039</v>
      </c>
      <c r="E201" s="21">
        <v>2</v>
      </c>
      <c r="F201" s="21">
        <v>0</v>
      </c>
      <c r="G201" s="21">
        <v>113</v>
      </c>
      <c r="H201" s="21"/>
      <c r="I201" s="21"/>
      <c r="J201" s="21">
        <v>122</v>
      </c>
      <c r="K201" s="21"/>
      <c r="L201" s="21"/>
      <c r="M201" s="80">
        <f>AVERAGE(G201:L201)</f>
        <v>117.5</v>
      </c>
      <c r="N201" s="20">
        <v>46055</v>
      </c>
      <c r="O201" s="21">
        <v>2</v>
      </c>
      <c r="P201" s="21">
        <v>0</v>
      </c>
      <c r="Q201" s="21">
        <v>294</v>
      </c>
      <c r="R201" s="21"/>
      <c r="S201" s="21"/>
      <c r="T201" s="21">
        <v>240</v>
      </c>
      <c r="U201" s="21"/>
      <c r="V201" s="21"/>
      <c r="W201" s="22">
        <f>AVERAGE(Q201:V201)</f>
        <v>267</v>
      </c>
    </row>
    <row r="202" spans="1:24" ht="16.5" customHeight="1" x14ac:dyDescent="0.25">
      <c r="A202" s="5">
        <v>4</v>
      </c>
      <c r="B202" s="21" t="s">
        <v>23</v>
      </c>
      <c r="C202" s="13">
        <v>46070</v>
      </c>
      <c r="D202" s="20">
        <v>46096</v>
      </c>
      <c r="E202" s="21">
        <v>3</v>
      </c>
      <c r="F202" s="21">
        <v>0</v>
      </c>
      <c r="G202" s="21"/>
      <c r="H202" s="21"/>
      <c r="I202" s="21"/>
      <c r="J202" s="21">
        <v>122</v>
      </c>
      <c r="K202" s="21">
        <v>115</v>
      </c>
      <c r="L202" s="21">
        <v>117</v>
      </c>
      <c r="M202" s="80">
        <f>AVERAGE(G202:L202)</f>
        <v>118</v>
      </c>
      <c r="N202" s="20">
        <v>46176</v>
      </c>
      <c r="O202" s="21">
        <v>3</v>
      </c>
      <c r="P202" s="21">
        <v>0</v>
      </c>
      <c r="Q202" s="21"/>
      <c r="R202" s="21"/>
      <c r="S202" s="21"/>
      <c r="T202" s="21">
        <v>300</v>
      </c>
      <c r="U202" s="21">
        <v>268</v>
      </c>
      <c r="V202" s="21">
        <v>280</v>
      </c>
      <c r="W202" s="68">
        <f>AVERAGE(Q202:V202)</f>
        <v>282.66666666666669</v>
      </c>
    </row>
    <row r="203" spans="1:24" ht="16.5" customHeight="1" x14ac:dyDescent="0.25">
      <c r="A203" s="5">
        <v>5</v>
      </c>
      <c r="B203" s="21" t="s">
        <v>23</v>
      </c>
      <c r="C203" s="13">
        <v>46181</v>
      </c>
      <c r="D203" s="21"/>
      <c r="E203" s="21"/>
      <c r="F203" s="21"/>
      <c r="G203" s="21"/>
      <c r="H203" s="21"/>
      <c r="I203" s="21"/>
      <c r="J203" s="21"/>
      <c r="K203" s="21"/>
      <c r="L203" s="21"/>
      <c r="M203" s="41"/>
      <c r="N203" s="21"/>
      <c r="O203" s="21"/>
      <c r="P203" s="21"/>
      <c r="Q203" s="21"/>
      <c r="R203" s="21"/>
      <c r="S203" s="21"/>
      <c r="T203" s="21"/>
      <c r="U203" s="21"/>
      <c r="V203" s="21"/>
      <c r="W203" s="22"/>
    </row>
    <row r="204" spans="1:24" ht="15.75" customHeight="1" thickBot="1" x14ac:dyDescent="0.3">
      <c r="A204" s="7">
        <v>6</v>
      </c>
      <c r="B204" s="37"/>
      <c r="C204" s="10"/>
      <c r="D204" s="37"/>
      <c r="E204" s="37"/>
      <c r="F204" s="37"/>
      <c r="G204" s="37"/>
      <c r="H204" s="37"/>
      <c r="I204" s="37"/>
      <c r="J204" s="37"/>
      <c r="K204" s="37"/>
      <c r="L204" s="37"/>
      <c r="M204" s="42"/>
      <c r="N204" s="37"/>
      <c r="O204" s="37"/>
      <c r="P204" s="37"/>
      <c r="Q204" s="37"/>
      <c r="R204" s="37"/>
      <c r="S204" s="37"/>
      <c r="T204" s="37"/>
      <c r="U204" s="37"/>
      <c r="V204" s="37"/>
      <c r="W204" s="39"/>
    </row>
    <row r="205" spans="1:24" ht="20.100000000000001" customHeight="1" x14ac:dyDescent="0.25"/>
    <row r="206" spans="1:24" ht="20.100000000000001" customHeight="1" thickBot="1" x14ac:dyDescent="0.3"/>
    <row r="207" spans="1:24" ht="20.100000000000001" customHeight="1" x14ac:dyDescent="0.25">
      <c r="A207" s="100" t="s">
        <v>2</v>
      </c>
      <c r="B207" s="101"/>
      <c r="C207" s="111" t="s">
        <v>65</v>
      </c>
      <c r="D207" s="112"/>
      <c r="E207" s="111" t="s">
        <v>378</v>
      </c>
      <c r="F207" s="112"/>
      <c r="G207" s="101" t="s">
        <v>4</v>
      </c>
      <c r="H207" s="101"/>
      <c r="I207" s="102" t="s">
        <v>5</v>
      </c>
      <c r="J207" s="102"/>
      <c r="K207" s="102"/>
      <c r="L207" s="102"/>
      <c r="M207" s="102"/>
      <c r="N207" s="102"/>
      <c r="O207" s="101" t="s">
        <v>6</v>
      </c>
      <c r="P207" s="101"/>
      <c r="Q207" s="103"/>
      <c r="R207" s="104"/>
      <c r="S207" s="104"/>
      <c r="T207" s="104"/>
      <c r="U207" s="104"/>
      <c r="V207" s="104"/>
      <c r="W207" s="105"/>
      <c r="X207" s="1"/>
    </row>
    <row r="208" spans="1:24" ht="20.100000000000001" customHeight="1" x14ac:dyDescent="0.25">
      <c r="A208" s="106" t="s">
        <v>7</v>
      </c>
      <c r="B208" s="107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7"/>
      <c r="R208" s="107"/>
      <c r="S208" s="107"/>
      <c r="T208" s="107"/>
      <c r="U208" s="107"/>
      <c r="V208" s="107"/>
      <c r="W208" s="110"/>
      <c r="X208" s="1"/>
    </row>
    <row r="209" spans="1:24" ht="24.95" customHeight="1" x14ac:dyDescent="0.25">
      <c r="A209" s="113" t="s">
        <v>8</v>
      </c>
      <c r="B209" s="114" t="s">
        <v>9</v>
      </c>
      <c r="C209" s="114" t="s">
        <v>10</v>
      </c>
      <c r="D209" s="114" t="s">
        <v>11</v>
      </c>
      <c r="E209" s="114" t="s">
        <v>12</v>
      </c>
      <c r="F209" s="114" t="s">
        <v>13</v>
      </c>
      <c r="G209" s="114" t="s">
        <v>14</v>
      </c>
      <c r="H209" s="114"/>
      <c r="I209" s="114"/>
      <c r="J209" s="114"/>
      <c r="K209" s="114"/>
      <c r="L209" s="114"/>
      <c r="M209" s="114" t="s">
        <v>15</v>
      </c>
      <c r="N209" s="114" t="s">
        <v>16</v>
      </c>
      <c r="O209" s="114" t="s">
        <v>17</v>
      </c>
      <c r="P209" s="114" t="s">
        <v>18</v>
      </c>
      <c r="Q209" s="114" t="s">
        <v>19</v>
      </c>
      <c r="R209" s="114"/>
      <c r="S209" s="114"/>
      <c r="T209" s="114"/>
      <c r="U209" s="114"/>
      <c r="V209" s="114"/>
      <c r="W209" s="115" t="s">
        <v>20</v>
      </c>
      <c r="X209" s="3"/>
    </row>
    <row r="210" spans="1:24" ht="24.95" customHeight="1" x14ac:dyDescent="0.25">
      <c r="A210" s="113"/>
      <c r="B210" s="114"/>
      <c r="C210" s="114"/>
      <c r="D210" s="114"/>
      <c r="E210" s="114"/>
      <c r="F210" s="114"/>
      <c r="G210" s="31" t="s">
        <v>21</v>
      </c>
      <c r="H210" s="31" t="s">
        <v>21</v>
      </c>
      <c r="I210" s="31" t="s">
        <v>21</v>
      </c>
      <c r="J210" s="31" t="s">
        <v>22</v>
      </c>
      <c r="K210" s="31" t="s">
        <v>22</v>
      </c>
      <c r="L210" s="31" t="s">
        <v>22</v>
      </c>
      <c r="M210" s="114"/>
      <c r="N210" s="114"/>
      <c r="O210" s="114"/>
      <c r="P210" s="114"/>
      <c r="Q210" s="31" t="s">
        <v>21</v>
      </c>
      <c r="R210" s="31" t="s">
        <v>21</v>
      </c>
      <c r="S210" s="31" t="s">
        <v>21</v>
      </c>
      <c r="T210" s="31" t="s">
        <v>22</v>
      </c>
      <c r="U210" s="31" t="s">
        <v>22</v>
      </c>
      <c r="V210" s="31" t="s">
        <v>22</v>
      </c>
      <c r="W210" s="115"/>
      <c r="X210" s="3"/>
    </row>
    <row r="211" spans="1:24" ht="15.75" customHeight="1" x14ac:dyDescent="0.25">
      <c r="A211" s="5">
        <v>1</v>
      </c>
      <c r="B211" s="21" t="s">
        <v>24</v>
      </c>
      <c r="C211" s="13">
        <v>45738</v>
      </c>
      <c r="D211" s="20">
        <v>45827</v>
      </c>
      <c r="E211" s="21">
        <v>2</v>
      </c>
      <c r="F211" s="21">
        <v>0</v>
      </c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2"/>
    </row>
    <row r="212" spans="1:24" ht="15.75" customHeight="1" x14ac:dyDescent="0.25">
      <c r="A212" s="5">
        <v>2</v>
      </c>
      <c r="B212" s="21" t="s">
        <v>23</v>
      </c>
      <c r="C212" s="13">
        <v>45851</v>
      </c>
      <c r="D212" s="20">
        <v>45924</v>
      </c>
      <c r="E212" s="21">
        <v>5</v>
      </c>
      <c r="F212" s="21">
        <v>0</v>
      </c>
      <c r="G212" s="21">
        <v>96</v>
      </c>
      <c r="H212" s="21">
        <v>99</v>
      </c>
      <c r="I212" s="21">
        <v>106</v>
      </c>
      <c r="J212" s="21">
        <v>103</v>
      </c>
      <c r="K212" s="21">
        <v>82</v>
      </c>
      <c r="L212" s="21"/>
      <c r="M212" s="21">
        <f>SUM(G212:L212)</f>
        <v>486</v>
      </c>
      <c r="N212" s="20">
        <v>45944</v>
      </c>
      <c r="O212" s="21">
        <v>5</v>
      </c>
      <c r="P212" s="21">
        <v>0</v>
      </c>
      <c r="Q212" s="21">
        <v>143</v>
      </c>
      <c r="R212" s="21">
        <v>144</v>
      </c>
      <c r="S212" s="21">
        <v>192</v>
      </c>
      <c r="T212" s="21">
        <v>155</v>
      </c>
      <c r="U212" s="21">
        <v>191</v>
      </c>
      <c r="V212" s="21"/>
      <c r="W212" s="22">
        <f>AVERAGE(Q212:V212)</f>
        <v>165</v>
      </c>
    </row>
    <row r="213" spans="1:24" ht="17.25" customHeight="1" x14ac:dyDescent="0.25">
      <c r="A213" s="5">
        <v>3</v>
      </c>
      <c r="B213" s="21" t="s">
        <v>232</v>
      </c>
      <c r="C213" s="13">
        <v>45950</v>
      </c>
      <c r="D213" s="20">
        <v>46022</v>
      </c>
      <c r="E213" s="21">
        <v>4</v>
      </c>
      <c r="F213" s="21">
        <v>0</v>
      </c>
      <c r="G213" s="21">
        <v>115</v>
      </c>
      <c r="H213" s="21">
        <v>119</v>
      </c>
      <c r="I213" s="21">
        <v>109</v>
      </c>
      <c r="J213" s="21">
        <v>120</v>
      </c>
      <c r="K213" s="21"/>
      <c r="L213" s="21"/>
      <c r="M213" s="41">
        <f>AVERAGE(G213:L213)</f>
        <v>115.75</v>
      </c>
      <c r="N213" s="20">
        <v>46039</v>
      </c>
      <c r="O213" s="21">
        <v>3</v>
      </c>
      <c r="P213" s="21">
        <v>1</v>
      </c>
      <c r="Q213" s="21">
        <v>185</v>
      </c>
      <c r="R213" s="21">
        <v>165</v>
      </c>
      <c r="S213" s="21"/>
      <c r="T213" s="21">
        <v>178</v>
      </c>
      <c r="U213" s="21"/>
      <c r="V213" s="21"/>
      <c r="W213" s="22">
        <f>AVERAGE(Q213:V213)</f>
        <v>176</v>
      </c>
    </row>
    <row r="214" spans="1:24" ht="16.5" customHeight="1" x14ac:dyDescent="0.25">
      <c r="A214" s="5">
        <v>4</v>
      </c>
      <c r="B214" s="21" t="s">
        <v>217</v>
      </c>
      <c r="C214" s="13">
        <v>46039</v>
      </c>
      <c r="D214" s="20">
        <v>46113</v>
      </c>
      <c r="E214" s="21">
        <v>2</v>
      </c>
      <c r="F214" s="21">
        <v>0</v>
      </c>
      <c r="G214" s="21">
        <v>160</v>
      </c>
      <c r="H214" s="21"/>
      <c r="I214" s="21"/>
      <c r="J214" s="21">
        <v>162</v>
      </c>
      <c r="K214" s="21"/>
      <c r="L214" s="21"/>
      <c r="M214" s="21">
        <f>AVERAGE(G214:L214)</f>
        <v>161</v>
      </c>
      <c r="N214" s="20">
        <v>46139</v>
      </c>
      <c r="O214" s="21">
        <v>2</v>
      </c>
      <c r="P214" s="21">
        <v>0</v>
      </c>
      <c r="Q214" s="21">
        <v>483</v>
      </c>
      <c r="R214" s="21"/>
      <c r="S214" s="21"/>
      <c r="T214" s="21">
        <v>368</v>
      </c>
      <c r="U214" s="21"/>
      <c r="V214" s="21"/>
      <c r="W214" s="22">
        <f>AVERAGE(Q214:V214)</f>
        <v>425.5</v>
      </c>
    </row>
    <row r="215" spans="1:24" ht="17.25" customHeight="1" x14ac:dyDescent="0.25">
      <c r="A215" s="5">
        <v>5</v>
      </c>
      <c r="B215" s="21" t="s">
        <v>24</v>
      </c>
      <c r="C215" s="13">
        <v>46181</v>
      </c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2"/>
    </row>
    <row r="216" spans="1:24" ht="14.25" customHeight="1" thickBot="1" x14ac:dyDescent="0.3">
      <c r="A216" s="7">
        <v>6</v>
      </c>
      <c r="B216" s="37"/>
      <c r="C216" s="10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9"/>
    </row>
    <row r="217" spans="1:24" ht="20.100000000000001" customHeight="1" x14ac:dyDescent="0.25"/>
    <row r="218" spans="1:24" ht="20.100000000000001" customHeight="1" thickBot="1" x14ac:dyDescent="0.3"/>
    <row r="219" spans="1:24" ht="20.100000000000001" customHeight="1" x14ac:dyDescent="0.25">
      <c r="A219" s="100" t="s">
        <v>2</v>
      </c>
      <c r="B219" s="101"/>
      <c r="C219" s="178" t="s">
        <v>66</v>
      </c>
      <c r="D219" s="179"/>
      <c r="E219" s="111" t="s">
        <v>382</v>
      </c>
      <c r="F219" s="112"/>
      <c r="G219" s="101" t="s">
        <v>4</v>
      </c>
      <c r="H219" s="101"/>
      <c r="I219" s="102" t="s">
        <v>5</v>
      </c>
      <c r="J219" s="102"/>
      <c r="K219" s="102"/>
      <c r="L219" s="102"/>
      <c r="M219" s="102"/>
      <c r="N219" s="102"/>
      <c r="O219" s="101" t="s">
        <v>6</v>
      </c>
      <c r="P219" s="101"/>
      <c r="Q219" s="103"/>
      <c r="R219" s="104"/>
      <c r="S219" s="104"/>
      <c r="T219" s="104"/>
      <c r="U219" s="104"/>
      <c r="V219" s="104"/>
      <c r="W219" s="105"/>
      <c r="X219" s="1"/>
    </row>
    <row r="220" spans="1:24" ht="20.100000000000001" customHeight="1" x14ac:dyDescent="0.25">
      <c r="A220" s="106" t="s">
        <v>7</v>
      </c>
      <c r="B220" s="107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7"/>
      <c r="R220" s="107"/>
      <c r="S220" s="107"/>
      <c r="T220" s="107"/>
      <c r="U220" s="107"/>
      <c r="V220" s="107"/>
      <c r="W220" s="110"/>
      <c r="X220" s="1"/>
    </row>
    <row r="221" spans="1:24" ht="24.95" customHeight="1" x14ac:dyDescent="0.25">
      <c r="A221" s="113" t="s">
        <v>8</v>
      </c>
      <c r="B221" s="114" t="s">
        <v>9</v>
      </c>
      <c r="C221" s="114" t="s">
        <v>10</v>
      </c>
      <c r="D221" s="114" t="s">
        <v>11</v>
      </c>
      <c r="E221" s="114" t="s">
        <v>12</v>
      </c>
      <c r="F221" s="114" t="s">
        <v>13</v>
      </c>
      <c r="G221" s="114" t="s">
        <v>14</v>
      </c>
      <c r="H221" s="114"/>
      <c r="I221" s="114"/>
      <c r="J221" s="114"/>
      <c r="K221" s="114"/>
      <c r="L221" s="114"/>
      <c r="M221" s="114" t="s">
        <v>15</v>
      </c>
      <c r="N221" s="114" t="s">
        <v>16</v>
      </c>
      <c r="O221" s="114" t="s">
        <v>17</v>
      </c>
      <c r="P221" s="114" t="s">
        <v>18</v>
      </c>
      <c r="Q221" s="114" t="s">
        <v>19</v>
      </c>
      <c r="R221" s="114"/>
      <c r="S221" s="114"/>
      <c r="T221" s="114"/>
      <c r="U221" s="114"/>
      <c r="V221" s="114"/>
      <c r="W221" s="115" t="s">
        <v>20</v>
      </c>
      <c r="X221" s="3"/>
    </row>
    <row r="222" spans="1:24" ht="24.95" customHeight="1" x14ac:dyDescent="0.25">
      <c r="A222" s="113"/>
      <c r="B222" s="114"/>
      <c r="C222" s="114"/>
      <c r="D222" s="114"/>
      <c r="E222" s="114"/>
      <c r="F222" s="114"/>
      <c r="G222" s="31" t="s">
        <v>21</v>
      </c>
      <c r="H222" s="31" t="s">
        <v>21</v>
      </c>
      <c r="I222" s="31" t="s">
        <v>21</v>
      </c>
      <c r="J222" s="31" t="s">
        <v>22</v>
      </c>
      <c r="K222" s="31" t="s">
        <v>22</v>
      </c>
      <c r="L222" s="31" t="s">
        <v>22</v>
      </c>
      <c r="M222" s="114"/>
      <c r="N222" s="114"/>
      <c r="O222" s="114"/>
      <c r="P222" s="114"/>
      <c r="Q222" s="31" t="s">
        <v>21</v>
      </c>
      <c r="R222" s="31" t="s">
        <v>21</v>
      </c>
      <c r="S222" s="31" t="s">
        <v>21</v>
      </c>
      <c r="T222" s="31" t="s">
        <v>22</v>
      </c>
      <c r="U222" s="31" t="s">
        <v>22</v>
      </c>
      <c r="V222" s="31" t="s">
        <v>22</v>
      </c>
      <c r="W222" s="115"/>
      <c r="X222" s="3"/>
    </row>
    <row r="223" spans="1:24" ht="17.25" customHeight="1" x14ac:dyDescent="0.25">
      <c r="A223" s="5">
        <v>1</v>
      </c>
      <c r="B223" s="21" t="s">
        <v>232</v>
      </c>
      <c r="C223" s="13">
        <v>45738</v>
      </c>
      <c r="D223" s="8" t="s">
        <v>371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</row>
    <row r="224" spans="1:24" ht="17.25" customHeight="1" x14ac:dyDescent="0.25">
      <c r="A224" s="5">
        <v>2</v>
      </c>
      <c r="B224" s="21" t="s">
        <v>231</v>
      </c>
      <c r="C224" s="13">
        <v>45851</v>
      </c>
      <c r="D224" s="20">
        <v>45927</v>
      </c>
      <c r="E224" s="21">
        <v>5</v>
      </c>
      <c r="F224" s="21">
        <v>1</v>
      </c>
      <c r="G224" s="21">
        <v>89</v>
      </c>
      <c r="H224" s="21">
        <v>65</v>
      </c>
      <c r="I224" s="21">
        <v>93</v>
      </c>
      <c r="J224" s="21">
        <v>89</v>
      </c>
      <c r="K224" s="21"/>
      <c r="L224" s="21"/>
      <c r="M224" s="21">
        <f>AVERAGE(G224:L224)</f>
        <v>84</v>
      </c>
      <c r="N224" s="21"/>
      <c r="O224" s="21"/>
      <c r="P224" s="21">
        <v>5</v>
      </c>
      <c r="Q224" s="21"/>
      <c r="R224" s="21"/>
      <c r="S224" s="21"/>
      <c r="T224" s="21"/>
      <c r="U224" s="21"/>
      <c r="V224" s="21"/>
      <c r="W224" s="22"/>
    </row>
    <row r="225" spans="1:24" ht="14.25" customHeight="1" x14ac:dyDescent="0.25">
      <c r="A225" s="5">
        <v>3</v>
      </c>
      <c r="B225" s="21" t="s">
        <v>23</v>
      </c>
      <c r="C225" s="13">
        <v>45950</v>
      </c>
      <c r="D225" s="79">
        <v>46032</v>
      </c>
      <c r="E225" s="21">
        <v>2</v>
      </c>
      <c r="F225" s="21">
        <v>0</v>
      </c>
      <c r="G225" s="21">
        <v>135</v>
      </c>
      <c r="H225" s="21"/>
      <c r="I225" s="21"/>
      <c r="J225" s="21">
        <v>138</v>
      </c>
      <c r="K225" s="21"/>
      <c r="L225" s="21"/>
      <c r="M225" s="21">
        <f>AVERAGE(G225:L225)</f>
        <v>136.5</v>
      </c>
      <c r="N225" s="20">
        <v>46055</v>
      </c>
      <c r="O225" s="21">
        <v>1</v>
      </c>
      <c r="P225" s="21">
        <v>0</v>
      </c>
      <c r="Q225" s="21"/>
      <c r="R225" s="21"/>
      <c r="S225" s="21"/>
      <c r="T225" s="21">
        <v>286</v>
      </c>
      <c r="U225" s="21"/>
      <c r="V225" s="21"/>
      <c r="W225" s="22">
        <v>286</v>
      </c>
    </row>
    <row r="226" spans="1:24" ht="17.25" customHeight="1" x14ac:dyDescent="0.25">
      <c r="A226" s="5">
        <v>4</v>
      </c>
      <c r="B226" s="21" t="s">
        <v>23</v>
      </c>
      <c r="C226" s="13">
        <v>46070</v>
      </c>
      <c r="D226" s="21" t="s">
        <v>428</v>
      </c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2"/>
    </row>
    <row r="227" spans="1:24" ht="17.25" customHeight="1" x14ac:dyDescent="0.25">
      <c r="A227" s="5">
        <v>5</v>
      </c>
      <c r="B227" s="21" t="s">
        <v>23</v>
      </c>
      <c r="C227" s="13">
        <v>46181</v>
      </c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2"/>
    </row>
    <row r="228" spans="1:24" ht="17.25" customHeight="1" thickBot="1" x14ac:dyDescent="0.3">
      <c r="A228" s="7">
        <v>6</v>
      </c>
      <c r="B228" s="37"/>
      <c r="C228" s="10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9"/>
    </row>
    <row r="229" spans="1:24" ht="20.100000000000001" customHeight="1" x14ac:dyDescent="0.25"/>
    <row r="230" spans="1:24" ht="20.100000000000001" customHeight="1" thickBot="1" x14ac:dyDescent="0.3"/>
    <row r="231" spans="1:24" ht="20.100000000000001" customHeight="1" x14ac:dyDescent="0.25">
      <c r="A231" s="100" t="s">
        <v>2</v>
      </c>
      <c r="B231" s="101"/>
      <c r="C231" s="178" t="s">
        <v>67</v>
      </c>
      <c r="D231" s="179"/>
      <c r="E231" s="111" t="s">
        <v>382</v>
      </c>
      <c r="F231" s="112"/>
      <c r="G231" s="101" t="s">
        <v>4</v>
      </c>
      <c r="H231" s="101"/>
      <c r="I231" s="102" t="s">
        <v>5</v>
      </c>
      <c r="J231" s="102"/>
      <c r="K231" s="102"/>
      <c r="L231" s="102"/>
      <c r="M231" s="102"/>
      <c r="N231" s="102"/>
      <c r="O231" s="101" t="s">
        <v>6</v>
      </c>
      <c r="P231" s="101"/>
      <c r="Q231" s="103"/>
      <c r="R231" s="104"/>
      <c r="S231" s="104"/>
      <c r="T231" s="104"/>
      <c r="U231" s="104"/>
      <c r="V231" s="104"/>
      <c r="W231" s="105"/>
      <c r="X231" s="1"/>
    </row>
    <row r="232" spans="1:24" ht="20.100000000000001" customHeight="1" x14ac:dyDescent="0.25">
      <c r="A232" s="106" t="s">
        <v>7</v>
      </c>
      <c r="B232" s="107"/>
      <c r="C232" s="116" t="s">
        <v>44</v>
      </c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09"/>
      <c r="P232" s="109"/>
      <c r="Q232" s="107"/>
      <c r="R232" s="107"/>
      <c r="S232" s="107"/>
      <c r="T232" s="107"/>
      <c r="U232" s="107"/>
      <c r="V232" s="107"/>
      <c r="W232" s="110"/>
      <c r="X232" s="1"/>
    </row>
    <row r="233" spans="1:24" ht="24.95" customHeight="1" x14ac:dyDescent="0.25">
      <c r="A233" s="113" t="s">
        <v>8</v>
      </c>
      <c r="B233" s="114" t="s">
        <v>9</v>
      </c>
      <c r="C233" s="114" t="s">
        <v>10</v>
      </c>
      <c r="D233" s="114" t="s">
        <v>11</v>
      </c>
      <c r="E233" s="114" t="s">
        <v>12</v>
      </c>
      <c r="F233" s="114" t="s">
        <v>13</v>
      </c>
      <c r="G233" s="114" t="s">
        <v>14</v>
      </c>
      <c r="H233" s="114"/>
      <c r="I233" s="114"/>
      <c r="J233" s="114"/>
      <c r="K233" s="114"/>
      <c r="L233" s="114"/>
      <c r="M233" s="114" t="s">
        <v>15</v>
      </c>
      <c r="N233" s="114" t="s">
        <v>16</v>
      </c>
      <c r="O233" s="114" t="s">
        <v>17</v>
      </c>
      <c r="P233" s="114" t="s">
        <v>18</v>
      </c>
      <c r="Q233" s="114" t="s">
        <v>19</v>
      </c>
      <c r="R233" s="114"/>
      <c r="S233" s="114"/>
      <c r="T233" s="114"/>
      <c r="U233" s="114"/>
      <c r="V233" s="114"/>
      <c r="W233" s="115" t="s">
        <v>20</v>
      </c>
      <c r="X233" s="3"/>
    </row>
    <row r="234" spans="1:24" ht="24.95" customHeight="1" x14ac:dyDescent="0.25">
      <c r="A234" s="113"/>
      <c r="B234" s="114"/>
      <c r="C234" s="114"/>
      <c r="D234" s="114"/>
      <c r="E234" s="114"/>
      <c r="F234" s="114"/>
      <c r="G234" s="31" t="s">
        <v>21</v>
      </c>
      <c r="H234" s="31" t="s">
        <v>21</v>
      </c>
      <c r="I234" s="31" t="s">
        <v>21</v>
      </c>
      <c r="J234" s="31" t="s">
        <v>22</v>
      </c>
      <c r="K234" s="31" t="s">
        <v>22</v>
      </c>
      <c r="L234" s="31" t="s">
        <v>22</v>
      </c>
      <c r="M234" s="114"/>
      <c r="N234" s="114"/>
      <c r="O234" s="114"/>
      <c r="P234" s="114"/>
      <c r="Q234" s="31" t="s">
        <v>21</v>
      </c>
      <c r="R234" s="31" t="s">
        <v>21</v>
      </c>
      <c r="S234" s="31" t="s">
        <v>21</v>
      </c>
      <c r="T234" s="31" t="s">
        <v>22</v>
      </c>
      <c r="U234" s="31" t="s">
        <v>22</v>
      </c>
      <c r="V234" s="31" t="s">
        <v>22</v>
      </c>
      <c r="W234" s="115"/>
      <c r="X234" s="3"/>
    </row>
    <row r="235" spans="1:24" ht="17.25" customHeight="1" x14ac:dyDescent="0.25">
      <c r="A235" s="5">
        <v>1</v>
      </c>
      <c r="B235" s="21" t="s">
        <v>232</v>
      </c>
      <c r="C235" s="13">
        <v>45738</v>
      </c>
      <c r="D235" s="20">
        <v>45828</v>
      </c>
      <c r="E235" s="21">
        <v>1</v>
      </c>
      <c r="F235" s="21">
        <v>0</v>
      </c>
      <c r="G235" s="21"/>
      <c r="H235" s="21"/>
      <c r="I235" s="21"/>
      <c r="J235" s="21">
        <v>171</v>
      </c>
      <c r="K235" s="21"/>
      <c r="L235" s="21"/>
      <c r="M235" s="21">
        <v>171</v>
      </c>
      <c r="N235" s="20">
        <v>45848</v>
      </c>
      <c r="O235" s="21">
        <v>1</v>
      </c>
      <c r="P235" s="21">
        <v>0</v>
      </c>
      <c r="Q235" s="21"/>
      <c r="R235" s="21"/>
      <c r="S235" s="21"/>
      <c r="T235" s="21">
        <v>382</v>
      </c>
      <c r="U235" s="21"/>
      <c r="V235" s="21"/>
      <c r="W235" s="22">
        <v>382</v>
      </c>
    </row>
    <row r="236" spans="1:24" ht="17.25" customHeight="1" x14ac:dyDescent="0.25">
      <c r="A236" s="5">
        <v>2</v>
      </c>
      <c r="B236" s="21" t="s">
        <v>231</v>
      </c>
      <c r="C236" s="13">
        <v>45851</v>
      </c>
      <c r="D236" s="20">
        <v>45925</v>
      </c>
      <c r="E236" s="21">
        <v>3</v>
      </c>
      <c r="F236" s="21">
        <v>0</v>
      </c>
      <c r="G236" s="21"/>
      <c r="H236" s="21"/>
      <c r="I236" s="21"/>
      <c r="J236" s="21">
        <v>132</v>
      </c>
      <c r="K236" s="21">
        <v>133</v>
      </c>
      <c r="L236" s="21">
        <v>140</v>
      </c>
      <c r="M236" s="21">
        <f>AVERAGE(G236:L236)</f>
        <v>135</v>
      </c>
      <c r="N236" s="20">
        <v>45944</v>
      </c>
      <c r="O236" s="21">
        <v>3</v>
      </c>
      <c r="P236" s="21">
        <v>0</v>
      </c>
      <c r="Q236" s="21"/>
      <c r="R236" s="21"/>
      <c r="S236" s="21"/>
      <c r="T236" s="21">
        <v>222</v>
      </c>
      <c r="U236" s="21">
        <v>244</v>
      </c>
      <c r="V236" s="21">
        <v>285</v>
      </c>
      <c r="W236" s="40">
        <f>AVERAGE(Q236:V236)</f>
        <v>250.33333333333334</v>
      </c>
    </row>
    <row r="237" spans="1:24" ht="16.5" customHeight="1" x14ac:dyDescent="0.25">
      <c r="A237" s="5">
        <v>3</v>
      </c>
      <c r="B237" s="21" t="s">
        <v>23</v>
      </c>
      <c r="C237" s="13">
        <v>45950</v>
      </c>
      <c r="D237" s="20">
        <v>46027</v>
      </c>
      <c r="E237" s="21">
        <v>4</v>
      </c>
      <c r="F237" s="21">
        <v>0</v>
      </c>
      <c r="G237" s="21">
        <v>126</v>
      </c>
      <c r="H237" s="21">
        <v>94</v>
      </c>
      <c r="I237" s="21"/>
      <c r="J237" s="21">
        <v>113</v>
      </c>
      <c r="K237" s="21">
        <v>109</v>
      </c>
      <c r="L237" s="21"/>
      <c r="M237" s="21">
        <f>AVERAGE(G237:L237)</f>
        <v>110.5</v>
      </c>
      <c r="N237" s="20">
        <v>46039</v>
      </c>
      <c r="O237" s="21">
        <v>3</v>
      </c>
      <c r="P237" s="21">
        <v>1</v>
      </c>
      <c r="Q237" s="21">
        <v>194</v>
      </c>
      <c r="R237" s="21"/>
      <c r="S237" s="21"/>
      <c r="T237" s="21">
        <v>221</v>
      </c>
      <c r="U237" s="21">
        <v>196</v>
      </c>
      <c r="V237" s="21"/>
      <c r="W237" s="40">
        <f>AVERAGE(Q237:V237)</f>
        <v>203.66666666666666</v>
      </c>
    </row>
    <row r="238" spans="1:24" ht="17.25" customHeight="1" x14ac:dyDescent="0.25">
      <c r="A238" s="5">
        <v>4</v>
      </c>
      <c r="B238" s="21" t="s">
        <v>23</v>
      </c>
      <c r="C238" s="13">
        <v>46070</v>
      </c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40"/>
    </row>
    <row r="239" spans="1:24" ht="18" customHeight="1" x14ac:dyDescent="0.25">
      <c r="A239" s="5">
        <v>5</v>
      </c>
      <c r="B239" s="21"/>
      <c r="C239" s="8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40"/>
    </row>
    <row r="240" spans="1:24" ht="16.5" customHeight="1" thickBot="1" x14ac:dyDescent="0.3">
      <c r="A240" s="7">
        <v>6</v>
      </c>
      <c r="B240" s="37"/>
      <c r="C240" s="10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43"/>
    </row>
  </sheetData>
  <mergeCells count="482">
    <mergeCell ref="W233:W234"/>
    <mergeCell ref="G233:L233"/>
    <mergeCell ref="M233:M234"/>
    <mergeCell ref="N233:N234"/>
    <mergeCell ref="O233:O234"/>
    <mergeCell ref="P233:P234"/>
    <mergeCell ref="Q233:V233"/>
    <mergeCell ref="A232:B232"/>
    <mergeCell ref="C232:N232"/>
    <mergeCell ref="O232:P232"/>
    <mergeCell ref="Q232:W232"/>
    <mergeCell ref="A233:A234"/>
    <mergeCell ref="B233:B234"/>
    <mergeCell ref="C233:C234"/>
    <mergeCell ref="D233:D234"/>
    <mergeCell ref="E233:E234"/>
    <mergeCell ref="F233:F234"/>
    <mergeCell ref="A231:B231"/>
    <mergeCell ref="G231:H231"/>
    <mergeCell ref="I231:N231"/>
    <mergeCell ref="O231:P231"/>
    <mergeCell ref="Q231:W231"/>
    <mergeCell ref="G221:L221"/>
    <mergeCell ref="M221:M222"/>
    <mergeCell ref="N221:N222"/>
    <mergeCell ref="O221:O222"/>
    <mergeCell ref="P221:P222"/>
    <mergeCell ref="Q221:V221"/>
    <mergeCell ref="C231:D231"/>
    <mergeCell ref="E231:F231"/>
    <mergeCell ref="A220:B220"/>
    <mergeCell ref="C220:N220"/>
    <mergeCell ref="O220:P220"/>
    <mergeCell ref="Q220:W220"/>
    <mergeCell ref="A221:A222"/>
    <mergeCell ref="B221:B222"/>
    <mergeCell ref="C221:C222"/>
    <mergeCell ref="D221:D222"/>
    <mergeCell ref="E221:E222"/>
    <mergeCell ref="F221:F222"/>
    <mergeCell ref="W221:W222"/>
    <mergeCell ref="A219:B219"/>
    <mergeCell ref="G219:H219"/>
    <mergeCell ref="I219:N219"/>
    <mergeCell ref="O219:P219"/>
    <mergeCell ref="Q219:W219"/>
    <mergeCell ref="G209:L209"/>
    <mergeCell ref="M209:M210"/>
    <mergeCell ref="N209:N210"/>
    <mergeCell ref="O209:O210"/>
    <mergeCell ref="P209:P210"/>
    <mergeCell ref="Q209:V209"/>
    <mergeCell ref="C219:D219"/>
    <mergeCell ref="E219:F219"/>
    <mergeCell ref="A208:B208"/>
    <mergeCell ref="C208:N208"/>
    <mergeCell ref="O208:P208"/>
    <mergeCell ref="Q208:W208"/>
    <mergeCell ref="A209:A210"/>
    <mergeCell ref="B209:B210"/>
    <mergeCell ref="C209:C210"/>
    <mergeCell ref="D209:D210"/>
    <mergeCell ref="E209:E210"/>
    <mergeCell ref="F209:F210"/>
    <mergeCell ref="W209:W210"/>
    <mergeCell ref="A207:B207"/>
    <mergeCell ref="G207:H207"/>
    <mergeCell ref="I207:N207"/>
    <mergeCell ref="O207:P207"/>
    <mergeCell ref="Q207:W207"/>
    <mergeCell ref="G197:L197"/>
    <mergeCell ref="M197:M198"/>
    <mergeCell ref="N197:N198"/>
    <mergeCell ref="O197:O198"/>
    <mergeCell ref="P197:P198"/>
    <mergeCell ref="Q197:V197"/>
    <mergeCell ref="C207:D207"/>
    <mergeCell ref="E207:F207"/>
    <mergeCell ref="A196:B196"/>
    <mergeCell ref="C196:N196"/>
    <mergeCell ref="O196:P196"/>
    <mergeCell ref="Q196:W196"/>
    <mergeCell ref="A197:A198"/>
    <mergeCell ref="B197:B198"/>
    <mergeCell ref="C197:C198"/>
    <mergeCell ref="D197:D198"/>
    <mergeCell ref="E197:E198"/>
    <mergeCell ref="F197:F198"/>
    <mergeCell ref="W197:W198"/>
    <mergeCell ref="A195:B195"/>
    <mergeCell ref="G195:H195"/>
    <mergeCell ref="I195:N195"/>
    <mergeCell ref="O195:P195"/>
    <mergeCell ref="Q195:W195"/>
    <mergeCell ref="G185:L185"/>
    <mergeCell ref="M185:M186"/>
    <mergeCell ref="N185:N186"/>
    <mergeCell ref="O185:O186"/>
    <mergeCell ref="P185:P186"/>
    <mergeCell ref="Q185:V185"/>
    <mergeCell ref="C195:D195"/>
    <mergeCell ref="E195:F195"/>
    <mergeCell ref="A184:B184"/>
    <mergeCell ref="C184:N184"/>
    <mergeCell ref="O184:P184"/>
    <mergeCell ref="Q184:W184"/>
    <mergeCell ref="A185:A186"/>
    <mergeCell ref="B185:B186"/>
    <mergeCell ref="C185:C186"/>
    <mergeCell ref="D185:D186"/>
    <mergeCell ref="E185:E186"/>
    <mergeCell ref="F185:F186"/>
    <mergeCell ref="W185:W186"/>
    <mergeCell ref="A183:B183"/>
    <mergeCell ref="G183:H183"/>
    <mergeCell ref="I183:N183"/>
    <mergeCell ref="O183:P183"/>
    <mergeCell ref="Q183:W183"/>
    <mergeCell ref="G173:L173"/>
    <mergeCell ref="M173:M174"/>
    <mergeCell ref="N173:N174"/>
    <mergeCell ref="O173:O174"/>
    <mergeCell ref="P173:P174"/>
    <mergeCell ref="Q173:V173"/>
    <mergeCell ref="C183:D183"/>
    <mergeCell ref="E183:F183"/>
    <mergeCell ref="A172:B172"/>
    <mergeCell ref="C172:N172"/>
    <mergeCell ref="O172:P172"/>
    <mergeCell ref="Q172:W172"/>
    <mergeCell ref="A173:A174"/>
    <mergeCell ref="B173:B174"/>
    <mergeCell ref="C173:C174"/>
    <mergeCell ref="D173:D174"/>
    <mergeCell ref="E173:E174"/>
    <mergeCell ref="F173:F174"/>
    <mergeCell ref="W173:W174"/>
    <mergeCell ref="A171:B171"/>
    <mergeCell ref="G171:H171"/>
    <mergeCell ref="I171:N171"/>
    <mergeCell ref="O171:P171"/>
    <mergeCell ref="Q171:W171"/>
    <mergeCell ref="G161:L161"/>
    <mergeCell ref="M161:M162"/>
    <mergeCell ref="N161:N162"/>
    <mergeCell ref="O161:O162"/>
    <mergeCell ref="P161:P162"/>
    <mergeCell ref="Q161:V161"/>
    <mergeCell ref="C171:D171"/>
    <mergeCell ref="E171:F171"/>
    <mergeCell ref="A160:B160"/>
    <mergeCell ref="C160:N160"/>
    <mergeCell ref="O160:P160"/>
    <mergeCell ref="Q160:W160"/>
    <mergeCell ref="A161:A162"/>
    <mergeCell ref="B161:B162"/>
    <mergeCell ref="C161:C162"/>
    <mergeCell ref="D161:D162"/>
    <mergeCell ref="E161:E162"/>
    <mergeCell ref="F161:F162"/>
    <mergeCell ref="W161:W162"/>
    <mergeCell ref="A159:B159"/>
    <mergeCell ref="G159:H159"/>
    <mergeCell ref="I159:N159"/>
    <mergeCell ref="O159:P159"/>
    <mergeCell ref="Q159:W159"/>
    <mergeCell ref="G149:L149"/>
    <mergeCell ref="M149:M150"/>
    <mergeCell ref="N149:N150"/>
    <mergeCell ref="O149:O150"/>
    <mergeCell ref="P149:P150"/>
    <mergeCell ref="Q149:V149"/>
    <mergeCell ref="C159:D159"/>
    <mergeCell ref="E159:F159"/>
    <mergeCell ref="A148:B148"/>
    <mergeCell ref="C148:N148"/>
    <mergeCell ref="O148:P148"/>
    <mergeCell ref="Q148:W148"/>
    <mergeCell ref="A149:A150"/>
    <mergeCell ref="B149:B150"/>
    <mergeCell ref="C149:C150"/>
    <mergeCell ref="D149:D150"/>
    <mergeCell ref="E149:E150"/>
    <mergeCell ref="F149:F150"/>
    <mergeCell ref="W149:W150"/>
    <mergeCell ref="A147:B147"/>
    <mergeCell ref="G147:H147"/>
    <mergeCell ref="I147:N147"/>
    <mergeCell ref="O147:P147"/>
    <mergeCell ref="Q147:W147"/>
    <mergeCell ref="G137:L137"/>
    <mergeCell ref="M137:M138"/>
    <mergeCell ref="N137:N138"/>
    <mergeCell ref="O137:O138"/>
    <mergeCell ref="P137:P138"/>
    <mergeCell ref="Q137:V137"/>
    <mergeCell ref="C147:D147"/>
    <mergeCell ref="E147:F147"/>
    <mergeCell ref="A136:B136"/>
    <mergeCell ref="C136:N136"/>
    <mergeCell ref="O136:P136"/>
    <mergeCell ref="Q136:W136"/>
    <mergeCell ref="A137:A138"/>
    <mergeCell ref="B137:B138"/>
    <mergeCell ref="C137:C138"/>
    <mergeCell ref="D137:D138"/>
    <mergeCell ref="E137:E138"/>
    <mergeCell ref="F137:F138"/>
    <mergeCell ref="W137:W138"/>
    <mergeCell ref="A135:B135"/>
    <mergeCell ref="G135:H135"/>
    <mergeCell ref="I135:N135"/>
    <mergeCell ref="O135:P135"/>
    <mergeCell ref="Q135:W135"/>
    <mergeCell ref="G125:L125"/>
    <mergeCell ref="M125:M126"/>
    <mergeCell ref="N125:N126"/>
    <mergeCell ref="O125:O126"/>
    <mergeCell ref="P125:P126"/>
    <mergeCell ref="Q125:V125"/>
    <mergeCell ref="C135:D135"/>
    <mergeCell ref="E135:F135"/>
    <mergeCell ref="A124:B124"/>
    <mergeCell ref="C124:N124"/>
    <mergeCell ref="O124:P124"/>
    <mergeCell ref="Q124:W124"/>
    <mergeCell ref="A125:A126"/>
    <mergeCell ref="B125:B126"/>
    <mergeCell ref="C125:C126"/>
    <mergeCell ref="D125:D126"/>
    <mergeCell ref="E125:E126"/>
    <mergeCell ref="F125:F126"/>
    <mergeCell ref="W125:W126"/>
    <mergeCell ref="A123:B123"/>
    <mergeCell ref="G123:H123"/>
    <mergeCell ref="I123:N123"/>
    <mergeCell ref="O123:P123"/>
    <mergeCell ref="Q123:W123"/>
    <mergeCell ref="G113:L113"/>
    <mergeCell ref="M113:M114"/>
    <mergeCell ref="N113:N114"/>
    <mergeCell ref="O113:O114"/>
    <mergeCell ref="P113:P114"/>
    <mergeCell ref="Q113:V113"/>
    <mergeCell ref="C123:D123"/>
    <mergeCell ref="E123:F123"/>
    <mergeCell ref="A112:B112"/>
    <mergeCell ref="C112:N112"/>
    <mergeCell ref="O112:P112"/>
    <mergeCell ref="Q112:W112"/>
    <mergeCell ref="A113:A114"/>
    <mergeCell ref="B113:B114"/>
    <mergeCell ref="C113:C114"/>
    <mergeCell ref="D113:D114"/>
    <mergeCell ref="E113:E114"/>
    <mergeCell ref="F113:F114"/>
    <mergeCell ref="W113:W114"/>
    <mergeCell ref="A111:B111"/>
    <mergeCell ref="G111:H111"/>
    <mergeCell ref="I111:N111"/>
    <mergeCell ref="O111:P111"/>
    <mergeCell ref="Q111:W111"/>
    <mergeCell ref="G101:L101"/>
    <mergeCell ref="M101:M102"/>
    <mergeCell ref="N101:N102"/>
    <mergeCell ref="O101:O102"/>
    <mergeCell ref="P101:P102"/>
    <mergeCell ref="Q101:V101"/>
    <mergeCell ref="C111:D111"/>
    <mergeCell ref="E111:F111"/>
    <mergeCell ref="A100:B100"/>
    <mergeCell ref="C100:N100"/>
    <mergeCell ref="O100:P100"/>
    <mergeCell ref="Q100:W100"/>
    <mergeCell ref="A101:A102"/>
    <mergeCell ref="B101:B102"/>
    <mergeCell ref="C101:C102"/>
    <mergeCell ref="D101:D102"/>
    <mergeCell ref="E101:E102"/>
    <mergeCell ref="F101:F102"/>
    <mergeCell ref="W101:W102"/>
    <mergeCell ref="A99:B99"/>
    <mergeCell ref="G99:H99"/>
    <mergeCell ref="I99:N99"/>
    <mergeCell ref="O99:P99"/>
    <mergeCell ref="Q99:W99"/>
    <mergeCell ref="G89:L89"/>
    <mergeCell ref="M89:M90"/>
    <mergeCell ref="N89:N90"/>
    <mergeCell ref="O89:O90"/>
    <mergeCell ref="P89:P90"/>
    <mergeCell ref="Q89:V89"/>
    <mergeCell ref="C99:D99"/>
    <mergeCell ref="E99:F99"/>
    <mergeCell ref="A88:B88"/>
    <mergeCell ref="C88:N88"/>
    <mergeCell ref="O88:P88"/>
    <mergeCell ref="Q88:W88"/>
    <mergeCell ref="A89:A90"/>
    <mergeCell ref="B89:B90"/>
    <mergeCell ref="C89:C90"/>
    <mergeCell ref="D89:D90"/>
    <mergeCell ref="E89:E90"/>
    <mergeCell ref="F89:F90"/>
    <mergeCell ref="W89:W90"/>
    <mergeCell ref="A87:B87"/>
    <mergeCell ref="G87:H87"/>
    <mergeCell ref="I87:N87"/>
    <mergeCell ref="O87:P87"/>
    <mergeCell ref="Q87:W87"/>
    <mergeCell ref="G77:L77"/>
    <mergeCell ref="M77:M78"/>
    <mergeCell ref="N77:N78"/>
    <mergeCell ref="O77:O78"/>
    <mergeCell ref="P77:P78"/>
    <mergeCell ref="Q77:V77"/>
    <mergeCell ref="C87:D87"/>
    <mergeCell ref="E87:F87"/>
    <mergeCell ref="A76:B76"/>
    <mergeCell ref="C76:N76"/>
    <mergeCell ref="O76:P76"/>
    <mergeCell ref="Q76:W76"/>
    <mergeCell ref="A77:A78"/>
    <mergeCell ref="B77:B78"/>
    <mergeCell ref="C77:C78"/>
    <mergeCell ref="D77:D78"/>
    <mergeCell ref="E77:E78"/>
    <mergeCell ref="F77:F78"/>
    <mergeCell ref="W77:W78"/>
    <mergeCell ref="A75:B75"/>
    <mergeCell ref="G75:H75"/>
    <mergeCell ref="I75:N75"/>
    <mergeCell ref="O75:P75"/>
    <mergeCell ref="Q75:W75"/>
    <mergeCell ref="G65:L65"/>
    <mergeCell ref="M65:M66"/>
    <mergeCell ref="N65:N66"/>
    <mergeCell ref="O65:O66"/>
    <mergeCell ref="P65:P66"/>
    <mergeCell ref="Q65:V65"/>
    <mergeCell ref="C75:D75"/>
    <mergeCell ref="E75:F75"/>
    <mergeCell ref="A64:B64"/>
    <mergeCell ref="C64:N64"/>
    <mergeCell ref="O64:P64"/>
    <mergeCell ref="Q64:W64"/>
    <mergeCell ref="A65:A66"/>
    <mergeCell ref="B65:B66"/>
    <mergeCell ref="C65:C66"/>
    <mergeCell ref="D65:D66"/>
    <mergeCell ref="E65:E66"/>
    <mergeCell ref="F65:F66"/>
    <mergeCell ref="W65:W66"/>
    <mergeCell ref="A63:B63"/>
    <mergeCell ref="G63:H63"/>
    <mergeCell ref="I63:N63"/>
    <mergeCell ref="O63:P63"/>
    <mergeCell ref="Q63:W63"/>
    <mergeCell ref="G53:L53"/>
    <mergeCell ref="M53:M54"/>
    <mergeCell ref="N53:N54"/>
    <mergeCell ref="O53:O54"/>
    <mergeCell ref="P53:P54"/>
    <mergeCell ref="Q53:V53"/>
    <mergeCell ref="C63:D63"/>
    <mergeCell ref="E63:F63"/>
    <mergeCell ref="A52:B52"/>
    <mergeCell ref="C52:N52"/>
    <mergeCell ref="O52:P52"/>
    <mergeCell ref="Q52:W52"/>
    <mergeCell ref="A53:A54"/>
    <mergeCell ref="B53:B54"/>
    <mergeCell ref="C53:C54"/>
    <mergeCell ref="D53:D54"/>
    <mergeCell ref="E53:E54"/>
    <mergeCell ref="F53:F54"/>
    <mergeCell ref="W53:W54"/>
    <mergeCell ref="A51:B51"/>
    <mergeCell ref="G51:H51"/>
    <mergeCell ref="I51:N51"/>
    <mergeCell ref="O51:P51"/>
    <mergeCell ref="Q51:W51"/>
    <mergeCell ref="G41:L41"/>
    <mergeCell ref="M41:M42"/>
    <mergeCell ref="N41:N42"/>
    <mergeCell ref="O41:O42"/>
    <mergeCell ref="P41:P42"/>
    <mergeCell ref="Q41:V41"/>
    <mergeCell ref="C51:D51"/>
    <mergeCell ref="E51:F51"/>
    <mergeCell ref="A40:B40"/>
    <mergeCell ref="C40:N40"/>
    <mergeCell ref="O40:P40"/>
    <mergeCell ref="Q40:W40"/>
    <mergeCell ref="A41:A42"/>
    <mergeCell ref="B41:B42"/>
    <mergeCell ref="C41:C42"/>
    <mergeCell ref="D41:D42"/>
    <mergeCell ref="E41:E42"/>
    <mergeCell ref="F41:F42"/>
    <mergeCell ref="W41:W42"/>
    <mergeCell ref="A39:B39"/>
    <mergeCell ref="G39:H39"/>
    <mergeCell ref="I39:N39"/>
    <mergeCell ref="O39:P39"/>
    <mergeCell ref="Q39:W39"/>
    <mergeCell ref="G29:L29"/>
    <mergeCell ref="M29:M30"/>
    <mergeCell ref="N29:N30"/>
    <mergeCell ref="O29:O30"/>
    <mergeCell ref="P29:P30"/>
    <mergeCell ref="Q29:V29"/>
    <mergeCell ref="C39:D39"/>
    <mergeCell ref="E39:F39"/>
    <mergeCell ref="A28:B28"/>
    <mergeCell ref="C28:N28"/>
    <mergeCell ref="O28:P28"/>
    <mergeCell ref="Q28:W28"/>
    <mergeCell ref="A29:A30"/>
    <mergeCell ref="B29:B30"/>
    <mergeCell ref="C29:C30"/>
    <mergeCell ref="D29:D30"/>
    <mergeCell ref="E29:E30"/>
    <mergeCell ref="F29:F30"/>
    <mergeCell ref="W29:W30"/>
    <mergeCell ref="A27:B27"/>
    <mergeCell ref="G27:H27"/>
    <mergeCell ref="I27:N27"/>
    <mergeCell ref="O27:P27"/>
    <mergeCell ref="Q27:W27"/>
    <mergeCell ref="G17:L17"/>
    <mergeCell ref="M17:M18"/>
    <mergeCell ref="N17:N18"/>
    <mergeCell ref="O17:O18"/>
    <mergeCell ref="P17:P18"/>
    <mergeCell ref="Q17:V17"/>
    <mergeCell ref="C27:D27"/>
    <mergeCell ref="E27:F27"/>
    <mergeCell ref="A16:B16"/>
    <mergeCell ref="C16:N16"/>
    <mergeCell ref="O16:P16"/>
    <mergeCell ref="Q16:W16"/>
    <mergeCell ref="A17:A18"/>
    <mergeCell ref="B17:B18"/>
    <mergeCell ref="C17:C18"/>
    <mergeCell ref="D17:D18"/>
    <mergeCell ref="E17:E18"/>
    <mergeCell ref="F17:F18"/>
    <mergeCell ref="W17:W18"/>
    <mergeCell ref="A5:A6"/>
    <mergeCell ref="B5:B6"/>
    <mergeCell ref="C5:C6"/>
    <mergeCell ref="D5:D6"/>
    <mergeCell ref="E5:E6"/>
    <mergeCell ref="F5:F6"/>
    <mergeCell ref="W5:W6"/>
    <mergeCell ref="A15:B15"/>
    <mergeCell ref="G15:H15"/>
    <mergeCell ref="I15:N15"/>
    <mergeCell ref="O15:P15"/>
    <mergeCell ref="Q15:W15"/>
    <mergeCell ref="G5:L5"/>
    <mergeCell ref="M5:M6"/>
    <mergeCell ref="N5:N6"/>
    <mergeCell ref="O5:O6"/>
    <mergeCell ref="P5:P6"/>
    <mergeCell ref="Q5:V5"/>
    <mergeCell ref="C15:D15"/>
    <mergeCell ref="E15:F15"/>
    <mergeCell ref="A1:W1"/>
    <mergeCell ref="A2:W2"/>
    <mergeCell ref="A3:B3"/>
    <mergeCell ref="G3:H3"/>
    <mergeCell ref="I3:N3"/>
    <mergeCell ref="O3:P3"/>
    <mergeCell ref="Q3:W3"/>
    <mergeCell ref="A4:B4"/>
    <mergeCell ref="C4:N4"/>
    <mergeCell ref="O4:P4"/>
    <mergeCell ref="Q4:W4"/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603E-C0B0-4E0F-9BE5-8914A5AFAE80}">
  <dimension ref="A1:X240"/>
  <sheetViews>
    <sheetView workbookViewId="0">
      <selection activeCell="C231" sqref="C231:D231"/>
    </sheetView>
  </sheetViews>
  <sheetFormatPr baseColWidth="10" defaultColWidth="11.42578125" defaultRowHeight="15" x14ac:dyDescent="0.25"/>
  <cols>
    <col min="1" max="1" width="7.5703125" customWidth="1"/>
    <col min="2" max="2" width="10.85546875" customWidth="1"/>
    <col min="3" max="3" width="13.85546875" customWidth="1"/>
    <col min="4" max="4" width="12.5703125" bestFit="1" customWidth="1"/>
    <col min="7" max="7" width="5.140625" customWidth="1"/>
    <col min="8" max="8" width="4.85546875" customWidth="1"/>
    <col min="9" max="9" width="5.140625" customWidth="1"/>
    <col min="10" max="10" width="5.42578125" customWidth="1"/>
    <col min="11" max="11" width="4.85546875" customWidth="1"/>
    <col min="12" max="12" width="5" customWidth="1"/>
    <col min="13" max="13" width="9.5703125" customWidth="1"/>
    <col min="14" max="14" width="12.7109375" customWidth="1"/>
    <col min="15" max="15" width="9.5703125" customWidth="1"/>
    <col min="16" max="16" width="10.7109375" customWidth="1"/>
    <col min="17" max="17" width="5.42578125" customWidth="1"/>
    <col min="18" max="18" width="5.28515625" customWidth="1"/>
    <col min="19" max="19" width="5" customWidth="1"/>
    <col min="20" max="20" width="5.5703125" customWidth="1"/>
    <col min="21" max="21" width="5" customWidth="1"/>
    <col min="22" max="22" width="5.140625" customWidth="1"/>
    <col min="23" max="23" width="15.140625" bestFit="1" customWidth="1"/>
  </cols>
  <sheetData>
    <row r="1" spans="1:24" s="4" customFormat="1" ht="20.100000000000001" customHeight="1" x14ac:dyDescent="0.3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s="2" customFormat="1" ht="30" customHeight="1" thickBot="1" x14ac:dyDescent="0.3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4" ht="20.100000000000001" customHeight="1" x14ac:dyDescent="0.25">
      <c r="A3" s="100" t="s">
        <v>2</v>
      </c>
      <c r="B3" s="101"/>
      <c r="C3" s="182" t="s">
        <v>68</v>
      </c>
      <c r="D3" s="183"/>
      <c r="E3" s="111" t="s">
        <v>382</v>
      </c>
      <c r="F3" s="112"/>
      <c r="G3" s="101" t="s">
        <v>4</v>
      </c>
      <c r="H3" s="101"/>
      <c r="I3" s="102" t="s">
        <v>5</v>
      </c>
      <c r="J3" s="102"/>
      <c r="K3" s="102"/>
      <c r="L3" s="102"/>
      <c r="M3" s="102"/>
      <c r="N3" s="102"/>
      <c r="O3" s="101" t="s">
        <v>6</v>
      </c>
      <c r="P3" s="101"/>
      <c r="Q3" s="103"/>
      <c r="R3" s="104"/>
      <c r="S3" s="104"/>
      <c r="T3" s="104"/>
      <c r="U3" s="104"/>
      <c r="V3" s="104"/>
      <c r="W3" s="105"/>
      <c r="X3" s="1"/>
    </row>
    <row r="4" spans="1:24" ht="20.100000000000001" customHeight="1" x14ac:dyDescent="0.25">
      <c r="A4" s="106" t="s">
        <v>7</v>
      </c>
      <c r="B4" s="107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7"/>
      <c r="R4" s="107"/>
      <c r="S4" s="107"/>
      <c r="T4" s="107"/>
      <c r="U4" s="107"/>
      <c r="V4" s="107"/>
      <c r="W4" s="110"/>
      <c r="X4" s="1"/>
    </row>
    <row r="5" spans="1:24" ht="24.95" customHeight="1" x14ac:dyDescent="0.25">
      <c r="A5" s="113" t="s">
        <v>8</v>
      </c>
      <c r="B5" s="114" t="s">
        <v>9</v>
      </c>
      <c r="C5" s="114" t="s">
        <v>10</v>
      </c>
      <c r="D5" s="114" t="s">
        <v>11</v>
      </c>
      <c r="E5" s="114" t="s">
        <v>12</v>
      </c>
      <c r="F5" s="114" t="s">
        <v>13</v>
      </c>
      <c r="G5" s="114" t="s">
        <v>14</v>
      </c>
      <c r="H5" s="114"/>
      <c r="I5" s="114"/>
      <c r="J5" s="114"/>
      <c r="K5" s="114"/>
      <c r="L5" s="114"/>
      <c r="M5" s="114" t="s">
        <v>15</v>
      </c>
      <c r="N5" s="114" t="s">
        <v>16</v>
      </c>
      <c r="O5" s="114" t="s">
        <v>17</v>
      </c>
      <c r="P5" s="114" t="s">
        <v>18</v>
      </c>
      <c r="Q5" s="114" t="s">
        <v>19</v>
      </c>
      <c r="R5" s="114"/>
      <c r="S5" s="114"/>
      <c r="T5" s="114"/>
      <c r="U5" s="114"/>
      <c r="V5" s="114"/>
      <c r="W5" s="115" t="s">
        <v>20</v>
      </c>
      <c r="X5" s="3"/>
    </row>
    <row r="6" spans="1:24" ht="24.95" customHeight="1" x14ac:dyDescent="0.25">
      <c r="A6" s="113"/>
      <c r="B6" s="114"/>
      <c r="C6" s="114"/>
      <c r="D6" s="114"/>
      <c r="E6" s="114"/>
      <c r="F6" s="114"/>
      <c r="G6" s="31" t="s">
        <v>21</v>
      </c>
      <c r="H6" s="31" t="s">
        <v>21</v>
      </c>
      <c r="I6" s="31" t="s">
        <v>21</v>
      </c>
      <c r="J6" s="31" t="s">
        <v>22</v>
      </c>
      <c r="K6" s="31" t="s">
        <v>22</v>
      </c>
      <c r="L6" s="31" t="s">
        <v>22</v>
      </c>
      <c r="M6" s="114"/>
      <c r="N6" s="114"/>
      <c r="O6" s="114"/>
      <c r="P6" s="114"/>
      <c r="Q6" s="31" t="s">
        <v>21</v>
      </c>
      <c r="R6" s="31" t="s">
        <v>21</v>
      </c>
      <c r="S6" s="31" t="s">
        <v>21</v>
      </c>
      <c r="T6" s="31" t="s">
        <v>22</v>
      </c>
      <c r="U6" s="31" t="s">
        <v>22</v>
      </c>
      <c r="V6" s="31" t="s">
        <v>22</v>
      </c>
      <c r="W6" s="115"/>
      <c r="X6" s="3"/>
    </row>
    <row r="7" spans="1:24" ht="15" customHeight="1" x14ac:dyDescent="0.25">
      <c r="A7" s="5">
        <v>1</v>
      </c>
      <c r="B7" s="21" t="s">
        <v>232</v>
      </c>
      <c r="C7" s="13">
        <v>45738</v>
      </c>
      <c r="D7" s="8" t="s">
        <v>371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2"/>
    </row>
    <row r="8" spans="1:24" ht="16.5" customHeight="1" x14ac:dyDescent="0.25">
      <c r="A8" s="5">
        <v>2</v>
      </c>
      <c r="B8" s="21" t="s">
        <v>231</v>
      </c>
      <c r="C8" s="13">
        <v>45851</v>
      </c>
      <c r="D8" s="13">
        <v>45927</v>
      </c>
      <c r="E8" s="21">
        <v>2</v>
      </c>
      <c r="F8" s="21">
        <v>0</v>
      </c>
      <c r="G8" s="21">
        <v>131</v>
      </c>
      <c r="H8" s="21"/>
      <c r="I8" s="21"/>
      <c r="J8" s="21">
        <v>117</v>
      </c>
      <c r="K8" s="21"/>
      <c r="L8" s="21"/>
      <c r="M8" s="21">
        <f>AVERAGE(G8:L8)</f>
        <v>124</v>
      </c>
      <c r="N8" s="20">
        <v>45944</v>
      </c>
      <c r="O8" s="21">
        <v>2</v>
      </c>
      <c r="P8" s="21">
        <v>0</v>
      </c>
      <c r="Q8" s="21">
        <v>264</v>
      </c>
      <c r="R8" s="21"/>
      <c r="S8" s="21"/>
      <c r="T8" s="21">
        <v>242</v>
      </c>
      <c r="U8" s="21"/>
      <c r="V8" s="21"/>
      <c r="W8" s="22">
        <f>AVERAGE(Q8:V8)</f>
        <v>253</v>
      </c>
    </row>
    <row r="9" spans="1:24" ht="14.25" customHeight="1" x14ac:dyDescent="0.25">
      <c r="A9" s="5">
        <v>3</v>
      </c>
      <c r="B9" s="21" t="s">
        <v>23</v>
      </c>
      <c r="C9" s="13">
        <v>45950</v>
      </c>
      <c r="D9" s="13">
        <v>46029</v>
      </c>
      <c r="E9" s="21">
        <v>3</v>
      </c>
      <c r="F9" s="21">
        <v>0</v>
      </c>
      <c r="G9" s="21">
        <v>128</v>
      </c>
      <c r="H9" s="21">
        <v>111</v>
      </c>
      <c r="I9" s="21"/>
      <c r="J9" s="21">
        <v>125</v>
      </c>
      <c r="K9" s="21"/>
      <c r="L9" s="21"/>
      <c r="M9" s="41">
        <f>AVERAGE(G9:L9)</f>
        <v>121.33333333333333</v>
      </c>
      <c r="N9" s="20">
        <v>46055</v>
      </c>
      <c r="O9" s="21">
        <v>2</v>
      </c>
      <c r="P9" s="21">
        <v>1</v>
      </c>
      <c r="Q9" s="21">
        <v>261</v>
      </c>
      <c r="R9" s="21"/>
      <c r="S9" s="21"/>
      <c r="T9" s="21">
        <v>280</v>
      </c>
      <c r="U9" s="21"/>
      <c r="V9" s="21"/>
      <c r="W9" s="22">
        <f>AVERAGE(Q9:V9)</f>
        <v>270.5</v>
      </c>
    </row>
    <row r="10" spans="1:24" ht="16.5" customHeight="1" x14ac:dyDescent="0.25">
      <c r="A10" s="5">
        <v>4</v>
      </c>
      <c r="B10" s="21" t="s">
        <v>23</v>
      </c>
      <c r="C10" s="13">
        <v>46070</v>
      </c>
      <c r="D10" s="13">
        <v>46143</v>
      </c>
      <c r="E10" s="21">
        <v>3</v>
      </c>
      <c r="F10" s="21">
        <v>3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2"/>
    </row>
    <row r="11" spans="1:24" ht="16.5" customHeight="1" x14ac:dyDescent="0.25">
      <c r="A11" s="5">
        <v>5</v>
      </c>
      <c r="B11" s="21" t="s">
        <v>23</v>
      </c>
      <c r="C11" s="13">
        <v>46181</v>
      </c>
      <c r="D11" s="8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2"/>
    </row>
    <row r="12" spans="1:24" ht="15.75" customHeight="1" thickBot="1" x14ac:dyDescent="0.3">
      <c r="A12" s="7">
        <v>6</v>
      </c>
      <c r="B12" s="37"/>
      <c r="C12" s="10"/>
      <c r="D12" s="10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9"/>
    </row>
    <row r="13" spans="1:24" ht="20.100000000000001" customHeight="1" x14ac:dyDescent="0.25"/>
    <row r="14" spans="1:24" ht="20.100000000000001" customHeight="1" thickBot="1" x14ac:dyDescent="0.3"/>
    <row r="15" spans="1:24" ht="20.100000000000001" customHeight="1" x14ac:dyDescent="0.25">
      <c r="A15" s="100" t="s">
        <v>2</v>
      </c>
      <c r="B15" s="101"/>
      <c r="C15" s="182" t="s">
        <v>69</v>
      </c>
      <c r="D15" s="183"/>
      <c r="E15" s="111" t="s">
        <v>380</v>
      </c>
      <c r="F15" s="112"/>
      <c r="G15" s="101" t="s">
        <v>4</v>
      </c>
      <c r="H15" s="101"/>
      <c r="I15" s="102" t="s">
        <v>5</v>
      </c>
      <c r="J15" s="102"/>
      <c r="K15" s="102"/>
      <c r="L15" s="102"/>
      <c r="M15" s="102"/>
      <c r="N15" s="102"/>
      <c r="O15" s="101" t="s">
        <v>6</v>
      </c>
      <c r="P15" s="101"/>
      <c r="Q15" s="103"/>
      <c r="R15" s="104"/>
      <c r="S15" s="104"/>
      <c r="T15" s="104"/>
      <c r="U15" s="104"/>
      <c r="V15" s="104"/>
      <c r="W15" s="105"/>
      <c r="X15" s="1"/>
    </row>
    <row r="16" spans="1:24" ht="20.100000000000001" customHeight="1" x14ac:dyDescent="0.25">
      <c r="A16" s="106" t="s">
        <v>7</v>
      </c>
      <c r="B16" s="107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7"/>
      <c r="R16" s="107"/>
      <c r="S16" s="107"/>
      <c r="T16" s="107"/>
      <c r="U16" s="107"/>
      <c r="V16" s="107"/>
      <c r="W16" s="110"/>
      <c r="X16" s="1"/>
    </row>
    <row r="17" spans="1:24" ht="24.95" customHeight="1" x14ac:dyDescent="0.25">
      <c r="A17" s="113" t="s">
        <v>8</v>
      </c>
      <c r="B17" s="114" t="s">
        <v>9</v>
      </c>
      <c r="C17" s="114" t="s">
        <v>10</v>
      </c>
      <c r="D17" s="114" t="s">
        <v>11</v>
      </c>
      <c r="E17" s="114" t="s">
        <v>12</v>
      </c>
      <c r="F17" s="114" t="s">
        <v>13</v>
      </c>
      <c r="G17" s="114" t="s">
        <v>14</v>
      </c>
      <c r="H17" s="114"/>
      <c r="I17" s="114"/>
      <c r="J17" s="114"/>
      <c r="K17" s="114"/>
      <c r="L17" s="114"/>
      <c r="M17" s="114" t="s">
        <v>15</v>
      </c>
      <c r="N17" s="114" t="s">
        <v>16</v>
      </c>
      <c r="O17" s="114" t="s">
        <v>17</v>
      </c>
      <c r="P17" s="114" t="s">
        <v>18</v>
      </c>
      <c r="Q17" s="114" t="s">
        <v>19</v>
      </c>
      <c r="R17" s="114"/>
      <c r="S17" s="114"/>
      <c r="T17" s="114"/>
      <c r="U17" s="114"/>
      <c r="V17" s="114"/>
      <c r="W17" s="115" t="s">
        <v>20</v>
      </c>
      <c r="X17" s="3"/>
    </row>
    <row r="18" spans="1:24" ht="24.95" customHeight="1" x14ac:dyDescent="0.25">
      <c r="A18" s="113"/>
      <c r="B18" s="114"/>
      <c r="C18" s="114"/>
      <c r="D18" s="114"/>
      <c r="E18" s="114"/>
      <c r="F18" s="114"/>
      <c r="G18" s="31" t="s">
        <v>21</v>
      </c>
      <c r="H18" s="31" t="s">
        <v>21</v>
      </c>
      <c r="I18" s="31" t="s">
        <v>21</v>
      </c>
      <c r="J18" s="31" t="s">
        <v>22</v>
      </c>
      <c r="K18" s="31" t="s">
        <v>22</v>
      </c>
      <c r="L18" s="31" t="s">
        <v>22</v>
      </c>
      <c r="M18" s="114"/>
      <c r="N18" s="114"/>
      <c r="O18" s="114"/>
      <c r="P18" s="114"/>
      <c r="Q18" s="31" t="s">
        <v>21</v>
      </c>
      <c r="R18" s="31" t="s">
        <v>21</v>
      </c>
      <c r="S18" s="31" t="s">
        <v>21</v>
      </c>
      <c r="T18" s="31" t="s">
        <v>22</v>
      </c>
      <c r="U18" s="31" t="s">
        <v>22</v>
      </c>
      <c r="V18" s="31" t="s">
        <v>22</v>
      </c>
      <c r="W18" s="115"/>
      <c r="X18" s="3"/>
    </row>
    <row r="19" spans="1:24" ht="15" customHeight="1" x14ac:dyDescent="0.25">
      <c r="A19" s="5">
        <v>1</v>
      </c>
      <c r="B19" s="21" t="s">
        <v>27</v>
      </c>
      <c r="C19" s="13">
        <v>45738</v>
      </c>
      <c r="D19" s="20">
        <v>45821</v>
      </c>
      <c r="E19" s="21">
        <v>2</v>
      </c>
      <c r="F19" s="21">
        <v>0</v>
      </c>
      <c r="G19" s="21">
        <v>159</v>
      </c>
      <c r="H19" s="21"/>
      <c r="I19" s="21"/>
      <c r="J19" s="21">
        <v>158</v>
      </c>
      <c r="K19" s="21"/>
      <c r="L19" s="21"/>
      <c r="M19" s="21">
        <f>AVERAGE(G19:L19)</f>
        <v>158.5</v>
      </c>
      <c r="N19" s="20">
        <v>45848</v>
      </c>
      <c r="O19" s="21">
        <v>2</v>
      </c>
      <c r="P19" s="21">
        <v>0</v>
      </c>
      <c r="Q19" s="21">
        <v>264</v>
      </c>
      <c r="R19" s="21"/>
      <c r="S19" s="21"/>
      <c r="T19" s="21">
        <v>334</v>
      </c>
      <c r="U19" s="21"/>
      <c r="V19" s="21"/>
      <c r="W19" s="22">
        <f>AVERAGE(Q19:V19)</f>
        <v>299</v>
      </c>
    </row>
    <row r="20" spans="1:24" ht="16.5" customHeight="1" x14ac:dyDescent="0.25">
      <c r="A20" s="5">
        <v>2</v>
      </c>
      <c r="B20" s="21" t="s">
        <v>29</v>
      </c>
      <c r="C20" s="13">
        <v>45851</v>
      </c>
      <c r="D20" s="20">
        <v>45924</v>
      </c>
      <c r="E20" s="21">
        <v>3</v>
      </c>
      <c r="F20" s="21">
        <v>0</v>
      </c>
      <c r="G20" s="21">
        <v>150</v>
      </c>
      <c r="H20" s="21"/>
      <c r="I20" s="21"/>
      <c r="J20" s="21">
        <v>139</v>
      </c>
      <c r="K20" s="21">
        <v>113</v>
      </c>
      <c r="L20" s="21"/>
      <c r="M20" s="21">
        <f>AVERAGE(G20:L20)</f>
        <v>134</v>
      </c>
      <c r="N20" s="20">
        <v>45944</v>
      </c>
      <c r="O20" s="21">
        <v>2</v>
      </c>
      <c r="P20" s="21">
        <v>1</v>
      </c>
      <c r="Q20" s="21">
        <v>233</v>
      </c>
      <c r="R20" s="21"/>
      <c r="S20" s="21"/>
      <c r="T20" s="21">
        <v>254</v>
      </c>
      <c r="U20" s="21"/>
      <c r="V20" s="21"/>
      <c r="W20" s="22">
        <f>AVERAGE(Q20:V20)</f>
        <v>243.5</v>
      </c>
    </row>
    <row r="21" spans="1:24" ht="15.75" customHeight="1" x14ac:dyDescent="0.25">
      <c r="A21" s="5">
        <v>3</v>
      </c>
      <c r="B21" s="21" t="s">
        <v>231</v>
      </c>
      <c r="C21" s="13">
        <v>45950</v>
      </c>
      <c r="D21" s="20">
        <v>46026</v>
      </c>
      <c r="E21" s="21">
        <v>3</v>
      </c>
      <c r="F21" s="21">
        <v>0</v>
      </c>
      <c r="G21" s="21">
        <v>128</v>
      </c>
      <c r="H21" s="21">
        <v>125</v>
      </c>
      <c r="I21" s="21"/>
      <c r="J21" s="21">
        <v>131</v>
      </c>
      <c r="K21" s="21"/>
      <c r="L21" s="21"/>
      <c r="M21" s="21">
        <f>AVERAGE(G21:L21)</f>
        <v>128</v>
      </c>
      <c r="N21" s="20">
        <v>46039</v>
      </c>
      <c r="O21" s="21">
        <v>2</v>
      </c>
      <c r="P21" s="21">
        <v>1</v>
      </c>
      <c r="Q21" s="21">
        <v>254</v>
      </c>
      <c r="R21" s="21"/>
      <c r="S21" s="21"/>
      <c r="T21" s="21">
        <v>200</v>
      </c>
      <c r="U21" s="21"/>
      <c r="V21" s="21"/>
      <c r="W21" s="22">
        <f>AVERAGE(Q21:V21)</f>
        <v>227</v>
      </c>
    </row>
    <row r="22" spans="1:24" ht="15.75" customHeight="1" x14ac:dyDescent="0.25">
      <c r="A22" s="5">
        <v>4</v>
      </c>
      <c r="B22" s="21" t="s">
        <v>231</v>
      </c>
      <c r="C22" s="13">
        <v>46039</v>
      </c>
      <c r="D22" s="20">
        <v>46110</v>
      </c>
      <c r="E22" s="21">
        <v>3</v>
      </c>
      <c r="F22" s="21">
        <v>1</v>
      </c>
      <c r="G22" s="21">
        <v>127</v>
      </c>
      <c r="H22" s="21"/>
      <c r="I22" s="21"/>
      <c r="J22" s="21">
        <v>138</v>
      </c>
      <c r="K22" s="21"/>
      <c r="L22" s="21"/>
      <c r="M22" s="21">
        <f>AVERAGE(G22:L22)</f>
        <v>132.5</v>
      </c>
      <c r="N22" s="20">
        <v>46133</v>
      </c>
      <c r="O22" s="21">
        <v>2</v>
      </c>
      <c r="P22" s="21">
        <v>0</v>
      </c>
      <c r="Q22" s="21">
        <v>385</v>
      </c>
      <c r="R22" s="21"/>
      <c r="S22" s="21"/>
      <c r="T22" s="21">
        <v>303</v>
      </c>
      <c r="U22" s="21"/>
      <c r="V22" s="21"/>
      <c r="W22" s="22">
        <f>AVERAGE(Q22:V22)</f>
        <v>344</v>
      </c>
    </row>
    <row r="23" spans="1:24" ht="16.5" customHeight="1" x14ac:dyDescent="0.25">
      <c r="A23" s="5">
        <v>5</v>
      </c>
      <c r="B23" s="21" t="s">
        <v>231</v>
      </c>
      <c r="C23" s="13">
        <v>46148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4" ht="16.5" customHeight="1" thickBot="1" x14ac:dyDescent="0.3">
      <c r="A24" s="7">
        <v>6</v>
      </c>
      <c r="B24" s="37"/>
      <c r="C24" s="10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9"/>
    </row>
    <row r="25" spans="1:24" ht="20.100000000000001" customHeight="1" x14ac:dyDescent="0.25"/>
    <row r="26" spans="1:24" ht="20.100000000000001" customHeight="1" thickBot="1" x14ac:dyDescent="0.3"/>
    <row r="27" spans="1:24" ht="20.100000000000001" customHeight="1" x14ac:dyDescent="0.25">
      <c r="A27" s="100" t="s">
        <v>2</v>
      </c>
      <c r="B27" s="101"/>
      <c r="C27" s="182" t="s">
        <v>70</v>
      </c>
      <c r="D27" s="183"/>
      <c r="E27" s="111" t="s">
        <v>379</v>
      </c>
      <c r="F27" s="112"/>
      <c r="G27" s="101" t="s">
        <v>4</v>
      </c>
      <c r="H27" s="101"/>
      <c r="I27" s="102" t="s">
        <v>5</v>
      </c>
      <c r="J27" s="102"/>
      <c r="K27" s="102"/>
      <c r="L27" s="102"/>
      <c r="M27" s="102"/>
      <c r="N27" s="102"/>
      <c r="O27" s="101" t="s">
        <v>6</v>
      </c>
      <c r="P27" s="101"/>
      <c r="Q27" s="103"/>
      <c r="R27" s="104"/>
      <c r="S27" s="104"/>
      <c r="T27" s="104"/>
      <c r="U27" s="104"/>
      <c r="V27" s="104"/>
      <c r="W27" s="105"/>
      <c r="X27" s="1"/>
    </row>
    <row r="28" spans="1:24" ht="20.100000000000001" customHeight="1" x14ac:dyDescent="0.25">
      <c r="A28" s="106" t="s">
        <v>7</v>
      </c>
      <c r="B28" s="107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7"/>
      <c r="R28" s="107"/>
      <c r="S28" s="107"/>
      <c r="T28" s="107"/>
      <c r="U28" s="107"/>
      <c r="V28" s="107"/>
      <c r="W28" s="110"/>
      <c r="X28" s="1"/>
    </row>
    <row r="29" spans="1:24" ht="24.95" customHeight="1" x14ac:dyDescent="0.25">
      <c r="A29" s="113" t="s">
        <v>8</v>
      </c>
      <c r="B29" s="114" t="s">
        <v>9</v>
      </c>
      <c r="C29" s="114" t="s">
        <v>10</v>
      </c>
      <c r="D29" s="114" t="s">
        <v>11</v>
      </c>
      <c r="E29" s="114" t="s">
        <v>12</v>
      </c>
      <c r="F29" s="114" t="s">
        <v>13</v>
      </c>
      <c r="G29" s="114" t="s">
        <v>14</v>
      </c>
      <c r="H29" s="114"/>
      <c r="I29" s="114"/>
      <c r="J29" s="114"/>
      <c r="K29" s="114"/>
      <c r="L29" s="114"/>
      <c r="M29" s="114" t="s">
        <v>15</v>
      </c>
      <c r="N29" s="114" t="s">
        <v>16</v>
      </c>
      <c r="O29" s="114" t="s">
        <v>17</v>
      </c>
      <c r="P29" s="114" t="s">
        <v>18</v>
      </c>
      <c r="Q29" s="114" t="s">
        <v>19</v>
      </c>
      <c r="R29" s="114"/>
      <c r="S29" s="114"/>
      <c r="T29" s="114"/>
      <c r="U29" s="114"/>
      <c r="V29" s="114"/>
      <c r="W29" s="115" t="s">
        <v>20</v>
      </c>
      <c r="X29" s="3"/>
    </row>
    <row r="30" spans="1:24" ht="24.95" customHeight="1" x14ac:dyDescent="0.25">
      <c r="A30" s="113"/>
      <c r="B30" s="114"/>
      <c r="C30" s="114"/>
      <c r="D30" s="114"/>
      <c r="E30" s="114"/>
      <c r="F30" s="114"/>
      <c r="G30" s="31" t="s">
        <v>21</v>
      </c>
      <c r="H30" s="31" t="s">
        <v>21</v>
      </c>
      <c r="I30" s="31" t="s">
        <v>21</v>
      </c>
      <c r="J30" s="31" t="s">
        <v>22</v>
      </c>
      <c r="K30" s="31" t="s">
        <v>22</v>
      </c>
      <c r="L30" s="31" t="s">
        <v>22</v>
      </c>
      <c r="M30" s="114"/>
      <c r="N30" s="114"/>
      <c r="O30" s="114"/>
      <c r="P30" s="114"/>
      <c r="Q30" s="31" t="s">
        <v>21</v>
      </c>
      <c r="R30" s="31" t="s">
        <v>21</v>
      </c>
      <c r="S30" s="31" t="s">
        <v>21</v>
      </c>
      <c r="T30" s="31" t="s">
        <v>22</v>
      </c>
      <c r="U30" s="31" t="s">
        <v>22</v>
      </c>
      <c r="V30" s="31" t="s">
        <v>22</v>
      </c>
      <c r="W30" s="115"/>
      <c r="X30" s="3"/>
    </row>
    <row r="31" spans="1:24" ht="15.75" customHeight="1" x14ac:dyDescent="0.25">
      <c r="A31" s="5">
        <v>1</v>
      </c>
      <c r="B31" s="21" t="s">
        <v>231</v>
      </c>
      <c r="C31" s="13">
        <v>45738</v>
      </c>
      <c r="D31" s="21" t="s">
        <v>372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2"/>
    </row>
    <row r="32" spans="1:24" ht="16.5" customHeight="1" x14ac:dyDescent="0.25">
      <c r="A32" s="5">
        <v>2</v>
      </c>
      <c r="B32" s="21" t="s">
        <v>232</v>
      </c>
      <c r="C32" s="13">
        <v>45851</v>
      </c>
      <c r="D32" s="20">
        <v>45926</v>
      </c>
      <c r="E32" s="21">
        <v>3</v>
      </c>
      <c r="F32" s="21">
        <v>0</v>
      </c>
      <c r="G32" s="21">
        <v>125</v>
      </c>
      <c r="H32" s="21">
        <v>139</v>
      </c>
      <c r="I32" s="21"/>
      <c r="J32" s="21">
        <v>120</v>
      </c>
      <c r="K32" s="21"/>
      <c r="L32" s="21"/>
      <c r="M32" s="21">
        <f>AVERAGE(G32:L32)</f>
        <v>128</v>
      </c>
      <c r="N32" s="20">
        <v>45944</v>
      </c>
      <c r="O32" s="21">
        <v>3</v>
      </c>
      <c r="P32" s="21">
        <v>0</v>
      </c>
      <c r="Q32" s="21">
        <v>192</v>
      </c>
      <c r="R32" s="21">
        <v>232</v>
      </c>
      <c r="S32" s="21"/>
      <c r="T32" s="21">
        <v>184</v>
      </c>
      <c r="U32" s="21"/>
      <c r="V32" s="21"/>
      <c r="W32" s="68">
        <f>AVERAGE(Q32:V32)</f>
        <v>202.66666666666666</v>
      </c>
    </row>
    <row r="33" spans="1:24" ht="15.75" customHeight="1" x14ac:dyDescent="0.25">
      <c r="A33" s="5">
        <v>3</v>
      </c>
      <c r="B33" s="21" t="s">
        <v>24</v>
      </c>
      <c r="C33" s="13">
        <v>45950</v>
      </c>
      <c r="D33" s="20">
        <v>46028</v>
      </c>
      <c r="E33" s="21">
        <v>3</v>
      </c>
      <c r="F33" s="21">
        <v>0</v>
      </c>
      <c r="G33" s="21"/>
      <c r="H33" s="21"/>
      <c r="I33" s="21"/>
      <c r="J33" s="21">
        <v>121</v>
      </c>
      <c r="K33" s="21">
        <v>125</v>
      </c>
      <c r="L33" s="21">
        <v>130</v>
      </c>
      <c r="M33" s="80">
        <f>AVERAGE(G33:L33)</f>
        <v>125.33333333333333</v>
      </c>
      <c r="N33" s="20">
        <v>46055</v>
      </c>
      <c r="O33" s="21">
        <v>3</v>
      </c>
      <c r="P33" s="21">
        <v>0</v>
      </c>
      <c r="Q33" s="21"/>
      <c r="R33" s="21"/>
      <c r="S33" s="21"/>
      <c r="T33" s="21">
        <v>194</v>
      </c>
      <c r="U33" s="21">
        <v>248</v>
      </c>
      <c r="V33" s="21">
        <v>235</v>
      </c>
      <c r="W33" s="68">
        <f>AVERAGE(Q33:V33)</f>
        <v>225.66666666666666</v>
      </c>
    </row>
    <row r="34" spans="1:24" ht="19.5" customHeight="1" x14ac:dyDescent="0.25">
      <c r="A34" s="5">
        <v>4</v>
      </c>
      <c r="B34" s="21" t="s">
        <v>24</v>
      </c>
      <c r="C34" s="13">
        <v>46070</v>
      </c>
      <c r="D34" s="20">
        <v>46152</v>
      </c>
      <c r="E34" s="21">
        <v>4</v>
      </c>
      <c r="F34" s="21">
        <v>0</v>
      </c>
      <c r="G34" s="21">
        <v>122</v>
      </c>
      <c r="H34" s="21">
        <v>117</v>
      </c>
      <c r="I34" s="21"/>
      <c r="J34" s="21">
        <v>120</v>
      </c>
      <c r="K34" s="21">
        <v>115</v>
      </c>
      <c r="L34" s="21"/>
      <c r="M34" s="80">
        <f>AVERAGE(G34:L34)</f>
        <v>118.5</v>
      </c>
      <c r="N34" s="20">
        <v>46176</v>
      </c>
      <c r="O34" s="21">
        <v>2</v>
      </c>
      <c r="P34" s="21">
        <v>2</v>
      </c>
      <c r="Q34" s="21">
        <v>228</v>
      </c>
      <c r="R34" s="21">
        <v>230</v>
      </c>
      <c r="S34" s="21"/>
      <c r="T34" s="21"/>
      <c r="U34" s="21"/>
      <c r="V34" s="21"/>
      <c r="W34" s="68">
        <f>AVERAGE(Q34:V34)</f>
        <v>229</v>
      </c>
    </row>
    <row r="35" spans="1:24" ht="18" customHeight="1" x14ac:dyDescent="0.25">
      <c r="A35" s="5">
        <v>5</v>
      </c>
      <c r="B35" s="21" t="s">
        <v>231</v>
      </c>
      <c r="C35" s="13">
        <v>46181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40"/>
    </row>
    <row r="36" spans="1:24" ht="15.75" customHeight="1" thickBot="1" x14ac:dyDescent="0.3">
      <c r="A36" s="7">
        <v>6</v>
      </c>
      <c r="B36" s="37"/>
      <c r="C36" s="10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43"/>
    </row>
    <row r="37" spans="1:24" ht="20.100000000000001" customHeight="1" x14ac:dyDescent="0.25"/>
    <row r="38" spans="1:24" ht="20.100000000000001" customHeight="1" thickBot="1" x14ac:dyDescent="0.3"/>
    <row r="39" spans="1:24" ht="20.100000000000001" customHeight="1" x14ac:dyDescent="0.25">
      <c r="A39" s="100" t="s">
        <v>2</v>
      </c>
      <c r="B39" s="101"/>
      <c r="C39" s="132" t="s">
        <v>71</v>
      </c>
      <c r="D39" s="133"/>
      <c r="E39" s="111" t="s">
        <v>390</v>
      </c>
      <c r="F39" s="112"/>
      <c r="G39" s="101" t="s">
        <v>4</v>
      </c>
      <c r="H39" s="101"/>
      <c r="I39" s="102" t="s">
        <v>135</v>
      </c>
      <c r="J39" s="102"/>
      <c r="K39" s="102"/>
      <c r="L39" s="102"/>
      <c r="M39" s="102"/>
      <c r="N39" s="102"/>
      <c r="O39" s="101" t="s">
        <v>6</v>
      </c>
      <c r="P39" s="101"/>
      <c r="Q39" s="103"/>
      <c r="R39" s="104"/>
      <c r="S39" s="104"/>
      <c r="T39" s="104"/>
      <c r="U39" s="104"/>
      <c r="V39" s="104"/>
      <c r="W39" s="105"/>
      <c r="X39" s="1"/>
    </row>
    <row r="40" spans="1:24" ht="20.100000000000001" customHeight="1" x14ac:dyDescent="0.25">
      <c r="A40" s="106" t="s">
        <v>7</v>
      </c>
      <c r="B40" s="107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7"/>
      <c r="R40" s="107"/>
      <c r="S40" s="107"/>
      <c r="T40" s="107"/>
      <c r="U40" s="107"/>
      <c r="V40" s="107"/>
      <c r="W40" s="110"/>
      <c r="X40" s="1"/>
    </row>
    <row r="41" spans="1:24" ht="24.95" customHeight="1" x14ac:dyDescent="0.25">
      <c r="A41" s="113" t="s">
        <v>8</v>
      </c>
      <c r="B41" s="114" t="s">
        <v>9</v>
      </c>
      <c r="C41" s="114" t="s">
        <v>10</v>
      </c>
      <c r="D41" s="114" t="s">
        <v>11</v>
      </c>
      <c r="E41" s="114" t="s">
        <v>12</v>
      </c>
      <c r="F41" s="114" t="s">
        <v>13</v>
      </c>
      <c r="G41" s="114" t="s">
        <v>14</v>
      </c>
      <c r="H41" s="114"/>
      <c r="I41" s="114"/>
      <c r="J41" s="114"/>
      <c r="K41" s="114"/>
      <c r="L41" s="114"/>
      <c r="M41" s="114" t="s">
        <v>15</v>
      </c>
      <c r="N41" s="114" t="s">
        <v>16</v>
      </c>
      <c r="O41" s="114" t="s">
        <v>17</v>
      </c>
      <c r="P41" s="114" t="s">
        <v>18</v>
      </c>
      <c r="Q41" s="114" t="s">
        <v>19</v>
      </c>
      <c r="R41" s="114"/>
      <c r="S41" s="114"/>
      <c r="T41" s="114"/>
      <c r="U41" s="114"/>
      <c r="V41" s="114"/>
      <c r="W41" s="115" t="s">
        <v>20</v>
      </c>
      <c r="X41" s="3"/>
    </row>
    <row r="42" spans="1:24" ht="24.95" customHeight="1" x14ac:dyDescent="0.25">
      <c r="A42" s="113"/>
      <c r="B42" s="114"/>
      <c r="C42" s="114"/>
      <c r="D42" s="114"/>
      <c r="E42" s="114"/>
      <c r="F42" s="114"/>
      <c r="G42" s="31" t="s">
        <v>21</v>
      </c>
      <c r="H42" s="31" t="s">
        <v>21</v>
      </c>
      <c r="I42" s="31" t="s">
        <v>21</v>
      </c>
      <c r="J42" s="31" t="s">
        <v>22</v>
      </c>
      <c r="K42" s="31" t="s">
        <v>22</v>
      </c>
      <c r="L42" s="31" t="s">
        <v>22</v>
      </c>
      <c r="M42" s="114"/>
      <c r="N42" s="114"/>
      <c r="O42" s="114"/>
      <c r="P42" s="114"/>
      <c r="Q42" s="31" t="s">
        <v>21</v>
      </c>
      <c r="R42" s="31" t="s">
        <v>21</v>
      </c>
      <c r="S42" s="31" t="s">
        <v>21</v>
      </c>
      <c r="T42" s="31" t="s">
        <v>22</v>
      </c>
      <c r="U42" s="31" t="s">
        <v>22</v>
      </c>
      <c r="V42" s="31" t="s">
        <v>22</v>
      </c>
      <c r="W42" s="115"/>
      <c r="X42" s="3"/>
    </row>
    <row r="43" spans="1:24" ht="18" customHeight="1" x14ac:dyDescent="0.25">
      <c r="A43" s="5">
        <v>1</v>
      </c>
      <c r="B43" s="21" t="s">
        <v>233</v>
      </c>
      <c r="C43" s="13">
        <v>45738</v>
      </c>
      <c r="D43" s="21" t="s">
        <v>373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2"/>
    </row>
    <row r="44" spans="1:24" ht="17.25" customHeight="1" x14ac:dyDescent="0.25">
      <c r="A44" s="5">
        <v>2</v>
      </c>
      <c r="B44" s="21" t="s">
        <v>235</v>
      </c>
      <c r="C44" s="13">
        <v>45851</v>
      </c>
      <c r="D44" s="20">
        <v>45950</v>
      </c>
      <c r="E44" s="21">
        <v>4</v>
      </c>
      <c r="F44" s="21">
        <v>0</v>
      </c>
      <c r="G44" s="21">
        <v>124</v>
      </c>
      <c r="H44" s="21">
        <v>127</v>
      </c>
      <c r="I44" s="21"/>
      <c r="J44" s="21">
        <v>127</v>
      </c>
      <c r="K44" s="21">
        <v>162</v>
      </c>
      <c r="L44" s="21"/>
      <c r="M44" s="21">
        <f>AVERAGE(G44:L44)</f>
        <v>135</v>
      </c>
      <c r="N44" s="20">
        <v>45973</v>
      </c>
      <c r="O44" s="21">
        <v>4</v>
      </c>
      <c r="P44" s="21">
        <v>0</v>
      </c>
      <c r="Q44" s="21">
        <v>228</v>
      </c>
      <c r="R44" s="21">
        <v>232</v>
      </c>
      <c r="S44" s="21"/>
      <c r="T44" s="21">
        <v>281</v>
      </c>
      <c r="U44" s="21">
        <v>239</v>
      </c>
      <c r="V44" s="21"/>
      <c r="W44" s="22">
        <f>AVERAGE(Q44:V44)</f>
        <v>245</v>
      </c>
    </row>
    <row r="45" spans="1:24" ht="15.75" customHeight="1" x14ac:dyDescent="0.25">
      <c r="A45" s="5">
        <v>3</v>
      </c>
      <c r="B45" s="21" t="s">
        <v>357</v>
      </c>
      <c r="C45" s="13">
        <v>46039</v>
      </c>
      <c r="D45" s="20">
        <v>46112</v>
      </c>
      <c r="E45" s="21">
        <v>3</v>
      </c>
      <c r="F45" s="21">
        <v>0</v>
      </c>
      <c r="G45" s="21"/>
      <c r="H45" s="21"/>
      <c r="I45" s="21"/>
      <c r="J45" s="21">
        <v>120</v>
      </c>
      <c r="K45" s="21">
        <v>115</v>
      </c>
      <c r="L45" s="21">
        <v>117</v>
      </c>
      <c r="M45" s="41">
        <f>AVERAGE(G45:L45)</f>
        <v>117.33333333333333</v>
      </c>
      <c r="N45" s="20">
        <v>46133</v>
      </c>
      <c r="O45" s="21">
        <v>3</v>
      </c>
      <c r="P45" s="21">
        <v>0</v>
      </c>
      <c r="Q45" s="21"/>
      <c r="R45" s="21"/>
      <c r="S45" s="21"/>
      <c r="T45" s="21">
        <v>197</v>
      </c>
      <c r="U45" s="21">
        <v>227</v>
      </c>
      <c r="V45" s="21">
        <v>212</v>
      </c>
      <c r="W45" s="22">
        <f>AVERAGE(Q45:V45)</f>
        <v>212</v>
      </c>
    </row>
    <row r="46" spans="1:24" ht="15" customHeight="1" x14ac:dyDescent="0.25">
      <c r="A46" s="5">
        <v>4</v>
      </c>
      <c r="B46" s="21" t="s">
        <v>357</v>
      </c>
      <c r="C46" s="13">
        <v>46148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2"/>
    </row>
    <row r="47" spans="1:24" ht="16.5" customHeight="1" x14ac:dyDescent="0.25">
      <c r="A47" s="5">
        <v>5</v>
      </c>
      <c r="B47" s="21"/>
      <c r="C47" s="8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</row>
    <row r="48" spans="1:24" ht="15" customHeight="1" thickBot="1" x14ac:dyDescent="0.3">
      <c r="A48" s="7">
        <v>6</v>
      </c>
      <c r="B48" s="37"/>
      <c r="C48" s="10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9"/>
    </row>
    <row r="49" spans="1:24" ht="20.100000000000001" customHeight="1" x14ac:dyDescent="0.25"/>
    <row r="50" spans="1:24" ht="20.100000000000001" customHeight="1" thickBot="1" x14ac:dyDescent="0.3"/>
    <row r="51" spans="1:24" ht="20.100000000000001" customHeight="1" x14ac:dyDescent="0.25">
      <c r="A51" s="100" t="s">
        <v>2</v>
      </c>
      <c r="B51" s="101"/>
      <c r="C51" s="111" t="s">
        <v>72</v>
      </c>
      <c r="D51" s="112"/>
      <c r="E51" s="111" t="s">
        <v>388</v>
      </c>
      <c r="F51" s="112"/>
      <c r="G51" s="101" t="s">
        <v>4</v>
      </c>
      <c r="H51" s="101"/>
      <c r="I51" s="102" t="s">
        <v>135</v>
      </c>
      <c r="J51" s="102"/>
      <c r="K51" s="102"/>
      <c r="L51" s="102"/>
      <c r="M51" s="102"/>
      <c r="N51" s="102"/>
      <c r="O51" s="101" t="s">
        <v>6</v>
      </c>
      <c r="P51" s="101"/>
      <c r="Q51" s="103"/>
      <c r="R51" s="104"/>
      <c r="S51" s="104"/>
      <c r="T51" s="104"/>
      <c r="U51" s="104"/>
      <c r="V51" s="104"/>
      <c r="W51" s="105"/>
      <c r="X51" s="1"/>
    </row>
    <row r="52" spans="1:24" ht="20.100000000000001" customHeight="1" x14ac:dyDescent="0.25">
      <c r="A52" s="106" t="s">
        <v>7</v>
      </c>
      <c r="B52" s="107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7"/>
      <c r="R52" s="107"/>
      <c r="S52" s="107"/>
      <c r="T52" s="107"/>
      <c r="U52" s="107"/>
      <c r="V52" s="107"/>
      <c r="W52" s="110"/>
      <c r="X52" s="1"/>
    </row>
    <row r="53" spans="1:24" ht="24.95" customHeight="1" x14ac:dyDescent="0.25">
      <c r="A53" s="113" t="s">
        <v>8</v>
      </c>
      <c r="B53" s="114" t="s">
        <v>9</v>
      </c>
      <c r="C53" s="114" t="s">
        <v>10</v>
      </c>
      <c r="D53" s="114" t="s">
        <v>11</v>
      </c>
      <c r="E53" s="114" t="s">
        <v>12</v>
      </c>
      <c r="F53" s="114" t="s">
        <v>13</v>
      </c>
      <c r="G53" s="114" t="s">
        <v>14</v>
      </c>
      <c r="H53" s="114"/>
      <c r="I53" s="114"/>
      <c r="J53" s="114"/>
      <c r="K53" s="114"/>
      <c r="L53" s="114"/>
      <c r="M53" s="114" t="s">
        <v>15</v>
      </c>
      <c r="N53" s="114" t="s">
        <v>16</v>
      </c>
      <c r="O53" s="114" t="s">
        <v>17</v>
      </c>
      <c r="P53" s="114" t="s">
        <v>18</v>
      </c>
      <c r="Q53" s="114" t="s">
        <v>19</v>
      </c>
      <c r="R53" s="114"/>
      <c r="S53" s="114"/>
      <c r="T53" s="114"/>
      <c r="U53" s="114"/>
      <c r="V53" s="114"/>
      <c r="W53" s="115" t="s">
        <v>20</v>
      </c>
      <c r="X53" s="3"/>
    </row>
    <row r="54" spans="1:24" ht="24.95" customHeight="1" x14ac:dyDescent="0.25">
      <c r="A54" s="113"/>
      <c r="B54" s="114"/>
      <c r="C54" s="114"/>
      <c r="D54" s="114"/>
      <c r="E54" s="114"/>
      <c r="F54" s="114"/>
      <c r="G54" s="31" t="s">
        <v>21</v>
      </c>
      <c r="H54" s="31" t="s">
        <v>21</v>
      </c>
      <c r="I54" s="31" t="s">
        <v>21</v>
      </c>
      <c r="J54" s="31" t="s">
        <v>22</v>
      </c>
      <c r="K54" s="31" t="s">
        <v>22</v>
      </c>
      <c r="L54" s="31" t="s">
        <v>22</v>
      </c>
      <c r="M54" s="114"/>
      <c r="N54" s="114"/>
      <c r="O54" s="114"/>
      <c r="P54" s="114"/>
      <c r="Q54" s="31" t="s">
        <v>21</v>
      </c>
      <c r="R54" s="31" t="s">
        <v>21</v>
      </c>
      <c r="S54" s="31" t="s">
        <v>21</v>
      </c>
      <c r="T54" s="31" t="s">
        <v>22</v>
      </c>
      <c r="U54" s="31" t="s">
        <v>22</v>
      </c>
      <c r="V54" s="31" t="s">
        <v>22</v>
      </c>
      <c r="W54" s="115"/>
      <c r="X54" s="3"/>
    </row>
    <row r="55" spans="1:24" ht="15" customHeight="1" x14ac:dyDescent="0.25">
      <c r="A55" s="5">
        <v>1</v>
      </c>
      <c r="B55" s="21" t="s">
        <v>233</v>
      </c>
      <c r="C55" s="13">
        <v>45738</v>
      </c>
      <c r="D55" s="20">
        <v>45831</v>
      </c>
      <c r="E55" s="21">
        <v>1</v>
      </c>
      <c r="F55" s="21">
        <v>0</v>
      </c>
      <c r="G55" s="21">
        <v>204</v>
      </c>
      <c r="H55" s="21"/>
      <c r="I55" s="21"/>
      <c r="J55" s="21"/>
      <c r="K55" s="21"/>
      <c r="L55" s="21"/>
      <c r="M55" s="21">
        <v>204</v>
      </c>
      <c r="N55" s="20">
        <v>45848</v>
      </c>
      <c r="O55" s="21">
        <v>1</v>
      </c>
      <c r="P55" s="21"/>
      <c r="Q55" s="21">
        <v>354</v>
      </c>
      <c r="R55" s="21"/>
      <c r="S55" s="21"/>
      <c r="T55" s="21"/>
      <c r="U55" s="21"/>
      <c r="V55" s="21"/>
      <c r="W55" s="22">
        <v>354</v>
      </c>
    </row>
    <row r="56" spans="1:24" ht="15" customHeight="1" x14ac:dyDescent="0.25">
      <c r="A56" s="5">
        <v>2</v>
      </c>
      <c r="B56" s="21" t="s">
        <v>235</v>
      </c>
      <c r="C56" s="13">
        <v>45851</v>
      </c>
      <c r="D56" s="20">
        <v>45929</v>
      </c>
      <c r="E56" s="21">
        <v>4</v>
      </c>
      <c r="F56" s="21">
        <v>0</v>
      </c>
      <c r="G56" s="21">
        <v>149</v>
      </c>
      <c r="H56" s="21">
        <v>130</v>
      </c>
      <c r="I56" s="21">
        <v>121</v>
      </c>
      <c r="J56" s="21">
        <v>132</v>
      </c>
      <c r="K56" s="21"/>
      <c r="L56" s="21"/>
      <c r="M56" s="21">
        <f>AVERAGE(G56:L56)</f>
        <v>133</v>
      </c>
      <c r="N56" s="20">
        <v>45944</v>
      </c>
      <c r="O56" s="21">
        <v>3</v>
      </c>
      <c r="P56" s="21">
        <v>1</v>
      </c>
      <c r="Q56" s="21">
        <v>274</v>
      </c>
      <c r="R56" s="21">
        <v>220</v>
      </c>
      <c r="S56" s="21"/>
      <c r="T56" s="21">
        <v>243</v>
      </c>
      <c r="U56" s="21"/>
      <c r="V56" s="21"/>
      <c r="W56" s="40">
        <f>AVERAGE(Q56:V56)</f>
        <v>245.66666666666666</v>
      </c>
    </row>
    <row r="57" spans="1:24" ht="17.25" customHeight="1" x14ac:dyDescent="0.25">
      <c r="A57" s="5">
        <v>3</v>
      </c>
      <c r="B57" s="21" t="s">
        <v>78</v>
      </c>
      <c r="C57" s="13">
        <v>45950</v>
      </c>
      <c r="D57" s="20">
        <v>46024</v>
      </c>
      <c r="E57" s="21">
        <v>4</v>
      </c>
      <c r="F57" s="21">
        <v>0</v>
      </c>
      <c r="G57" s="21">
        <v>110</v>
      </c>
      <c r="H57" s="21">
        <v>121</v>
      </c>
      <c r="I57" s="21">
        <v>129</v>
      </c>
      <c r="J57" s="21">
        <v>100</v>
      </c>
      <c r="K57" s="21"/>
      <c r="L57" s="21"/>
      <c r="M57" s="21">
        <f>AVERAGE(G57:L57)</f>
        <v>115</v>
      </c>
      <c r="N57" s="20">
        <v>46039</v>
      </c>
      <c r="O57" s="21">
        <v>3</v>
      </c>
      <c r="P57" s="21">
        <v>1</v>
      </c>
      <c r="Q57" s="21">
        <v>193</v>
      </c>
      <c r="R57" s="21">
        <v>183</v>
      </c>
      <c r="S57" s="21"/>
      <c r="T57" s="21">
        <v>212</v>
      </c>
      <c r="U57" s="21"/>
      <c r="V57" s="21"/>
      <c r="W57" s="40">
        <f>AVERAGE(Q57:V57)</f>
        <v>196</v>
      </c>
    </row>
    <row r="58" spans="1:24" ht="15" customHeight="1" x14ac:dyDescent="0.25">
      <c r="A58" s="5">
        <v>4</v>
      </c>
      <c r="B58" s="21" t="s">
        <v>78</v>
      </c>
      <c r="C58" s="13">
        <v>46039</v>
      </c>
      <c r="D58" s="20">
        <v>46117</v>
      </c>
      <c r="E58" s="21">
        <v>1</v>
      </c>
      <c r="F58" s="21">
        <v>0</v>
      </c>
      <c r="G58" s="21"/>
      <c r="H58" s="21"/>
      <c r="I58" s="21"/>
      <c r="J58" s="21">
        <v>120</v>
      </c>
      <c r="K58" s="21"/>
      <c r="L58" s="21"/>
      <c r="M58" s="21">
        <v>120</v>
      </c>
      <c r="N58" s="20">
        <v>46139</v>
      </c>
      <c r="O58" s="21">
        <v>1</v>
      </c>
      <c r="P58" s="21">
        <v>0</v>
      </c>
      <c r="Q58" s="21"/>
      <c r="R58" s="21"/>
      <c r="S58" s="21"/>
      <c r="T58" s="21">
        <v>266</v>
      </c>
      <c r="U58" s="21"/>
      <c r="V58" s="21"/>
      <c r="W58" s="40">
        <v>266</v>
      </c>
    </row>
    <row r="59" spans="1:24" ht="18" customHeight="1" x14ac:dyDescent="0.25">
      <c r="A59" s="5">
        <v>5</v>
      </c>
      <c r="B59" s="21" t="s">
        <v>78</v>
      </c>
      <c r="C59" s="13">
        <v>46148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40"/>
    </row>
    <row r="60" spans="1:24" ht="16.5" customHeight="1" thickBot="1" x14ac:dyDescent="0.3">
      <c r="A60" s="7">
        <v>6</v>
      </c>
      <c r="B60" s="37"/>
      <c r="C60" s="10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43"/>
    </row>
    <row r="61" spans="1:24" ht="20.100000000000001" customHeight="1" x14ac:dyDescent="0.25"/>
    <row r="62" spans="1:24" ht="20.100000000000001" customHeight="1" thickBot="1" x14ac:dyDescent="0.3"/>
    <row r="63" spans="1:24" ht="20.100000000000001" customHeight="1" x14ac:dyDescent="0.25">
      <c r="A63" s="100" t="s">
        <v>2</v>
      </c>
      <c r="B63" s="101"/>
      <c r="C63" s="111" t="s">
        <v>73</v>
      </c>
      <c r="D63" s="112"/>
      <c r="E63" s="111" t="s">
        <v>374</v>
      </c>
      <c r="F63" s="112"/>
      <c r="G63" s="101" t="s">
        <v>4</v>
      </c>
      <c r="H63" s="101"/>
      <c r="I63" s="102" t="s">
        <v>135</v>
      </c>
      <c r="J63" s="102"/>
      <c r="K63" s="102"/>
      <c r="L63" s="102"/>
      <c r="M63" s="102"/>
      <c r="N63" s="102"/>
      <c r="O63" s="101" t="s">
        <v>6</v>
      </c>
      <c r="P63" s="101"/>
      <c r="Q63" s="103"/>
      <c r="R63" s="104"/>
      <c r="S63" s="104"/>
      <c r="T63" s="104"/>
      <c r="U63" s="104"/>
      <c r="V63" s="104"/>
      <c r="W63" s="105"/>
      <c r="X63" s="1"/>
    </row>
    <row r="64" spans="1:24" ht="20.100000000000001" customHeight="1" x14ac:dyDescent="0.25">
      <c r="A64" s="106" t="s">
        <v>7</v>
      </c>
      <c r="B64" s="107"/>
      <c r="C64" s="108" t="s">
        <v>44</v>
      </c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9"/>
      <c r="P64" s="109"/>
      <c r="Q64" s="107"/>
      <c r="R64" s="107"/>
      <c r="S64" s="107"/>
      <c r="T64" s="107"/>
      <c r="U64" s="107"/>
      <c r="V64" s="107"/>
      <c r="W64" s="110"/>
      <c r="X64" s="1"/>
    </row>
    <row r="65" spans="1:24" ht="24.95" customHeight="1" x14ac:dyDescent="0.25">
      <c r="A65" s="113" t="s">
        <v>8</v>
      </c>
      <c r="B65" s="114" t="s">
        <v>9</v>
      </c>
      <c r="C65" s="114" t="s">
        <v>10</v>
      </c>
      <c r="D65" s="114" t="s">
        <v>11</v>
      </c>
      <c r="E65" s="114" t="s">
        <v>12</v>
      </c>
      <c r="F65" s="114" t="s">
        <v>13</v>
      </c>
      <c r="G65" s="114" t="s">
        <v>14</v>
      </c>
      <c r="H65" s="114"/>
      <c r="I65" s="114"/>
      <c r="J65" s="114"/>
      <c r="K65" s="114"/>
      <c r="L65" s="114"/>
      <c r="M65" s="114" t="s">
        <v>15</v>
      </c>
      <c r="N65" s="114" t="s">
        <v>16</v>
      </c>
      <c r="O65" s="114" t="s">
        <v>17</v>
      </c>
      <c r="P65" s="114" t="s">
        <v>18</v>
      </c>
      <c r="Q65" s="114" t="s">
        <v>19</v>
      </c>
      <c r="R65" s="114"/>
      <c r="S65" s="114"/>
      <c r="T65" s="114"/>
      <c r="U65" s="114"/>
      <c r="V65" s="114"/>
      <c r="W65" s="115" t="s">
        <v>20</v>
      </c>
      <c r="X65" s="3"/>
    </row>
    <row r="66" spans="1:24" ht="24.95" customHeight="1" x14ac:dyDescent="0.25">
      <c r="A66" s="113"/>
      <c r="B66" s="114"/>
      <c r="C66" s="114"/>
      <c r="D66" s="114"/>
      <c r="E66" s="114"/>
      <c r="F66" s="114"/>
      <c r="G66" s="31" t="s">
        <v>21</v>
      </c>
      <c r="H66" s="31" t="s">
        <v>21</v>
      </c>
      <c r="I66" s="31" t="s">
        <v>21</v>
      </c>
      <c r="J66" s="31" t="s">
        <v>22</v>
      </c>
      <c r="K66" s="31" t="s">
        <v>22</v>
      </c>
      <c r="L66" s="31" t="s">
        <v>22</v>
      </c>
      <c r="M66" s="114"/>
      <c r="N66" s="114"/>
      <c r="O66" s="114"/>
      <c r="P66" s="114"/>
      <c r="Q66" s="31" t="s">
        <v>21</v>
      </c>
      <c r="R66" s="31" t="s">
        <v>21</v>
      </c>
      <c r="S66" s="31" t="s">
        <v>21</v>
      </c>
      <c r="T66" s="31" t="s">
        <v>22</v>
      </c>
      <c r="U66" s="31" t="s">
        <v>22</v>
      </c>
      <c r="V66" s="31" t="s">
        <v>22</v>
      </c>
      <c r="W66" s="115"/>
      <c r="X66" s="3"/>
    </row>
    <row r="67" spans="1:24" ht="15" customHeight="1" x14ac:dyDescent="0.25">
      <c r="A67" s="5">
        <v>1</v>
      </c>
      <c r="B67" s="20" t="s">
        <v>233</v>
      </c>
      <c r="C67" s="20">
        <v>45738</v>
      </c>
      <c r="D67" s="20">
        <v>45784</v>
      </c>
      <c r="E67" s="21">
        <v>2</v>
      </c>
      <c r="F67" s="21">
        <v>0</v>
      </c>
      <c r="G67" s="21">
        <v>129</v>
      </c>
      <c r="H67" s="21"/>
      <c r="I67" s="21"/>
      <c r="J67" s="21">
        <v>125</v>
      </c>
      <c r="K67" s="21"/>
      <c r="L67" s="21"/>
      <c r="M67" s="21">
        <f>AVERAGE(G67,J67)</f>
        <v>127</v>
      </c>
      <c r="N67" s="20">
        <v>45799</v>
      </c>
      <c r="O67" s="21">
        <v>2</v>
      </c>
      <c r="P67" s="21"/>
      <c r="Q67" s="21">
        <v>268</v>
      </c>
      <c r="R67" s="21"/>
      <c r="S67" s="21"/>
      <c r="T67" s="21">
        <v>253</v>
      </c>
      <c r="U67" s="21"/>
      <c r="V67" s="21"/>
      <c r="W67" s="22">
        <v>260.5</v>
      </c>
    </row>
    <row r="68" spans="1:24" ht="15.75" customHeight="1" x14ac:dyDescent="0.25">
      <c r="A68" s="5">
        <v>2</v>
      </c>
      <c r="B68" s="21" t="s">
        <v>235</v>
      </c>
      <c r="C68" s="20">
        <v>45851</v>
      </c>
      <c r="D68" s="20">
        <v>45935</v>
      </c>
      <c r="E68" s="21">
        <v>4</v>
      </c>
      <c r="F68" s="21">
        <v>0</v>
      </c>
      <c r="G68" s="21">
        <v>91</v>
      </c>
      <c r="H68" s="21"/>
      <c r="I68" s="21"/>
      <c r="J68" s="21">
        <v>129</v>
      </c>
      <c r="K68" s="21">
        <v>134</v>
      </c>
      <c r="L68" s="21">
        <v>138</v>
      </c>
      <c r="M68" s="21">
        <f>AVERAGE(G68:L68)</f>
        <v>123</v>
      </c>
      <c r="N68" s="20">
        <v>45957</v>
      </c>
      <c r="O68" s="21">
        <v>4</v>
      </c>
      <c r="P68" s="21">
        <v>0</v>
      </c>
      <c r="Q68" s="21">
        <v>277</v>
      </c>
      <c r="R68" s="21"/>
      <c r="S68" s="21"/>
      <c r="T68" s="21">
        <v>315</v>
      </c>
      <c r="U68" s="21">
        <v>320</v>
      </c>
      <c r="V68" s="21">
        <v>426</v>
      </c>
      <c r="W68" s="22">
        <f>AVERAGE(Q68:V68)</f>
        <v>334.5</v>
      </c>
    </row>
    <row r="69" spans="1:24" ht="17.25" customHeight="1" x14ac:dyDescent="0.25">
      <c r="A69" s="5">
        <v>3</v>
      </c>
      <c r="B69" s="8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2"/>
    </row>
    <row r="70" spans="1:24" ht="16.5" customHeight="1" x14ac:dyDescent="0.25">
      <c r="A70" s="5">
        <v>4</v>
      </c>
      <c r="B70" s="8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2"/>
    </row>
    <row r="71" spans="1:24" ht="15" customHeight="1" x14ac:dyDescent="0.25">
      <c r="A71" s="5">
        <v>5</v>
      </c>
      <c r="B71" s="8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2"/>
    </row>
    <row r="72" spans="1:24" ht="17.25" customHeight="1" thickBot="1" x14ac:dyDescent="0.3">
      <c r="A72" s="7">
        <v>6</v>
      </c>
      <c r="B72" s="10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9"/>
    </row>
    <row r="73" spans="1:24" ht="20.100000000000001" customHeight="1" x14ac:dyDescent="0.25"/>
    <row r="74" spans="1:24" ht="20.100000000000001" customHeight="1" thickBot="1" x14ac:dyDescent="0.3"/>
    <row r="75" spans="1:24" ht="20.100000000000001" customHeight="1" x14ac:dyDescent="0.25">
      <c r="A75" s="100" t="s">
        <v>2</v>
      </c>
      <c r="B75" s="101"/>
      <c r="C75" s="111" t="s">
        <v>74</v>
      </c>
      <c r="D75" s="112"/>
      <c r="E75" s="111" t="s">
        <v>374</v>
      </c>
      <c r="F75" s="112"/>
      <c r="G75" s="101" t="s">
        <v>4</v>
      </c>
      <c r="H75" s="101"/>
      <c r="I75" s="102" t="s">
        <v>135</v>
      </c>
      <c r="J75" s="102"/>
      <c r="K75" s="102"/>
      <c r="L75" s="102"/>
      <c r="M75" s="102"/>
      <c r="N75" s="102"/>
      <c r="O75" s="101" t="s">
        <v>6</v>
      </c>
      <c r="P75" s="101"/>
      <c r="Q75" s="103"/>
      <c r="R75" s="104"/>
      <c r="S75" s="104"/>
      <c r="T75" s="104"/>
      <c r="U75" s="104"/>
      <c r="V75" s="104"/>
      <c r="W75" s="105"/>
      <c r="X75" s="1"/>
    </row>
    <row r="76" spans="1:24" ht="20.100000000000001" customHeight="1" x14ac:dyDescent="0.25">
      <c r="A76" s="106" t="s">
        <v>7</v>
      </c>
      <c r="B76" s="107"/>
      <c r="C76" s="116" t="s">
        <v>219</v>
      </c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09"/>
      <c r="P76" s="109"/>
      <c r="Q76" s="107"/>
      <c r="R76" s="107"/>
      <c r="S76" s="107"/>
      <c r="T76" s="107"/>
      <c r="U76" s="107"/>
      <c r="V76" s="107"/>
      <c r="W76" s="110"/>
      <c r="X76" s="1"/>
    </row>
    <row r="77" spans="1:24" ht="24.95" customHeight="1" x14ac:dyDescent="0.25">
      <c r="A77" s="113" t="s">
        <v>8</v>
      </c>
      <c r="B77" s="114" t="s">
        <v>9</v>
      </c>
      <c r="C77" s="114" t="s">
        <v>10</v>
      </c>
      <c r="D77" s="114" t="s">
        <v>11</v>
      </c>
      <c r="E77" s="114" t="s">
        <v>12</v>
      </c>
      <c r="F77" s="114" t="s">
        <v>13</v>
      </c>
      <c r="G77" s="114" t="s">
        <v>14</v>
      </c>
      <c r="H77" s="114"/>
      <c r="I77" s="114"/>
      <c r="J77" s="114"/>
      <c r="K77" s="114"/>
      <c r="L77" s="114"/>
      <c r="M77" s="114" t="s">
        <v>15</v>
      </c>
      <c r="N77" s="114" t="s">
        <v>16</v>
      </c>
      <c r="O77" s="114" t="s">
        <v>17</v>
      </c>
      <c r="P77" s="114" t="s">
        <v>18</v>
      </c>
      <c r="Q77" s="114" t="s">
        <v>19</v>
      </c>
      <c r="R77" s="114"/>
      <c r="S77" s="114"/>
      <c r="T77" s="114"/>
      <c r="U77" s="114"/>
      <c r="V77" s="114"/>
      <c r="W77" s="115" t="s">
        <v>20</v>
      </c>
      <c r="X77" s="3"/>
    </row>
    <row r="78" spans="1:24" ht="24.95" customHeight="1" x14ac:dyDescent="0.25">
      <c r="A78" s="113"/>
      <c r="B78" s="114"/>
      <c r="C78" s="114"/>
      <c r="D78" s="114"/>
      <c r="E78" s="114"/>
      <c r="F78" s="114"/>
      <c r="G78" s="31" t="s">
        <v>21</v>
      </c>
      <c r="H78" s="31" t="s">
        <v>21</v>
      </c>
      <c r="I78" s="31" t="s">
        <v>21</v>
      </c>
      <c r="J78" s="31" t="s">
        <v>22</v>
      </c>
      <c r="K78" s="31" t="s">
        <v>22</v>
      </c>
      <c r="L78" s="31" t="s">
        <v>22</v>
      </c>
      <c r="M78" s="114"/>
      <c r="N78" s="114"/>
      <c r="O78" s="114"/>
      <c r="P78" s="114"/>
      <c r="Q78" s="31" t="s">
        <v>21</v>
      </c>
      <c r="R78" s="31" t="s">
        <v>21</v>
      </c>
      <c r="S78" s="31" t="s">
        <v>21</v>
      </c>
      <c r="T78" s="31" t="s">
        <v>22</v>
      </c>
      <c r="U78" s="31" t="s">
        <v>22</v>
      </c>
      <c r="V78" s="31" t="s">
        <v>22</v>
      </c>
      <c r="W78" s="115"/>
      <c r="X78" s="3"/>
    </row>
    <row r="79" spans="1:24" ht="16.5" customHeight="1" x14ac:dyDescent="0.25">
      <c r="A79" s="5">
        <v>1</v>
      </c>
      <c r="B79" s="8" t="s">
        <v>233</v>
      </c>
      <c r="C79" s="13">
        <v>45738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9"/>
    </row>
    <row r="80" spans="1:24" ht="15.75" customHeight="1" x14ac:dyDescent="0.25">
      <c r="A80" s="6">
        <v>2</v>
      </c>
      <c r="B80" s="8"/>
      <c r="C80" s="8" t="s">
        <v>356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</row>
    <row r="81" spans="1:24" ht="15.75" customHeight="1" x14ac:dyDescent="0.25">
      <c r="A81" s="6">
        <v>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4" ht="15.75" customHeight="1" x14ac:dyDescent="0.25">
      <c r="A82" s="5">
        <v>4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</row>
    <row r="83" spans="1:24" ht="15.75" customHeight="1" x14ac:dyDescent="0.25">
      <c r="A83" s="5">
        <v>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</row>
    <row r="84" spans="1:24" ht="16.5" customHeight="1" thickBot="1" x14ac:dyDescent="0.3">
      <c r="A84" s="7">
        <v>6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4" ht="20.100000000000001" customHeight="1" x14ac:dyDescent="0.25"/>
    <row r="86" spans="1:24" ht="20.100000000000001" customHeight="1" thickBot="1" x14ac:dyDescent="0.3"/>
    <row r="87" spans="1:24" ht="20.100000000000001" customHeight="1" x14ac:dyDescent="0.25">
      <c r="A87" s="100" t="s">
        <v>2</v>
      </c>
      <c r="B87" s="101"/>
      <c r="C87" s="111" t="s">
        <v>75</v>
      </c>
      <c r="D87" s="112"/>
      <c r="E87" s="111" t="s">
        <v>388</v>
      </c>
      <c r="F87" s="112"/>
      <c r="G87" s="101" t="s">
        <v>4</v>
      </c>
      <c r="H87" s="101"/>
      <c r="I87" s="102" t="s">
        <v>135</v>
      </c>
      <c r="J87" s="102"/>
      <c r="K87" s="102"/>
      <c r="L87" s="102"/>
      <c r="M87" s="102"/>
      <c r="N87" s="102"/>
      <c r="O87" s="101" t="s">
        <v>6</v>
      </c>
      <c r="P87" s="101"/>
      <c r="Q87" s="103"/>
      <c r="R87" s="104"/>
      <c r="S87" s="104"/>
      <c r="T87" s="104"/>
      <c r="U87" s="104"/>
      <c r="V87" s="104"/>
      <c r="W87" s="105"/>
      <c r="X87" s="1"/>
    </row>
    <row r="88" spans="1:24" ht="20.100000000000001" customHeight="1" x14ac:dyDescent="0.25">
      <c r="A88" s="106" t="s">
        <v>7</v>
      </c>
      <c r="B88" s="107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7"/>
      <c r="R88" s="107"/>
      <c r="S88" s="107"/>
      <c r="T88" s="107"/>
      <c r="U88" s="107"/>
      <c r="V88" s="107"/>
      <c r="W88" s="110"/>
      <c r="X88" s="1"/>
    </row>
    <row r="89" spans="1:24" ht="24.95" customHeight="1" x14ac:dyDescent="0.25">
      <c r="A89" s="113" t="s">
        <v>8</v>
      </c>
      <c r="B89" s="114" t="s">
        <v>9</v>
      </c>
      <c r="C89" s="114" t="s">
        <v>10</v>
      </c>
      <c r="D89" s="114" t="s">
        <v>11</v>
      </c>
      <c r="E89" s="114" t="s">
        <v>12</v>
      </c>
      <c r="F89" s="114" t="s">
        <v>13</v>
      </c>
      <c r="G89" s="114" t="s">
        <v>14</v>
      </c>
      <c r="H89" s="114"/>
      <c r="I89" s="114"/>
      <c r="J89" s="114"/>
      <c r="K89" s="114"/>
      <c r="L89" s="114"/>
      <c r="M89" s="114" t="s">
        <v>15</v>
      </c>
      <c r="N89" s="114" t="s">
        <v>16</v>
      </c>
      <c r="O89" s="114" t="s">
        <v>17</v>
      </c>
      <c r="P89" s="114" t="s">
        <v>18</v>
      </c>
      <c r="Q89" s="114" t="s">
        <v>19</v>
      </c>
      <c r="R89" s="114"/>
      <c r="S89" s="114"/>
      <c r="T89" s="114"/>
      <c r="U89" s="114"/>
      <c r="V89" s="114"/>
      <c r="W89" s="115" t="s">
        <v>20</v>
      </c>
      <c r="X89" s="3"/>
    </row>
    <row r="90" spans="1:24" ht="24.95" customHeight="1" x14ac:dyDescent="0.25">
      <c r="A90" s="113"/>
      <c r="B90" s="114"/>
      <c r="C90" s="114"/>
      <c r="D90" s="114"/>
      <c r="E90" s="114"/>
      <c r="F90" s="114"/>
      <c r="G90" s="31" t="s">
        <v>21</v>
      </c>
      <c r="H90" s="31" t="s">
        <v>21</v>
      </c>
      <c r="I90" s="31" t="s">
        <v>21</v>
      </c>
      <c r="J90" s="31" t="s">
        <v>22</v>
      </c>
      <c r="K90" s="31" t="s">
        <v>22</v>
      </c>
      <c r="L90" s="31" t="s">
        <v>22</v>
      </c>
      <c r="M90" s="114"/>
      <c r="N90" s="114"/>
      <c r="O90" s="114"/>
      <c r="P90" s="114"/>
      <c r="Q90" s="31" t="s">
        <v>21</v>
      </c>
      <c r="R90" s="31" t="s">
        <v>21</v>
      </c>
      <c r="S90" s="31" t="s">
        <v>21</v>
      </c>
      <c r="T90" s="31" t="s">
        <v>22</v>
      </c>
      <c r="U90" s="31" t="s">
        <v>22</v>
      </c>
      <c r="V90" s="31" t="s">
        <v>22</v>
      </c>
      <c r="W90" s="115"/>
      <c r="X90" s="3"/>
    </row>
    <row r="91" spans="1:24" ht="16.5" customHeight="1" x14ac:dyDescent="0.25">
      <c r="A91" s="5">
        <v>1</v>
      </c>
      <c r="B91" s="21" t="s">
        <v>233</v>
      </c>
      <c r="C91" s="13">
        <v>45738</v>
      </c>
      <c r="D91" s="8" t="s">
        <v>430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</row>
    <row r="92" spans="1:24" ht="15.75" customHeight="1" x14ac:dyDescent="0.25">
      <c r="A92" s="6">
        <v>2</v>
      </c>
      <c r="B92" s="21" t="s">
        <v>235</v>
      </c>
      <c r="C92" s="13">
        <v>45851</v>
      </c>
      <c r="D92" s="13">
        <v>45917</v>
      </c>
      <c r="E92" s="21">
        <v>3</v>
      </c>
      <c r="F92" s="21">
        <v>2</v>
      </c>
      <c r="G92" s="21"/>
      <c r="H92" s="21"/>
      <c r="I92" s="21"/>
      <c r="J92" s="21">
        <v>111</v>
      </c>
      <c r="K92" s="21"/>
      <c r="L92" s="21"/>
      <c r="M92" s="21">
        <v>111</v>
      </c>
      <c r="N92" s="20">
        <v>45944</v>
      </c>
      <c r="O92" s="21">
        <v>1</v>
      </c>
      <c r="P92" s="21">
        <v>0</v>
      </c>
      <c r="Q92" s="21"/>
      <c r="R92" s="21"/>
      <c r="S92" s="21"/>
      <c r="T92" s="21">
        <v>343</v>
      </c>
      <c r="U92" s="21"/>
      <c r="V92" s="21"/>
      <c r="W92" s="22">
        <v>343</v>
      </c>
    </row>
    <row r="93" spans="1:24" ht="15.75" customHeight="1" x14ac:dyDescent="0.25">
      <c r="A93" s="6">
        <v>3</v>
      </c>
      <c r="B93" s="21" t="s">
        <v>78</v>
      </c>
      <c r="C93" s="13">
        <v>45950</v>
      </c>
      <c r="D93" s="13">
        <v>46022</v>
      </c>
      <c r="E93" s="21">
        <v>4</v>
      </c>
      <c r="F93" s="21">
        <v>0</v>
      </c>
      <c r="G93" s="21">
        <v>110</v>
      </c>
      <c r="H93" s="21">
        <v>111</v>
      </c>
      <c r="I93" s="21">
        <v>123</v>
      </c>
      <c r="J93" s="21">
        <v>109</v>
      </c>
      <c r="K93" s="21"/>
      <c r="L93" s="21"/>
      <c r="M93" s="41">
        <f>AVERAGE(G93:L93)</f>
        <v>113.25</v>
      </c>
      <c r="N93" s="20">
        <v>46023</v>
      </c>
      <c r="O93" s="21">
        <v>4</v>
      </c>
      <c r="P93" s="21">
        <v>0</v>
      </c>
      <c r="Q93" s="21">
        <v>229</v>
      </c>
      <c r="R93" s="21">
        <v>208</v>
      </c>
      <c r="S93" s="21">
        <v>197</v>
      </c>
      <c r="T93" s="21">
        <v>198</v>
      </c>
      <c r="U93" s="21"/>
      <c r="V93" s="21"/>
      <c r="W93" s="22">
        <f>AVERAGE(Q93:V93)</f>
        <v>208</v>
      </c>
    </row>
    <row r="94" spans="1:24" ht="15.75" customHeight="1" x14ac:dyDescent="0.25">
      <c r="A94" s="5">
        <v>4</v>
      </c>
      <c r="B94" s="21" t="s">
        <v>78</v>
      </c>
      <c r="C94" s="13">
        <v>46039</v>
      </c>
      <c r="D94" s="8" t="s">
        <v>430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2"/>
    </row>
    <row r="95" spans="1:24" ht="18" customHeight="1" x14ac:dyDescent="0.25">
      <c r="A95" s="5">
        <v>5</v>
      </c>
      <c r="B95" s="21" t="s">
        <v>78</v>
      </c>
      <c r="C95" s="13">
        <v>46148</v>
      </c>
      <c r="D95" s="8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2"/>
    </row>
    <row r="96" spans="1:24" ht="15.75" customHeight="1" thickBot="1" x14ac:dyDescent="0.3">
      <c r="A96" s="7">
        <v>6</v>
      </c>
      <c r="B96" s="37"/>
      <c r="C96" s="10"/>
      <c r="D96" s="10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9"/>
    </row>
    <row r="97" spans="1:24" ht="20.100000000000001" customHeight="1" x14ac:dyDescent="0.25"/>
    <row r="98" spans="1:24" ht="20.100000000000001" customHeight="1" thickBot="1" x14ac:dyDescent="0.3"/>
    <row r="99" spans="1:24" ht="20.100000000000001" customHeight="1" x14ac:dyDescent="0.25">
      <c r="A99" s="100" t="s">
        <v>2</v>
      </c>
      <c r="B99" s="101"/>
      <c r="C99" s="111" t="s">
        <v>76</v>
      </c>
      <c r="D99" s="112"/>
      <c r="E99" s="111" t="s">
        <v>385</v>
      </c>
      <c r="F99" s="112"/>
      <c r="G99" s="101" t="s">
        <v>4</v>
      </c>
      <c r="H99" s="101"/>
      <c r="I99" s="102" t="s">
        <v>77</v>
      </c>
      <c r="J99" s="102"/>
      <c r="K99" s="102"/>
      <c r="L99" s="102"/>
      <c r="M99" s="102"/>
      <c r="N99" s="102"/>
      <c r="O99" s="101" t="s">
        <v>6</v>
      </c>
      <c r="P99" s="101"/>
      <c r="Q99" s="103"/>
      <c r="R99" s="104"/>
      <c r="S99" s="104"/>
      <c r="T99" s="104"/>
      <c r="U99" s="104"/>
      <c r="V99" s="104"/>
      <c r="W99" s="105"/>
      <c r="X99" s="1"/>
    </row>
    <row r="100" spans="1:24" ht="20.100000000000001" customHeight="1" x14ac:dyDescent="0.25">
      <c r="A100" s="106" t="s">
        <v>7</v>
      </c>
      <c r="B100" s="107"/>
      <c r="C100" s="108" t="s">
        <v>44</v>
      </c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9"/>
      <c r="P100" s="109"/>
      <c r="Q100" s="107"/>
      <c r="R100" s="107"/>
      <c r="S100" s="107"/>
      <c r="T100" s="107"/>
      <c r="U100" s="107"/>
      <c r="V100" s="107"/>
      <c r="W100" s="110"/>
      <c r="X100" s="1"/>
    </row>
    <row r="101" spans="1:24" ht="24.95" customHeight="1" x14ac:dyDescent="0.25">
      <c r="A101" s="113" t="s">
        <v>8</v>
      </c>
      <c r="B101" s="114" t="s">
        <v>9</v>
      </c>
      <c r="C101" s="114" t="s">
        <v>10</v>
      </c>
      <c r="D101" s="114" t="s">
        <v>11</v>
      </c>
      <c r="E101" s="114" t="s">
        <v>12</v>
      </c>
      <c r="F101" s="114" t="s">
        <v>13</v>
      </c>
      <c r="G101" s="114" t="s">
        <v>14</v>
      </c>
      <c r="H101" s="114"/>
      <c r="I101" s="114"/>
      <c r="J101" s="114"/>
      <c r="K101" s="114"/>
      <c r="L101" s="114"/>
      <c r="M101" s="114" t="s">
        <v>15</v>
      </c>
      <c r="N101" s="114" t="s">
        <v>16</v>
      </c>
      <c r="O101" s="114" t="s">
        <v>17</v>
      </c>
      <c r="P101" s="114" t="s">
        <v>18</v>
      </c>
      <c r="Q101" s="114" t="s">
        <v>19</v>
      </c>
      <c r="R101" s="114"/>
      <c r="S101" s="114"/>
      <c r="T101" s="114"/>
      <c r="U101" s="114"/>
      <c r="V101" s="114"/>
      <c r="W101" s="115" t="s">
        <v>20</v>
      </c>
      <c r="X101" s="3"/>
    </row>
    <row r="102" spans="1:24" ht="24.95" customHeight="1" x14ac:dyDescent="0.25">
      <c r="A102" s="113"/>
      <c r="B102" s="114"/>
      <c r="C102" s="114"/>
      <c r="D102" s="114"/>
      <c r="E102" s="114"/>
      <c r="F102" s="114"/>
      <c r="G102" s="31" t="s">
        <v>21</v>
      </c>
      <c r="H102" s="31" t="s">
        <v>21</v>
      </c>
      <c r="I102" s="31" t="s">
        <v>21</v>
      </c>
      <c r="J102" s="31" t="s">
        <v>22</v>
      </c>
      <c r="K102" s="31" t="s">
        <v>22</v>
      </c>
      <c r="L102" s="31" t="s">
        <v>22</v>
      </c>
      <c r="M102" s="114"/>
      <c r="N102" s="114"/>
      <c r="O102" s="114"/>
      <c r="P102" s="114"/>
      <c r="Q102" s="31" t="s">
        <v>21</v>
      </c>
      <c r="R102" s="31" t="s">
        <v>21</v>
      </c>
      <c r="S102" s="31" t="s">
        <v>21</v>
      </c>
      <c r="T102" s="31" t="s">
        <v>22</v>
      </c>
      <c r="U102" s="31" t="s">
        <v>22</v>
      </c>
      <c r="V102" s="31" t="s">
        <v>22</v>
      </c>
      <c r="W102" s="115"/>
      <c r="X102" s="3"/>
    </row>
    <row r="103" spans="1:24" ht="17.25" customHeight="1" x14ac:dyDescent="0.25">
      <c r="A103" s="5">
        <v>1</v>
      </c>
      <c r="B103" s="21" t="s">
        <v>78</v>
      </c>
      <c r="C103" s="13">
        <v>45738</v>
      </c>
      <c r="D103" s="20">
        <v>45814</v>
      </c>
      <c r="E103" s="21">
        <v>2</v>
      </c>
      <c r="F103" s="21">
        <v>0</v>
      </c>
      <c r="G103" s="21">
        <v>141</v>
      </c>
      <c r="H103" s="21"/>
      <c r="I103" s="21"/>
      <c r="J103" s="21">
        <v>157</v>
      </c>
      <c r="K103" s="21"/>
      <c r="L103" s="21"/>
      <c r="M103" s="21">
        <f>AVERAGE(G103:L103)</f>
        <v>149</v>
      </c>
      <c r="N103" s="20">
        <v>45833</v>
      </c>
      <c r="O103" s="21">
        <v>2</v>
      </c>
      <c r="P103" s="21">
        <v>0</v>
      </c>
      <c r="Q103" s="21">
        <v>272</v>
      </c>
      <c r="R103" s="21"/>
      <c r="S103" s="21"/>
      <c r="T103" s="21">
        <v>351</v>
      </c>
      <c r="U103" s="21"/>
      <c r="V103" s="21"/>
      <c r="W103" s="22">
        <f>AVERAGE(Q103:V103)</f>
        <v>311.5</v>
      </c>
    </row>
    <row r="104" spans="1:24" ht="18" customHeight="1" x14ac:dyDescent="0.25">
      <c r="A104" s="5">
        <v>2</v>
      </c>
      <c r="B104" s="21" t="s">
        <v>79</v>
      </c>
      <c r="C104" s="13">
        <v>45851</v>
      </c>
      <c r="D104" s="20">
        <v>45927</v>
      </c>
      <c r="E104" s="21">
        <v>4</v>
      </c>
      <c r="F104" s="21">
        <v>0</v>
      </c>
      <c r="G104" s="21">
        <v>123</v>
      </c>
      <c r="H104" s="21"/>
      <c r="I104" s="21"/>
      <c r="J104" s="21">
        <v>106</v>
      </c>
      <c r="K104" s="21">
        <v>107</v>
      </c>
      <c r="L104" s="21">
        <v>113</v>
      </c>
      <c r="M104" s="41">
        <f>AVERAGE(G104:L104)</f>
        <v>112.25</v>
      </c>
      <c r="N104" s="20">
        <v>45944</v>
      </c>
      <c r="O104" s="21">
        <v>4</v>
      </c>
      <c r="P104" s="21">
        <v>0</v>
      </c>
      <c r="Q104" s="21">
        <v>205</v>
      </c>
      <c r="R104" s="21"/>
      <c r="S104" s="21"/>
      <c r="T104" s="21">
        <v>190</v>
      </c>
      <c r="U104" s="21">
        <v>180</v>
      </c>
      <c r="V104" s="21">
        <v>243</v>
      </c>
      <c r="W104" s="22">
        <f>AVERAGE(Q104:V104)</f>
        <v>204.5</v>
      </c>
    </row>
    <row r="105" spans="1:24" ht="18" customHeight="1" x14ac:dyDescent="0.25">
      <c r="A105" s="5">
        <v>3</v>
      </c>
      <c r="B105" s="21"/>
      <c r="C105" s="8"/>
      <c r="D105" s="21"/>
      <c r="E105" s="21"/>
      <c r="F105" s="21"/>
      <c r="G105" s="21"/>
      <c r="H105" s="21"/>
      <c r="I105" s="21"/>
      <c r="J105" s="21"/>
      <c r="K105" s="21"/>
      <c r="L105" s="21"/>
      <c r="M105" s="41"/>
      <c r="N105" s="21"/>
      <c r="O105" s="21"/>
      <c r="P105" s="21"/>
      <c r="Q105" s="21"/>
      <c r="R105" s="21"/>
      <c r="S105" s="21"/>
      <c r="T105" s="21"/>
      <c r="U105" s="21"/>
      <c r="V105" s="21"/>
      <c r="W105" s="22"/>
    </row>
    <row r="106" spans="1:24" ht="18" customHeight="1" x14ac:dyDescent="0.25">
      <c r="A106" s="5">
        <v>4</v>
      </c>
      <c r="B106" s="21"/>
      <c r="C106" s="8"/>
      <c r="D106" s="21"/>
      <c r="E106" s="21"/>
      <c r="F106" s="21"/>
      <c r="G106" s="21"/>
      <c r="H106" s="21"/>
      <c r="I106" s="21"/>
      <c r="J106" s="21"/>
      <c r="K106" s="21"/>
      <c r="L106" s="21"/>
      <c r="M106" s="41"/>
      <c r="N106" s="21"/>
      <c r="O106" s="21"/>
      <c r="P106" s="21"/>
      <c r="Q106" s="21"/>
      <c r="R106" s="21"/>
      <c r="S106" s="21"/>
      <c r="T106" s="21"/>
      <c r="U106" s="21"/>
      <c r="V106" s="21"/>
      <c r="W106" s="22"/>
    </row>
    <row r="107" spans="1:24" ht="17.25" customHeight="1" x14ac:dyDescent="0.25">
      <c r="A107" s="5">
        <v>5</v>
      </c>
      <c r="B107" s="21"/>
      <c r="C107" s="8"/>
      <c r="D107" s="21"/>
      <c r="E107" s="21"/>
      <c r="F107" s="21"/>
      <c r="G107" s="21"/>
      <c r="H107" s="21"/>
      <c r="I107" s="21"/>
      <c r="J107" s="21"/>
      <c r="K107" s="21"/>
      <c r="L107" s="21"/>
      <c r="M107" s="41"/>
      <c r="N107" s="21"/>
      <c r="O107" s="21"/>
      <c r="P107" s="21"/>
      <c r="Q107" s="21"/>
      <c r="R107" s="21"/>
      <c r="S107" s="21"/>
      <c r="T107" s="21"/>
      <c r="U107" s="21"/>
      <c r="V107" s="21"/>
      <c r="W107" s="22"/>
    </row>
    <row r="108" spans="1:24" ht="16.5" customHeight="1" thickBot="1" x14ac:dyDescent="0.3">
      <c r="A108" s="7">
        <v>6</v>
      </c>
      <c r="B108" s="37"/>
      <c r="C108" s="10"/>
      <c r="D108" s="37"/>
      <c r="E108" s="37"/>
      <c r="F108" s="37"/>
      <c r="G108" s="37"/>
      <c r="H108" s="37"/>
      <c r="I108" s="37"/>
      <c r="J108" s="37"/>
      <c r="K108" s="37"/>
      <c r="L108" s="37"/>
      <c r="M108" s="42"/>
      <c r="N108" s="37"/>
      <c r="O108" s="37"/>
      <c r="P108" s="37"/>
      <c r="Q108" s="37"/>
      <c r="R108" s="37"/>
      <c r="S108" s="37"/>
      <c r="T108" s="37"/>
      <c r="U108" s="37"/>
      <c r="V108" s="37"/>
      <c r="W108" s="39"/>
    </row>
    <row r="109" spans="1:24" ht="20.100000000000001" customHeight="1" x14ac:dyDescent="0.25"/>
    <row r="110" spans="1:24" ht="20.100000000000001" customHeight="1" thickBot="1" x14ac:dyDescent="0.3"/>
    <row r="111" spans="1:24" ht="20.100000000000001" customHeight="1" x14ac:dyDescent="0.25">
      <c r="A111" s="100" t="s">
        <v>2</v>
      </c>
      <c r="B111" s="101"/>
      <c r="C111" s="178" t="s">
        <v>80</v>
      </c>
      <c r="D111" s="179"/>
      <c r="E111" s="111" t="s">
        <v>388</v>
      </c>
      <c r="F111" s="112"/>
      <c r="G111" s="101" t="s">
        <v>4</v>
      </c>
      <c r="H111" s="101"/>
      <c r="I111" s="102" t="s">
        <v>135</v>
      </c>
      <c r="J111" s="102"/>
      <c r="K111" s="102"/>
      <c r="L111" s="102"/>
      <c r="M111" s="102"/>
      <c r="N111" s="102"/>
      <c r="O111" s="101" t="s">
        <v>6</v>
      </c>
      <c r="P111" s="101"/>
      <c r="Q111" s="103"/>
      <c r="R111" s="104"/>
      <c r="S111" s="104"/>
      <c r="T111" s="104"/>
      <c r="U111" s="104"/>
      <c r="V111" s="104"/>
      <c r="W111" s="105"/>
      <c r="X111" s="1"/>
    </row>
    <row r="112" spans="1:24" ht="20.100000000000001" customHeight="1" x14ac:dyDescent="0.25">
      <c r="A112" s="106" t="s">
        <v>7</v>
      </c>
      <c r="B112" s="107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7"/>
      <c r="R112" s="107"/>
      <c r="S112" s="107"/>
      <c r="T112" s="107"/>
      <c r="U112" s="107"/>
      <c r="V112" s="107"/>
      <c r="W112" s="110"/>
      <c r="X112" s="1"/>
    </row>
    <row r="113" spans="1:24" ht="24.95" customHeight="1" x14ac:dyDescent="0.25">
      <c r="A113" s="113" t="s">
        <v>8</v>
      </c>
      <c r="B113" s="114" t="s">
        <v>9</v>
      </c>
      <c r="C113" s="114" t="s">
        <v>10</v>
      </c>
      <c r="D113" s="114" t="s">
        <v>11</v>
      </c>
      <c r="E113" s="114" t="s">
        <v>12</v>
      </c>
      <c r="F113" s="114" t="s">
        <v>13</v>
      </c>
      <c r="G113" s="114" t="s">
        <v>14</v>
      </c>
      <c r="H113" s="114"/>
      <c r="I113" s="114"/>
      <c r="J113" s="114"/>
      <c r="K113" s="114"/>
      <c r="L113" s="114"/>
      <c r="M113" s="114" t="s">
        <v>15</v>
      </c>
      <c r="N113" s="114" t="s">
        <v>16</v>
      </c>
      <c r="O113" s="114" t="s">
        <v>17</v>
      </c>
      <c r="P113" s="114" t="s">
        <v>18</v>
      </c>
      <c r="Q113" s="114" t="s">
        <v>19</v>
      </c>
      <c r="R113" s="114"/>
      <c r="S113" s="114"/>
      <c r="T113" s="114"/>
      <c r="U113" s="114"/>
      <c r="V113" s="114"/>
      <c r="W113" s="115" t="s">
        <v>20</v>
      </c>
      <c r="X113" s="3"/>
    </row>
    <row r="114" spans="1:24" ht="24.95" customHeight="1" x14ac:dyDescent="0.25">
      <c r="A114" s="113"/>
      <c r="B114" s="114"/>
      <c r="C114" s="114"/>
      <c r="D114" s="114"/>
      <c r="E114" s="114"/>
      <c r="F114" s="114"/>
      <c r="G114" s="31" t="s">
        <v>21</v>
      </c>
      <c r="H114" s="31" t="s">
        <v>21</v>
      </c>
      <c r="I114" s="31" t="s">
        <v>21</v>
      </c>
      <c r="J114" s="31" t="s">
        <v>22</v>
      </c>
      <c r="K114" s="31" t="s">
        <v>22</v>
      </c>
      <c r="L114" s="31" t="s">
        <v>22</v>
      </c>
      <c r="M114" s="114"/>
      <c r="N114" s="114"/>
      <c r="O114" s="114"/>
      <c r="P114" s="114"/>
      <c r="Q114" s="31" t="s">
        <v>21</v>
      </c>
      <c r="R114" s="31" t="s">
        <v>21</v>
      </c>
      <c r="S114" s="31" t="s">
        <v>21</v>
      </c>
      <c r="T114" s="31" t="s">
        <v>22</v>
      </c>
      <c r="U114" s="31" t="s">
        <v>22</v>
      </c>
      <c r="V114" s="31" t="s">
        <v>22</v>
      </c>
      <c r="W114" s="115"/>
      <c r="X114" s="3"/>
    </row>
    <row r="115" spans="1:24" ht="15" customHeight="1" x14ac:dyDescent="0.25">
      <c r="A115" s="5">
        <v>1</v>
      </c>
      <c r="B115" s="21" t="s">
        <v>233</v>
      </c>
      <c r="C115" s="13">
        <v>45738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9"/>
    </row>
    <row r="116" spans="1:24" ht="15.75" customHeight="1" x14ac:dyDescent="0.25">
      <c r="A116" s="5">
        <v>2</v>
      </c>
      <c r="B116" s="21" t="s">
        <v>235</v>
      </c>
      <c r="C116" s="13">
        <v>45851</v>
      </c>
      <c r="D116" s="21">
        <v>3</v>
      </c>
      <c r="E116" s="21">
        <v>3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2"/>
    </row>
    <row r="117" spans="1:24" ht="15.75" customHeight="1" x14ac:dyDescent="0.25">
      <c r="A117" s="5">
        <v>3</v>
      </c>
      <c r="B117" s="21" t="s">
        <v>78</v>
      </c>
      <c r="C117" s="13">
        <v>45950</v>
      </c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2"/>
    </row>
    <row r="118" spans="1:24" ht="17.25" customHeight="1" x14ac:dyDescent="0.25">
      <c r="A118" s="5">
        <v>4</v>
      </c>
      <c r="B118" s="21" t="s">
        <v>78</v>
      </c>
      <c r="C118" s="13">
        <v>46039</v>
      </c>
      <c r="D118" s="20">
        <v>46113</v>
      </c>
      <c r="E118" s="21">
        <v>3</v>
      </c>
      <c r="F118" s="21">
        <v>0</v>
      </c>
      <c r="G118" s="21">
        <v>125</v>
      </c>
      <c r="H118" s="21"/>
      <c r="I118" s="21"/>
      <c r="J118" s="21">
        <v>105</v>
      </c>
      <c r="K118" s="21">
        <v>78</v>
      </c>
      <c r="L118" s="21"/>
      <c r="M118" s="41">
        <f>AVERAGE(G118:L118)</f>
        <v>102.66666666666667</v>
      </c>
      <c r="N118" s="20">
        <v>46139</v>
      </c>
      <c r="O118" s="21">
        <v>3</v>
      </c>
      <c r="P118" s="21">
        <v>0</v>
      </c>
      <c r="Q118" s="21">
        <v>252</v>
      </c>
      <c r="R118" s="21"/>
      <c r="S118" s="21"/>
      <c r="T118" s="21">
        <v>151</v>
      </c>
      <c r="U118" s="21">
        <v>196</v>
      </c>
      <c r="V118" s="21"/>
      <c r="W118" s="40">
        <f>AVERAGE(Q118:V118)</f>
        <v>199.66666666666666</v>
      </c>
    </row>
    <row r="119" spans="1:24" ht="18" customHeight="1" x14ac:dyDescent="0.25">
      <c r="A119" s="5">
        <v>5</v>
      </c>
      <c r="B119" s="21" t="s">
        <v>78</v>
      </c>
      <c r="C119" s="13">
        <v>46148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2"/>
    </row>
    <row r="120" spans="1:24" ht="17.25" customHeight="1" thickBot="1" x14ac:dyDescent="0.3">
      <c r="A120" s="7">
        <v>6</v>
      </c>
      <c r="B120" s="37"/>
      <c r="C120" s="10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9"/>
    </row>
    <row r="121" spans="1:24" ht="20.100000000000001" customHeight="1" x14ac:dyDescent="0.25"/>
    <row r="122" spans="1:24" ht="20.100000000000001" customHeight="1" thickBot="1" x14ac:dyDescent="0.3"/>
    <row r="123" spans="1:24" ht="20.100000000000001" customHeight="1" x14ac:dyDescent="0.25">
      <c r="A123" s="100" t="s">
        <v>2</v>
      </c>
      <c r="B123" s="101"/>
      <c r="C123" s="184" t="s">
        <v>81</v>
      </c>
      <c r="D123" s="185"/>
      <c r="E123" s="111" t="s">
        <v>385</v>
      </c>
      <c r="F123" s="112"/>
      <c r="G123" s="101" t="s">
        <v>4</v>
      </c>
      <c r="H123" s="101"/>
      <c r="I123" s="102" t="s">
        <v>135</v>
      </c>
      <c r="J123" s="102"/>
      <c r="K123" s="102"/>
      <c r="L123" s="102"/>
      <c r="M123" s="102"/>
      <c r="N123" s="102"/>
      <c r="O123" s="101" t="s">
        <v>6</v>
      </c>
      <c r="P123" s="101"/>
      <c r="Q123" s="103"/>
      <c r="R123" s="104"/>
      <c r="S123" s="104"/>
      <c r="T123" s="104"/>
      <c r="U123" s="104"/>
      <c r="V123" s="104"/>
      <c r="W123" s="105"/>
      <c r="X123" s="1"/>
    </row>
    <row r="124" spans="1:24" ht="20.100000000000001" customHeight="1" x14ac:dyDescent="0.25">
      <c r="A124" s="106" t="s">
        <v>7</v>
      </c>
      <c r="B124" s="107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7"/>
      <c r="R124" s="107"/>
      <c r="S124" s="107"/>
      <c r="T124" s="107"/>
      <c r="U124" s="107"/>
      <c r="V124" s="107"/>
      <c r="W124" s="110"/>
      <c r="X124" s="1"/>
    </row>
    <row r="125" spans="1:24" ht="24.95" customHeight="1" x14ac:dyDescent="0.25">
      <c r="A125" s="113" t="s">
        <v>8</v>
      </c>
      <c r="B125" s="114" t="s">
        <v>9</v>
      </c>
      <c r="C125" s="114" t="s">
        <v>10</v>
      </c>
      <c r="D125" s="114" t="s">
        <v>11</v>
      </c>
      <c r="E125" s="114" t="s">
        <v>12</v>
      </c>
      <c r="F125" s="114" t="s">
        <v>13</v>
      </c>
      <c r="G125" s="114" t="s">
        <v>14</v>
      </c>
      <c r="H125" s="114"/>
      <c r="I125" s="114"/>
      <c r="J125" s="114"/>
      <c r="K125" s="114"/>
      <c r="L125" s="114"/>
      <c r="M125" s="114" t="s">
        <v>15</v>
      </c>
      <c r="N125" s="114" t="s">
        <v>16</v>
      </c>
      <c r="O125" s="114" t="s">
        <v>17</v>
      </c>
      <c r="P125" s="114" t="s">
        <v>18</v>
      </c>
      <c r="Q125" s="114" t="s">
        <v>19</v>
      </c>
      <c r="R125" s="114"/>
      <c r="S125" s="114"/>
      <c r="T125" s="114"/>
      <c r="U125" s="114"/>
      <c r="V125" s="114"/>
      <c r="W125" s="115" t="s">
        <v>20</v>
      </c>
      <c r="X125" s="3"/>
    </row>
    <row r="126" spans="1:24" ht="24.95" customHeight="1" x14ac:dyDescent="0.25">
      <c r="A126" s="113"/>
      <c r="B126" s="114"/>
      <c r="C126" s="114"/>
      <c r="D126" s="114"/>
      <c r="E126" s="114"/>
      <c r="F126" s="114"/>
      <c r="G126" s="31" t="s">
        <v>21</v>
      </c>
      <c r="H126" s="31" t="s">
        <v>21</v>
      </c>
      <c r="I126" s="31" t="s">
        <v>21</v>
      </c>
      <c r="J126" s="31" t="s">
        <v>22</v>
      </c>
      <c r="K126" s="31" t="s">
        <v>22</v>
      </c>
      <c r="L126" s="31" t="s">
        <v>22</v>
      </c>
      <c r="M126" s="114"/>
      <c r="N126" s="114"/>
      <c r="O126" s="114"/>
      <c r="P126" s="114"/>
      <c r="Q126" s="31" t="s">
        <v>21</v>
      </c>
      <c r="R126" s="31" t="s">
        <v>21</v>
      </c>
      <c r="S126" s="31" t="s">
        <v>21</v>
      </c>
      <c r="T126" s="31" t="s">
        <v>22</v>
      </c>
      <c r="U126" s="31" t="s">
        <v>22</v>
      </c>
      <c r="V126" s="31" t="s">
        <v>22</v>
      </c>
      <c r="W126" s="115"/>
      <c r="X126" s="3"/>
    </row>
    <row r="127" spans="1:24" ht="16.5" customHeight="1" x14ac:dyDescent="0.25">
      <c r="A127" s="5">
        <v>1</v>
      </c>
      <c r="B127" s="21" t="s">
        <v>79</v>
      </c>
      <c r="C127" s="13">
        <v>45738</v>
      </c>
      <c r="D127" s="20">
        <v>45810</v>
      </c>
      <c r="E127" s="21">
        <v>3</v>
      </c>
      <c r="F127" s="21">
        <v>0</v>
      </c>
      <c r="G127" s="21">
        <v>138</v>
      </c>
      <c r="H127" s="21">
        <v>136</v>
      </c>
      <c r="I127" s="21"/>
      <c r="J127" s="21"/>
      <c r="K127" s="21">
        <v>136</v>
      </c>
      <c r="L127" s="21"/>
      <c r="M127" s="41">
        <f>AVERAGE(K127,H127,G127)</f>
        <v>136.66666666666666</v>
      </c>
      <c r="N127" s="20">
        <v>45833</v>
      </c>
      <c r="O127" s="21">
        <v>3</v>
      </c>
      <c r="P127" s="21"/>
      <c r="Q127" s="21">
        <v>328</v>
      </c>
      <c r="R127" s="21">
        <v>308</v>
      </c>
      <c r="S127" s="21"/>
      <c r="T127" s="21"/>
      <c r="U127" s="21">
        <v>320</v>
      </c>
      <c r="V127" s="21"/>
      <c r="W127" s="40">
        <f>AVERAGE(Q127,R127,U127)</f>
        <v>318.66666666666669</v>
      </c>
    </row>
    <row r="128" spans="1:24" ht="15.75" customHeight="1" x14ac:dyDescent="0.25">
      <c r="A128" s="5">
        <v>2</v>
      </c>
      <c r="B128" s="21" t="s">
        <v>357</v>
      </c>
      <c r="C128" s="13" t="s">
        <v>368</v>
      </c>
      <c r="D128" s="20">
        <v>45876</v>
      </c>
      <c r="E128" s="21">
        <v>4</v>
      </c>
      <c r="F128" s="21">
        <v>0</v>
      </c>
      <c r="G128" s="21">
        <v>130</v>
      </c>
      <c r="H128" s="21"/>
      <c r="I128" s="21"/>
      <c r="J128" s="21">
        <v>122</v>
      </c>
      <c r="K128" s="21">
        <v>128</v>
      </c>
      <c r="L128" s="21">
        <v>110</v>
      </c>
      <c r="M128" s="41">
        <f>AVERAGE(G128:L128)</f>
        <v>122.5</v>
      </c>
      <c r="N128" s="20">
        <v>45901</v>
      </c>
      <c r="O128" s="21">
        <v>4</v>
      </c>
      <c r="P128" s="21">
        <v>0</v>
      </c>
      <c r="Q128" s="21">
        <v>337</v>
      </c>
      <c r="R128" s="21"/>
      <c r="S128" s="21"/>
      <c r="T128" s="21">
        <v>350</v>
      </c>
      <c r="U128" s="21">
        <v>356</v>
      </c>
      <c r="V128" s="21">
        <v>337</v>
      </c>
      <c r="W128" s="40">
        <f>AVERAGE(Q128:V128)</f>
        <v>345</v>
      </c>
    </row>
    <row r="129" spans="1:24" ht="18" customHeight="1" x14ac:dyDescent="0.25">
      <c r="A129" s="5">
        <v>3</v>
      </c>
      <c r="B129" s="21" t="s">
        <v>235</v>
      </c>
      <c r="C129" s="13">
        <v>45887</v>
      </c>
      <c r="D129" s="20">
        <v>45963</v>
      </c>
      <c r="E129" s="21">
        <v>1</v>
      </c>
      <c r="F129" s="21">
        <v>0</v>
      </c>
      <c r="G129" s="21"/>
      <c r="H129" s="21"/>
      <c r="I129" s="21"/>
      <c r="J129" s="21">
        <v>189</v>
      </c>
      <c r="K129" s="21"/>
      <c r="L129" s="21"/>
      <c r="M129" s="41">
        <v>189</v>
      </c>
      <c r="N129" s="20">
        <v>45986</v>
      </c>
      <c r="O129" s="21">
        <v>1</v>
      </c>
      <c r="P129" s="21">
        <v>0</v>
      </c>
      <c r="Q129" s="21"/>
      <c r="R129" s="21"/>
      <c r="S129" s="21"/>
      <c r="T129" s="21">
        <v>276</v>
      </c>
      <c r="U129" s="21"/>
      <c r="V129" s="21"/>
      <c r="W129" s="40">
        <v>276</v>
      </c>
    </row>
    <row r="130" spans="1:24" ht="16.5" customHeight="1" x14ac:dyDescent="0.25">
      <c r="A130" s="5">
        <v>4</v>
      </c>
      <c r="B130" s="21" t="s">
        <v>239</v>
      </c>
      <c r="C130" s="13">
        <v>46039</v>
      </c>
      <c r="D130" s="20">
        <v>46105</v>
      </c>
      <c r="E130" s="21">
        <v>3</v>
      </c>
      <c r="F130" s="21">
        <v>1</v>
      </c>
      <c r="G130" s="21">
        <v>80</v>
      </c>
      <c r="H130" s="21">
        <v>85</v>
      </c>
      <c r="I130" s="21"/>
      <c r="J130" s="21"/>
      <c r="K130" s="21"/>
      <c r="L130" s="21"/>
      <c r="M130" s="41">
        <f>AVERAGE(G130:L130)</f>
        <v>82.5</v>
      </c>
      <c r="N130" s="20">
        <v>46133</v>
      </c>
      <c r="O130" s="21">
        <v>2</v>
      </c>
      <c r="P130" s="21">
        <v>0</v>
      </c>
      <c r="Q130" s="21">
        <v>285</v>
      </c>
      <c r="R130" s="21">
        <v>318</v>
      </c>
      <c r="S130" s="21"/>
      <c r="T130" s="21"/>
      <c r="U130" s="21"/>
      <c r="V130" s="21"/>
      <c r="W130" s="40">
        <f>AVERAGE(Q130:V130)</f>
        <v>301.5</v>
      </c>
    </row>
    <row r="131" spans="1:24" ht="17.25" customHeight="1" x14ac:dyDescent="0.25">
      <c r="A131" s="5">
        <v>5</v>
      </c>
      <c r="B131" s="21" t="s">
        <v>97</v>
      </c>
      <c r="C131" s="13">
        <v>46181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41"/>
      <c r="N131" s="21"/>
      <c r="O131" s="21"/>
      <c r="P131" s="21"/>
      <c r="Q131" s="21"/>
      <c r="R131" s="21"/>
      <c r="S131" s="21"/>
      <c r="T131" s="21"/>
      <c r="U131" s="21"/>
      <c r="V131" s="21"/>
      <c r="W131" s="40"/>
    </row>
    <row r="132" spans="1:24" ht="16.5" customHeight="1" thickBot="1" x14ac:dyDescent="0.3">
      <c r="A132" s="7">
        <v>6</v>
      </c>
      <c r="B132" s="37"/>
      <c r="C132" s="10"/>
      <c r="D132" s="37"/>
      <c r="E132" s="37"/>
      <c r="F132" s="37"/>
      <c r="G132" s="37"/>
      <c r="H132" s="37"/>
      <c r="I132" s="37"/>
      <c r="J132" s="37"/>
      <c r="K132" s="37"/>
      <c r="L132" s="37"/>
      <c r="M132" s="42"/>
      <c r="N132" s="37"/>
      <c r="O132" s="37"/>
      <c r="P132" s="37"/>
      <c r="Q132" s="37"/>
      <c r="R132" s="37"/>
      <c r="S132" s="37"/>
      <c r="T132" s="37"/>
      <c r="U132" s="37"/>
      <c r="V132" s="37"/>
      <c r="W132" s="43"/>
    </row>
    <row r="133" spans="1:24" ht="20.100000000000001" customHeight="1" x14ac:dyDescent="0.25"/>
    <row r="134" spans="1:24" ht="20.100000000000001" customHeight="1" thickBot="1" x14ac:dyDescent="0.3"/>
    <row r="135" spans="1:24" ht="20.100000000000001" customHeight="1" x14ac:dyDescent="0.25">
      <c r="A135" s="100" t="s">
        <v>2</v>
      </c>
      <c r="B135" s="101"/>
      <c r="C135" s="178" t="s">
        <v>82</v>
      </c>
      <c r="D135" s="179"/>
      <c r="E135" s="111" t="s">
        <v>384</v>
      </c>
      <c r="F135" s="112"/>
      <c r="G135" s="101" t="s">
        <v>4</v>
      </c>
      <c r="H135" s="101"/>
      <c r="I135" s="102" t="s">
        <v>135</v>
      </c>
      <c r="J135" s="102"/>
      <c r="K135" s="102"/>
      <c r="L135" s="102"/>
      <c r="M135" s="102"/>
      <c r="N135" s="102"/>
      <c r="O135" s="101" t="s">
        <v>6</v>
      </c>
      <c r="P135" s="101"/>
      <c r="Q135" s="103"/>
      <c r="R135" s="104"/>
      <c r="S135" s="104"/>
      <c r="T135" s="104"/>
      <c r="U135" s="104"/>
      <c r="V135" s="104"/>
      <c r="W135" s="105"/>
      <c r="X135" s="1"/>
    </row>
    <row r="136" spans="1:24" ht="20.100000000000001" customHeight="1" x14ac:dyDescent="0.25">
      <c r="A136" s="106" t="s">
        <v>7</v>
      </c>
      <c r="B136" s="107"/>
      <c r="C136" s="116" t="s">
        <v>44</v>
      </c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09"/>
      <c r="P136" s="109"/>
      <c r="Q136" s="107"/>
      <c r="R136" s="107"/>
      <c r="S136" s="107"/>
      <c r="T136" s="107"/>
      <c r="U136" s="107"/>
      <c r="V136" s="107"/>
      <c r="W136" s="110"/>
      <c r="X136" s="1"/>
    </row>
    <row r="137" spans="1:24" ht="24.95" customHeight="1" x14ac:dyDescent="0.25">
      <c r="A137" s="113" t="s">
        <v>8</v>
      </c>
      <c r="B137" s="114" t="s">
        <v>9</v>
      </c>
      <c r="C137" s="114" t="s">
        <v>10</v>
      </c>
      <c r="D137" s="114" t="s">
        <v>11</v>
      </c>
      <c r="E137" s="114" t="s">
        <v>12</v>
      </c>
      <c r="F137" s="114" t="s">
        <v>13</v>
      </c>
      <c r="G137" s="114" t="s">
        <v>14</v>
      </c>
      <c r="H137" s="114"/>
      <c r="I137" s="114"/>
      <c r="J137" s="114"/>
      <c r="K137" s="114"/>
      <c r="L137" s="114"/>
      <c r="M137" s="114" t="s">
        <v>15</v>
      </c>
      <c r="N137" s="114" t="s">
        <v>16</v>
      </c>
      <c r="O137" s="114" t="s">
        <v>17</v>
      </c>
      <c r="P137" s="114" t="s">
        <v>18</v>
      </c>
      <c r="Q137" s="114" t="s">
        <v>19</v>
      </c>
      <c r="R137" s="114"/>
      <c r="S137" s="114"/>
      <c r="T137" s="114"/>
      <c r="U137" s="114"/>
      <c r="V137" s="114"/>
      <c r="W137" s="115" t="s">
        <v>20</v>
      </c>
      <c r="X137" s="3"/>
    </row>
    <row r="138" spans="1:24" ht="24.95" customHeight="1" x14ac:dyDescent="0.25">
      <c r="A138" s="113"/>
      <c r="B138" s="114"/>
      <c r="C138" s="114"/>
      <c r="D138" s="114"/>
      <c r="E138" s="114"/>
      <c r="F138" s="114"/>
      <c r="G138" s="31" t="s">
        <v>21</v>
      </c>
      <c r="H138" s="31" t="s">
        <v>21</v>
      </c>
      <c r="I138" s="31" t="s">
        <v>21</v>
      </c>
      <c r="J138" s="31" t="s">
        <v>22</v>
      </c>
      <c r="K138" s="31" t="s">
        <v>22</v>
      </c>
      <c r="L138" s="31" t="s">
        <v>22</v>
      </c>
      <c r="M138" s="114"/>
      <c r="N138" s="114"/>
      <c r="O138" s="114"/>
      <c r="P138" s="114"/>
      <c r="Q138" s="31" t="s">
        <v>21</v>
      </c>
      <c r="R138" s="31" t="s">
        <v>21</v>
      </c>
      <c r="S138" s="31" t="s">
        <v>21</v>
      </c>
      <c r="T138" s="31" t="s">
        <v>22</v>
      </c>
      <c r="U138" s="31" t="s">
        <v>22</v>
      </c>
      <c r="V138" s="31" t="s">
        <v>22</v>
      </c>
      <c r="W138" s="115"/>
      <c r="X138" s="3"/>
    </row>
    <row r="139" spans="1:24" ht="18" customHeight="1" x14ac:dyDescent="0.25">
      <c r="A139" s="5">
        <v>1</v>
      </c>
      <c r="B139" s="21" t="s">
        <v>79</v>
      </c>
      <c r="C139" s="13">
        <v>45738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</row>
    <row r="140" spans="1:24" ht="15.75" customHeight="1" x14ac:dyDescent="0.25">
      <c r="A140" s="5">
        <v>2</v>
      </c>
      <c r="B140" s="21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</row>
    <row r="141" spans="1:24" ht="15.75" customHeight="1" x14ac:dyDescent="0.25">
      <c r="A141" s="5">
        <v>3</v>
      </c>
      <c r="B141" s="21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spans="1:24" ht="17.25" customHeight="1" x14ac:dyDescent="0.25">
      <c r="A142" s="5">
        <v>4</v>
      </c>
      <c r="B142" s="21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</row>
    <row r="143" spans="1:24" ht="15" customHeight="1" x14ac:dyDescent="0.25">
      <c r="A143" s="5">
        <v>5</v>
      </c>
      <c r="B143" s="21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</row>
    <row r="144" spans="1:24" ht="16.5" customHeight="1" thickBot="1" x14ac:dyDescent="0.3">
      <c r="A144" s="7">
        <v>6</v>
      </c>
      <c r="B144" s="37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4" ht="20.100000000000001" customHeight="1" x14ac:dyDescent="0.25"/>
    <row r="146" spans="1:24" ht="20.100000000000001" customHeight="1" thickBot="1" x14ac:dyDescent="0.3"/>
    <row r="147" spans="1:24" ht="20.100000000000001" customHeight="1" x14ac:dyDescent="0.25">
      <c r="A147" s="100" t="s">
        <v>2</v>
      </c>
      <c r="B147" s="101"/>
      <c r="C147" s="184" t="s">
        <v>83</v>
      </c>
      <c r="D147" s="185"/>
      <c r="E147" s="111" t="s">
        <v>361</v>
      </c>
      <c r="F147" s="112"/>
      <c r="G147" s="101" t="s">
        <v>4</v>
      </c>
      <c r="H147" s="101"/>
      <c r="I147" s="102" t="s">
        <v>135</v>
      </c>
      <c r="J147" s="102"/>
      <c r="K147" s="102"/>
      <c r="L147" s="102"/>
      <c r="M147" s="102"/>
      <c r="N147" s="102"/>
      <c r="O147" s="101" t="s">
        <v>6</v>
      </c>
      <c r="P147" s="101"/>
      <c r="Q147" s="103"/>
      <c r="R147" s="104"/>
      <c r="S147" s="104"/>
      <c r="T147" s="104"/>
      <c r="U147" s="104"/>
      <c r="V147" s="104"/>
      <c r="W147" s="105"/>
      <c r="X147" s="1"/>
    </row>
    <row r="148" spans="1:24" ht="20.100000000000001" customHeight="1" x14ac:dyDescent="0.25">
      <c r="A148" s="106" t="s">
        <v>7</v>
      </c>
      <c r="B148" s="107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7"/>
      <c r="R148" s="107"/>
      <c r="S148" s="107"/>
      <c r="T148" s="107"/>
      <c r="U148" s="107"/>
      <c r="V148" s="107"/>
      <c r="W148" s="110"/>
      <c r="X148" s="1"/>
    </row>
    <row r="149" spans="1:24" ht="24.95" customHeight="1" x14ac:dyDescent="0.25">
      <c r="A149" s="113" t="s">
        <v>8</v>
      </c>
      <c r="B149" s="114" t="s">
        <v>9</v>
      </c>
      <c r="C149" s="114" t="s">
        <v>10</v>
      </c>
      <c r="D149" s="114" t="s">
        <v>11</v>
      </c>
      <c r="E149" s="114" t="s">
        <v>12</v>
      </c>
      <c r="F149" s="114" t="s">
        <v>13</v>
      </c>
      <c r="G149" s="114" t="s">
        <v>14</v>
      </c>
      <c r="H149" s="114"/>
      <c r="I149" s="114"/>
      <c r="J149" s="114"/>
      <c r="K149" s="114"/>
      <c r="L149" s="114"/>
      <c r="M149" s="114" t="s">
        <v>15</v>
      </c>
      <c r="N149" s="114" t="s">
        <v>16</v>
      </c>
      <c r="O149" s="114" t="s">
        <v>17</v>
      </c>
      <c r="P149" s="114" t="s">
        <v>18</v>
      </c>
      <c r="Q149" s="114" t="s">
        <v>19</v>
      </c>
      <c r="R149" s="114"/>
      <c r="S149" s="114"/>
      <c r="T149" s="114"/>
      <c r="U149" s="114"/>
      <c r="V149" s="114"/>
      <c r="W149" s="115" t="s">
        <v>20</v>
      </c>
      <c r="X149" s="3"/>
    </row>
    <row r="150" spans="1:24" ht="24.95" customHeight="1" x14ac:dyDescent="0.25">
      <c r="A150" s="113"/>
      <c r="B150" s="114"/>
      <c r="C150" s="114"/>
      <c r="D150" s="114"/>
      <c r="E150" s="114"/>
      <c r="F150" s="114"/>
      <c r="G150" s="31" t="s">
        <v>21</v>
      </c>
      <c r="H150" s="31" t="s">
        <v>21</v>
      </c>
      <c r="I150" s="31" t="s">
        <v>21</v>
      </c>
      <c r="J150" s="31" t="s">
        <v>22</v>
      </c>
      <c r="K150" s="31" t="s">
        <v>22</v>
      </c>
      <c r="L150" s="31" t="s">
        <v>22</v>
      </c>
      <c r="M150" s="114"/>
      <c r="N150" s="114"/>
      <c r="O150" s="114"/>
      <c r="P150" s="114"/>
      <c r="Q150" s="31" t="s">
        <v>21</v>
      </c>
      <c r="R150" s="31" t="s">
        <v>21</v>
      </c>
      <c r="S150" s="31" t="s">
        <v>21</v>
      </c>
      <c r="T150" s="31" t="s">
        <v>22</v>
      </c>
      <c r="U150" s="31" t="s">
        <v>22</v>
      </c>
      <c r="V150" s="31" t="s">
        <v>22</v>
      </c>
      <c r="W150" s="115"/>
      <c r="X150" s="3"/>
    </row>
    <row r="151" spans="1:24" ht="16.5" customHeight="1" x14ac:dyDescent="0.25">
      <c r="A151" s="5">
        <v>1</v>
      </c>
      <c r="B151" s="8" t="s">
        <v>79</v>
      </c>
      <c r="C151" s="13">
        <v>45738</v>
      </c>
      <c r="D151" s="20">
        <v>45845</v>
      </c>
      <c r="E151" s="21">
        <v>2</v>
      </c>
      <c r="F151" s="21">
        <v>0</v>
      </c>
      <c r="G151" s="21">
        <v>192</v>
      </c>
      <c r="H151" s="21"/>
      <c r="I151" s="21"/>
      <c r="J151" s="21">
        <v>183</v>
      </c>
      <c r="K151" s="21"/>
      <c r="L151" s="21"/>
      <c r="M151" s="21">
        <f>AVERAGE(G151:L151)</f>
        <v>187.5</v>
      </c>
      <c r="N151" s="20">
        <v>45869</v>
      </c>
      <c r="O151" s="21">
        <v>2</v>
      </c>
      <c r="P151" s="21">
        <v>0</v>
      </c>
      <c r="Q151" s="21">
        <v>436</v>
      </c>
      <c r="R151" s="21"/>
      <c r="S151" s="21"/>
      <c r="T151" s="21">
        <v>418</v>
      </c>
      <c r="U151" s="21"/>
      <c r="V151" s="21"/>
      <c r="W151" s="22">
        <f>AVERAGE(Q151:V151)</f>
        <v>427</v>
      </c>
    </row>
    <row r="152" spans="1:24" ht="16.5" customHeight="1" x14ac:dyDescent="0.25">
      <c r="A152" s="6">
        <v>2</v>
      </c>
      <c r="B152" s="8" t="s">
        <v>235</v>
      </c>
      <c r="C152" s="13">
        <v>45884</v>
      </c>
      <c r="D152" s="20">
        <v>45964</v>
      </c>
      <c r="E152" s="21">
        <v>3</v>
      </c>
      <c r="F152" s="21">
        <v>0</v>
      </c>
      <c r="G152" s="21">
        <v>126</v>
      </c>
      <c r="H152" s="21"/>
      <c r="I152" s="21"/>
      <c r="J152" s="21">
        <v>113</v>
      </c>
      <c r="K152" s="21">
        <v>130</v>
      </c>
      <c r="L152" s="21"/>
      <c r="M152" s="21">
        <f>AVERAGE(G152:L152)</f>
        <v>123</v>
      </c>
      <c r="N152" s="20">
        <v>45986</v>
      </c>
      <c r="O152" s="21">
        <v>3</v>
      </c>
      <c r="P152" s="21">
        <v>0</v>
      </c>
      <c r="Q152" s="21">
        <v>230</v>
      </c>
      <c r="R152" s="21"/>
      <c r="S152" s="21"/>
      <c r="T152" s="21">
        <v>280</v>
      </c>
      <c r="U152" s="21">
        <v>280</v>
      </c>
      <c r="V152" s="21"/>
      <c r="W152" s="40">
        <f>AVERAGE(Q152:V152)</f>
        <v>263.33333333333331</v>
      </c>
    </row>
    <row r="153" spans="1:24" ht="16.5" customHeight="1" x14ac:dyDescent="0.25">
      <c r="A153" s="6">
        <v>3</v>
      </c>
      <c r="B153" s="8" t="s">
        <v>233</v>
      </c>
      <c r="C153" s="13">
        <v>46039</v>
      </c>
      <c r="D153" s="20">
        <v>46111</v>
      </c>
      <c r="E153" s="21">
        <v>3</v>
      </c>
      <c r="F153" s="21">
        <v>0</v>
      </c>
      <c r="G153" s="21">
        <v>176</v>
      </c>
      <c r="H153" s="21">
        <v>189</v>
      </c>
      <c r="I153" s="21">
        <v>155</v>
      </c>
      <c r="J153" s="21"/>
      <c r="K153" s="21"/>
      <c r="L153" s="21"/>
      <c r="M153" s="41">
        <f>AVERAGE(G153:L153)</f>
        <v>173.33333333333334</v>
      </c>
      <c r="N153" s="20">
        <v>46133</v>
      </c>
      <c r="O153" s="21">
        <v>3</v>
      </c>
      <c r="P153" s="21">
        <v>0</v>
      </c>
      <c r="Q153" s="21">
        <v>383</v>
      </c>
      <c r="R153" s="21">
        <v>416</v>
      </c>
      <c r="S153" s="21">
        <v>360</v>
      </c>
      <c r="T153" s="21"/>
      <c r="U153" s="21"/>
      <c r="V153" s="21"/>
      <c r="W153" s="40">
        <f>AVERAGE(Q153:V153)</f>
        <v>386.33333333333331</v>
      </c>
    </row>
    <row r="154" spans="1:24" ht="17.25" customHeight="1" x14ac:dyDescent="0.25">
      <c r="A154" s="5">
        <v>4</v>
      </c>
      <c r="B154" s="8" t="s">
        <v>233</v>
      </c>
      <c r="C154" s="13">
        <v>46148</v>
      </c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2"/>
    </row>
    <row r="155" spans="1:24" ht="16.5" customHeight="1" x14ac:dyDescent="0.25">
      <c r="A155" s="5">
        <v>5</v>
      </c>
      <c r="B155" s="8"/>
      <c r="C155" s="8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2"/>
    </row>
    <row r="156" spans="1:24" ht="15.75" customHeight="1" thickBot="1" x14ac:dyDescent="0.3">
      <c r="A156" s="7">
        <v>6</v>
      </c>
      <c r="B156" s="10"/>
      <c r="C156" s="10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9"/>
    </row>
    <row r="157" spans="1:24" ht="20.100000000000001" customHeight="1" x14ac:dyDescent="0.25"/>
    <row r="158" spans="1:24" ht="20.100000000000001" customHeight="1" thickBot="1" x14ac:dyDescent="0.3"/>
    <row r="159" spans="1:24" ht="20.100000000000001" customHeight="1" x14ac:dyDescent="0.25">
      <c r="A159" s="100" t="s">
        <v>2</v>
      </c>
      <c r="B159" s="101"/>
      <c r="C159" s="178" t="s">
        <v>84</v>
      </c>
      <c r="D159" s="179"/>
      <c r="E159" s="111"/>
      <c r="F159" s="112"/>
      <c r="G159" s="101" t="s">
        <v>4</v>
      </c>
      <c r="H159" s="101"/>
      <c r="I159" s="102" t="s">
        <v>135</v>
      </c>
      <c r="J159" s="102"/>
      <c r="K159" s="102"/>
      <c r="L159" s="102"/>
      <c r="M159" s="102"/>
      <c r="N159" s="102"/>
      <c r="O159" s="101" t="s">
        <v>6</v>
      </c>
      <c r="P159" s="101"/>
      <c r="Q159" s="103"/>
      <c r="R159" s="104"/>
      <c r="S159" s="104"/>
      <c r="T159" s="104"/>
      <c r="U159" s="104"/>
      <c r="V159" s="104"/>
      <c r="W159" s="105"/>
      <c r="X159" s="1"/>
    </row>
    <row r="160" spans="1:24" ht="20.100000000000001" customHeight="1" x14ac:dyDescent="0.25">
      <c r="A160" s="106" t="s">
        <v>7</v>
      </c>
      <c r="B160" s="107"/>
      <c r="C160" s="116" t="s">
        <v>386</v>
      </c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09"/>
      <c r="P160" s="109"/>
      <c r="Q160" s="107"/>
      <c r="R160" s="107"/>
      <c r="S160" s="107"/>
      <c r="T160" s="107"/>
      <c r="U160" s="107"/>
      <c r="V160" s="107"/>
      <c r="W160" s="110"/>
      <c r="X160" s="1"/>
    </row>
    <row r="161" spans="1:24" ht="24.95" customHeight="1" x14ac:dyDescent="0.25">
      <c r="A161" s="113" t="s">
        <v>8</v>
      </c>
      <c r="B161" s="114" t="s">
        <v>9</v>
      </c>
      <c r="C161" s="114" t="s">
        <v>10</v>
      </c>
      <c r="D161" s="114" t="s">
        <v>11</v>
      </c>
      <c r="E161" s="114" t="s">
        <v>12</v>
      </c>
      <c r="F161" s="114" t="s">
        <v>13</v>
      </c>
      <c r="G161" s="114" t="s">
        <v>14</v>
      </c>
      <c r="H161" s="114"/>
      <c r="I161" s="114"/>
      <c r="J161" s="114"/>
      <c r="K161" s="114"/>
      <c r="L161" s="114"/>
      <c r="M161" s="114" t="s">
        <v>15</v>
      </c>
      <c r="N161" s="114" t="s">
        <v>16</v>
      </c>
      <c r="O161" s="114" t="s">
        <v>17</v>
      </c>
      <c r="P161" s="114" t="s">
        <v>18</v>
      </c>
      <c r="Q161" s="114" t="s">
        <v>19</v>
      </c>
      <c r="R161" s="114"/>
      <c r="S161" s="114"/>
      <c r="T161" s="114"/>
      <c r="U161" s="114"/>
      <c r="V161" s="114"/>
      <c r="W161" s="115" t="s">
        <v>20</v>
      </c>
      <c r="X161" s="3"/>
    </row>
    <row r="162" spans="1:24" ht="24.95" customHeight="1" x14ac:dyDescent="0.25">
      <c r="A162" s="113"/>
      <c r="B162" s="114"/>
      <c r="C162" s="114"/>
      <c r="D162" s="114"/>
      <c r="E162" s="114"/>
      <c r="F162" s="114"/>
      <c r="G162" s="31" t="s">
        <v>21</v>
      </c>
      <c r="H162" s="31" t="s">
        <v>21</v>
      </c>
      <c r="I162" s="31" t="s">
        <v>21</v>
      </c>
      <c r="J162" s="31" t="s">
        <v>22</v>
      </c>
      <c r="K162" s="31" t="s">
        <v>22</v>
      </c>
      <c r="L162" s="31" t="s">
        <v>22</v>
      </c>
      <c r="M162" s="114"/>
      <c r="N162" s="114"/>
      <c r="O162" s="114"/>
      <c r="P162" s="114"/>
      <c r="Q162" s="31" t="s">
        <v>21</v>
      </c>
      <c r="R162" s="31" t="s">
        <v>21</v>
      </c>
      <c r="S162" s="31" t="s">
        <v>21</v>
      </c>
      <c r="T162" s="31" t="s">
        <v>22</v>
      </c>
      <c r="U162" s="31" t="s">
        <v>22</v>
      </c>
      <c r="V162" s="31" t="s">
        <v>22</v>
      </c>
      <c r="W162" s="115"/>
      <c r="X162" s="3"/>
    </row>
    <row r="163" spans="1:24" ht="15.75" customHeight="1" x14ac:dyDescent="0.25">
      <c r="A163" s="5">
        <v>1</v>
      </c>
      <c r="B163" s="8"/>
      <c r="C163" s="13"/>
      <c r="D163" s="13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</row>
    <row r="164" spans="1:24" ht="18.75" customHeight="1" x14ac:dyDescent="0.25">
      <c r="A164" s="6">
        <v>2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</row>
    <row r="165" spans="1:24" ht="16.5" customHeight="1" x14ac:dyDescent="0.25">
      <c r="A165" s="6">
        <v>3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spans="1:24" ht="16.5" customHeight="1" x14ac:dyDescent="0.25">
      <c r="A166" s="5">
        <v>4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</row>
    <row r="167" spans="1:24" ht="16.5" customHeight="1" x14ac:dyDescent="0.25">
      <c r="A167" s="5">
        <v>5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</row>
    <row r="168" spans="1:24" ht="15.75" customHeight="1" thickBot="1" x14ac:dyDescent="0.3">
      <c r="A168" s="7">
        <v>6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4" ht="20.100000000000001" customHeight="1" x14ac:dyDescent="0.25"/>
    <row r="170" spans="1:24" ht="20.100000000000001" customHeight="1" thickBot="1" x14ac:dyDescent="0.3"/>
    <row r="171" spans="1:24" ht="20.100000000000001" customHeight="1" x14ac:dyDescent="0.25">
      <c r="A171" s="100" t="s">
        <v>2</v>
      </c>
      <c r="B171" s="101"/>
      <c r="C171" s="178" t="s">
        <v>85</v>
      </c>
      <c r="D171" s="179"/>
      <c r="E171" s="111" t="s">
        <v>391</v>
      </c>
      <c r="F171" s="112"/>
      <c r="G171" s="101" t="s">
        <v>4</v>
      </c>
      <c r="H171" s="101"/>
      <c r="I171" s="102" t="s">
        <v>135</v>
      </c>
      <c r="J171" s="102"/>
      <c r="K171" s="102"/>
      <c r="L171" s="102"/>
      <c r="M171" s="102"/>
      <c r="N171" s="102"/>
      <c r="O171" s="101" t="s">
        <v>6</v>
      </c>
      <c r="P171" s="101"/>
      <c r="Q171" s="103"/>
      <c r="R171" s="104"/>
      <c r="S171" s="104"/>
      <c r="T171" s="104"/>
      <c r="U171" s="104"/>
      <c r="V171" s="104"/>
      <c r="W171" s="105"/>
      <c r="X171" s="1"/>
    </row>
    <row r="172" spans="1:24" ht="20.100000000000001" customHeight="1" x14ac:dyDescent="0.25">
      <c r="A172" s="106" t="s">
        <v>7</v>
      </c>
      <c r="B172" s="107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7"/>
      <c r="R172" s="107"/>
      <c r="S172" s="107"/>
      <c r="T172" s="107"/>
      <c r="U172" s="107"/>
      <c r="V172" s="107"/>
      <c r="W172" s="110"/>
      <c r="X172" s="1"/>
    </row>
    <row r="173" spans="1:24" ht="24.95" customHeight="1" x14ac:dyDescent="0.25">
      <c r="A173" s="113" t="s">
        <v>8</v>
      </c>
      <c r="B173" s="114" t="s">
        <v>9</v>
      </c>
      <c r="C173" s="114" t="s">
        <v>10</v>
      </c>
      <c r="D173" s="114" t="s">
        <v>11</v>
      </c>
      <c r="E173" s="114" t="s">
        <v>12</v>
      </c>
      <c r="F173" s="114" t="s">
        <v>13</v>
      </c>
      <c r="G173" s="114" t="s">
        <v>14</v>
      </c>
      <c r="H173" s="114"/>
      <c r="I173" s="114"/>
      <c r="J173" s="114"/>
      <c r="K173" s="114"/>
      <c r="L173" s="114"/>
      <c r="M173" s="114" t="s">
        <v>15</v>
      </c>
      <c r="N173" s="114" t="s">
        <v>16</v>
      </c>
      <c r="O173" s="114" t="s">
        <v>17</v>
      </c>
      <c r="P173" s="114" t="s">
        <v>18</v>
      </c>
      <c r="Q173" s="114" t="s">
        <v>19</v>
      </c>
      <c r="R173" s="114"/>
      <c r="S173" s="114"/>
      <c r="T173" s="114"/>
      <c r="U173" s="114"/>
      <c r="V173" s="114"/>
      <c r="W173" s="115" t="s">
        <v>20</v>
      </c>
      <c r="X173" s="3"/>
    </row>
    <row r="174" spans="1:24" ht="24.95" customHeight="1" x14ac:dyDescent="0.25">
      <c r="A174" s="113"/>
      <c r="B174" s="114"/>
      <c r="C174" s="114"/>
      <c r="D174" s="114"/>
      <c r="E174" s="114"/>
      <c r="F174" s="114"/>
      <c r="G174" s="31" t="s">
        <v>21</v>
      </c>
      <c r="H174" s="31" t="s">
        <v>21</v>
      </c>
      <c r="I174" s="31" t="s">
        <v>21</v>
      </c>
      <c r="J174" s="31" t="s">
        <v>22</v>
      </c>
      <c r="K174" s="31" t="s">
        <v>22</v>
      </c>
      <c r="L174" s="31" t="s">
        <v>22</v>
      </c>
      <c r="M174" s="114"/>
      <c r="N174" s="114"/>
      <c r="O174" s="114"/>
      <c r="P174" s="114"/>
      <c r="Q174" s="31" t="s">
        <v>21</v>
      </c>
      <c r="R174" s="31" t="s">
        <v>21</v>
      </c>
      <c r="S174" s="31" t="s">
        <v>21</v>
      </c>
      <c r="T174" s="31" t="s">
        <v>22</v>
      </c>
      <c r="U174" s="31" t="s">
        <v>22</v>
      </c>
      <c r="V174" s="31" t="s">
        <v>22</v>
      </c>
      <c r="W174" s="115"/>
      <c r="X174" s="3"/>
    </row>
    <row r="175" spans="1:24" ht="16.5" customHeight="1" x14ac:dyDescent="0.25">
      <c r="A175" s="5">
        <v>1</v>
      </c>
      <c r="B175" s="8" t="s">
        <v>233</v>
      </c>
      <c r="C175" s="13">
        <v>45738</v>
      </c>
      <c r="D175" s="8" t="s">
        <v>371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9"/>
    </row>
    <row r="176" spans="1:24" ht="16.5" customHeight="1" x14ac:dyDescent="0.25">
      <c r="A176" s="6">
        <v>2</v>
      </c>
      <c r="B176" s="8" t="s">
        <v>235</v>
      </c>
      <c r="C176" s="13">
        <v>45851</v>
      </c>
      <c r="D176" s="20">
        <v>45922</v>
      </c>
      <c r="E176" s="21">
        <v>2</v>
      </c>
      <c r="F176" s="21">
        <v>0</v>
      </c>
      <c r="G176" s="21"/>
      <c r="H176" s="21"/>
      <c r="I176" s="21"/>
      <c r="J176" s="21">
        <v>148</v>
      </c>
      <c r="K176" s="21">
        <v>141</v>
      </c>
      <c r="L176" s="21"/>
      <c r="M176" s="21">
        <f>AVERAGE(G176:L176)</f>
        <v>144.5</v>
      </c>
      <c r="N176" s="20">
        <v>45944</v>
      </c>
      <c r="O176" s="21">
        <v>0</v>
      </c>
      <c r="P176" s="21">
        <v>0</v>
      </c>
      <c r="Q176" s="21"/>
      <c r="R176" s="21"/>
      <c r="S176" s="21"/>
      <c r="T176" s="21"/>
      <c r="U176" s="21"/>
      <c r="V176" s="21"/>
      <c r="W176" s="22"/>
    </row>
    <row r="177" spans="1:24" ht="15.75" customHeight="1" x14ac:dyDescent="0.25">
      <c r="A177" s="6">
        <v>3</v>
      </c>
      <c r="B177" s="8" t="s">
        <v>78</v>
      </c>
      <c r="C177" s="13">
        <v>45950</v>
      </c>
      <c r="D177" s="21" t="s">
        <v>428</v>
      </c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2"/>
    </row>
    <row r="178" spans="1:24" ht="17.25" customHeight="1" x14ac:dyDescent="0.25">
      <c r="A178" s="5">
        <v>4</v>
      </c>
      <c r="B178" s="8" t="s">
        <v>97</v>
      </c>
      <c r="C178" s="13">
        <v>46039</v>
      </c>
      <c r="D178" s="20">
        <v>46111</v>
      </c>
      <c r="E178" s="21">
        <v>5</v>
      </c>
      <c r="F178" s="21">
        <v>0</v>
      </c>
      <c r="G178" s="21">
        <v>157</v>
      </c>
      <c r="H178" s="21">
        <v>113</v>
      </c>
      <c r="I178" s="21">
        <v>158</v>
      </c>
      <c r="J178" s="21">
        <v>121</v>
      </c>
      <c r="K178" s="21">
        <v>120</v>
      </c>
      <c r="L178" s="21"/>
      <c r="M178" s="21">
        <f>AVERAGE(G178:L178)</f>
        <v>133.80000000000001</v>
      </c>
      <c r="N178" s="20">
        <v>46133</v>
      </c>
      <c r="O178" s="21">
        <v>5</v>
      </c>
      <c r="P178" s="21">
        <v>0</v>
      </c>
      <c r="Q178" s="21">
        <v>355</v>
      </c>
      <c r="R178" s="21">
        <v>344</v>
      </c>
      <c r="S178" s="21">
        <v>313</v>
      </c>
      <c r="T178" s="21">
        <v>296</v>
      </c>
      <c r="U178" s="21">
        <v>328</v>
      </c>
      <c r="V178" s="21"/>
      <c r="W178" s="22">
        <f>AVERAGE(Q178:V178)</f>
        <v>327.2</v>
      </c>
    </row>
    <row r="179" spans="1:24" ht="16.5" customHeight="1" x14ac:dyDescent="0.25">
      <c r="A179" s="5">
        <v>5</v>
      </c>
      <c r="B179" s="8" t="s">
        <v>97</v>
      </c>
      <c r="C179" s="13">
        <v>46148</v>
      </c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2"/>
    </row>
    <row r="180" spans="1:24" ht="15.75" customHeight="1" thickBot="1" x14ac:dyDescent="0.3">
      <c r="A180" s="7">
        <v>6</v>
      </c>
      <c r="B180" s="10"/>
      <c r="C180" s="10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9"/>
    </row>
    <row r="181" spans="1:24" ht="20.100000000000001" customHeight="1" x14ac:dyDescent="0.25"/>
    <row r="182" spans="1:24" ht="20.100000000000001" customHeight="1" thickBot="1" x14ac:dyDescent="0.3"/>
    <row r="183" spans="1:24" ht="20.100000000000001" customHeight="1" x14ac:dyDescent="0.25">
      <c r="A183" s="100" t="s">
        <v>2</v>
      </c>
      <c r="B183" s="101"/>
      <c r="C183" s="178" t="s">
        <v>86</v>
      </c>
      <c r="D183" s="179"/>
      <c r="E183" s="111" t="s">
        <v>384</v>
      </c>
      <c r="F183" s="112"/>
      <c r="G183" s="101" t="s">
        <v>4</v>
      </c>
      <c r="H183" s="101"/>
      <c r="I183" s="102" t="s">
        <v>135</v>
      </c>
      <c r="J183" s="102"/>
      <c r="K183" s="102"/>
      <c r="L183" s="102"/>
      <c r="M183" s="102"/>
      <c r="N183" s="102"/>
      <c r="O183" s="101" t="s">
        <v>6</v>
      </c>
      <c r="P183" s="101"/>
      <c r="Q183" s="103"/>
      <c r="R183" s="104"/>
      <c r="S183" s="104"/>
      <c r="T183" s="104"/>
      <c r="U183" s="104"/>
      <c r="V183" s="104"/>
      <c r="W183" s="105"/>
      <c r="X183" s="1"/>
    </row>
    <row r="184" spans="1:24" ht="20.100000000000001" customHeight="1" x14ac:dyDescent="0.25">
      <c r="A184" s="106" t="s">
        <v>7</v>
      </c>
      <c r="B184" s="107"/>
      <c r="C184" s="116" t="s">
        <v>44</v>
      </c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09"/>
      <c r="P184" s="109"/>
      <c r="Q184" s="107"/>
      <c r="R184" s="107"/>
      <c r="S184" s="107"/>
      <c r="T184" s="107"/>
      <c r="U184" s="107"/>
      <c r="V184" s="107"/>
      <c r="W184" s="110"/>
      <c r="X184" s="1"/>
    </row>
    <row r="185" spans="1:24" ht="24.95" customHeight="1" x14ac:dyDescent="0.25">
      <c r="A185" s="113" t="s">
        <v>8</v>
      </c>
      <c r="B185" s="114" t="s">
        <v>9</v>
      </c>
      <c r="C185" s="114" t="s">
        <v>10</v>
      </c>
      <c r="D185" s="114" t="s">
        <v>11</v>
      </c>
      <c r="E185" s="114" t="s">
        <v>12</v>
      </c>
      <c r="F185" s="114" t="s">
        <v>13</v>
      </c>
      <c r="G185" s="114" t="s">
        <v>14</v>
      </c>
      <c r="H185" s="114"/>
      <c r="I185" s="114"/>
      <c r="J185" s="114"/>
      <c r="K185" s="114"/>
      <c r="L185" s="114"/>
      <c r="M185" s="114" t="s">
        <v>15</v>
      </c>
      <c r="N185" s="114" t="s">
        <v>16</v>
      </c>
      <c r="O185" s="114" t="s">
        <v>17</v>
      </c>
      <c r="P185" s="114" t="s">
        <v>18</v>
      </c>
      <c r="Q185" s="114" t="s">
        <v>19</v>
      </c>
      <c r="R185" s="114"/>
      <c r="S185" s="114"/>
      <c r="T185" s="114"/>
      <c r="U185" s="114"/>
      <c r="V185" s="114"/>
      <c r="W185" s="115" t="s">
        <v>20</v>
      </c>
      <c r="X185" s="3"/>
    </row>
    <row r="186" spans="1:24" ht="24.95" customHeight="1" x14ac:dyDescent="0.25">
      <c r="A186" s="113"/>
      <c r="B186" s="114"/>
      <c r="C186" s="114"/>
      <c r="D186" s="114"/>
      <c r="E186" s="114"/>
      <c r="F186" s="114"/>
      <c r="G186" s="31" t="s">
        <v>21</v>
      </c>
      <c r="H186" s="31" t="s">
        <v>21</v>
      </c>
      <c r="I186" s="31" t="s">
        <v>21</v>
      </c>
      <c r="J186" s="31" t="s">
        <v>22</v>
      </c>
      <c r="K186" s="31" t="s">
        <v>22</v>
      </c>
      <c r="L186" s="31" t="s">
        <v>22</v>
      </c>
      <c r="M186" s="114"/>
      <c r="N186" s="114"/>
      <c r="O186" s="114"/>
      <c r="P186" s="114"/>
      <c r="Q186" s="31" t="s">
        <v>21</v>
      </c>
      <c r="R186" s="31" t="s">
        <v>21</v>
      </c>
      <c r="S186" s="31" t="s">
        <v>21</v>
      </c>
      <c r="T186" s="31" t="s">
        <v>22</v>
      </c>
      <c r="U186" s="31" t="s">
        <v>22</v>
      </c>
      <c r="V186" s="31" t="s">
        <v>22</v>
      </c>
      <c r="W186" s="115"/>
      <c r="X186" s="3"/>
    </row>
    <row r="187" spans="1:24" ht="17.25" customHeight="1" x14ac:dyDescent="0.25">
      <c r="A187" s="5">
        <v>1</v>
      </c>
      <c r="B187" s="21" t="s">
        <v>79</v>
      </c>
      <c r="C187" s="20">
        <v>45738</v>
      </c>
      <c r="D187" s="20">
        <v>45803</v>
      </c>
      <c r="E187" s="21">
        <v>2</v>
      </c>
      <c r="F187" s="21">
        <v>0</v>
      </c>
      <c r="G187" s="21"/>
      <c r="H187" s="21"/>
      <c r="I187" s="21"/>
      <c r="J187" s="21">
        <v>164</v>
      </c>
      <c r="K187" s="21">
        <v>160</v>
      </c>
      <c r="L187" s="21"/>
      <c r="M187" s="21">
        <f>AVERAGE(J187,K187)</f>
        <v>162</v>
      </c>
      <c r="N187" s="20">
        <v>45818</v>
      </c>
      <c r="O187" s="21">
        <v>2</v>
      </c>
      <c r="P187" s="21">
        <v>0</v>
      </c>
      <c r="Q187" s="21"/>
      <c r="R187" s="21"/>
      <c r="S187" s="21"/>
      <c r="T187" s="21">
        <v>285</v>
      </c>
      <c r="U187" s="21">
        <v>309</v>
      </c>
      <c r="V187" s="21"/>
      <c r="W187" s="22">
        <f>AVERAGE(T187,U187)</f>
        <v>297</v>
      </c>
    </row>
    <row r="188" spans="1:24" ht="16.5" customHeight="1" x14ac:dyDescent="0.25">
      <c r="A188" s="6">
        <v>2</v>
      </c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2"/>
    </row>
    <row r="189" spans="1:24" ht="17.25" customHeight="1" x14ac:dyDescent="0.25">
      <c r="A189" s="6">
        <v>3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2"/>
    </row>
    <row r="190" spans="1:24" ht="17.25" customHeight="1" x14ac:dyDescent="0.25">
      <c r="A190" s="5">
        <v>4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2"/>
    </row>
    <row r="191" spans="1:24" ht="16.5" customHeight="1" x14ac:dyDescent="0.25">
      <c r="A191" s="5">
        <v>5</v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2"/>
    </row>
    <row r="192" spans="1:24" ht="18" customHeight="1" thickBot="1" x14ac:dyDescent="0.3">
      <c r="A192" s="7">
        <v>6</v>
      </c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9"/>
    </row>
    <row r="193" spans="1:24" ht="20.100000000000001" customHeight="1" x14ac:dyDescent="0.25"/>
    <row r="194" spans="1:24" ht="20.100000000000001" customHeight="1" thickBot="1" x14ac:dyDescent="0.3"/>
    <row r="195" spans="1:24" ht="20.100000000000001" customHeight="1" x14ac:dyDescent="0.25">
      <c r="A195" s="100" t="s">
        <v>2</v>
      </c>
      <c r="B195" s="101"/>
      <c r="C195" s="111" t="s">
        <v>87</v>
      </c>
      <c r="D195" s="112"/>
      <c r="E195" s="111" t="s">
        <v>387</v>
      </c>
      <c r="F195" s="112"/>
      <c r="G195" s="101" t="s">
        <v>4</v>
      </c>
      <c r="H195" s="101"/>
      <c r="I195" s="102" t="s">
        <v>135</v>
      </c>
      <c r="J195" s="102"/>
      <c r="K195" s="102"/>
      <c r="L195" s="102"/>
      <c r="M195" s="102"/>
      <c r="N195" s="102"/>
      <c r="O195" s="101" t="s">
        <v>6</v>
      </c>
      <c r="P195" s="101"/>
      <c r="Q195" s="103"/>
      <c r="R195" s="104"/>
      <c r="S195" s="104"/>
      <c r="T195" s="104"/>
      <c r="U195" s="104"/>
      <c r="V195" s="104"/>
      <c r="W195" s="105"/>
      <c r="X195" s="1"/>
    </row>
    <row r="196" spans="1:24" ht="20.100000000000001" customHeight="1" x14ac:dyDescent="0.25">
      <c r="A196" s="106" t="s">
        <v>7</v>
      </c>
      <c r="B196" s="107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7"/>
      <c r="R196" s="107"/>
      <c r="S196" s="107"/>
      <c r="T196" s="107"/>
      <c r="U196" s="107"/>
      <c r="V196" s="107"/>
      <c r="W196" s="110"/>
      <c r="X196" s="1"/>
    </row>
    <row r="197" spans="1:24" ht="24.95" customHeight="1" x14ac:dyDescent="0.25">
      <c r="A197" s="113" t="s">
        <v>8</v>
      </c>
      <c r="B197" s="114" t="s">
        <v>9</v>
      </c>
      <c r="C197" s="114" t="s">
        <v>10</v>
      </c>
      <c r="D197" s="114" t="s">
        <v>11</v>
      </c>
      <c r="E197" s="114" t="s">
        <v>12</v>
      </c>
      <c r="F197" s="114" t="s">
        <v>13</v>
      </c>
      <c r="G197" s="114" t="s">
        <v>14</v>
      </c>
      <c r="H197" s="114"/>
      <c r="I197" s="114"/>
      <c r="J197" s="114"/>
      <c r="K197" s="114"/>
      <c r="L197" s="114"/>
      <c r="M197" s="114" t="s">
        <v>15</v>
      </c>
      <c r="N197" s="114" t="s">
        <v>16</v>
      </c>
      <c r="O197" s="114" t="s">
        <v>17</v>
      </c>
      <c r="P197" s="114" t="s">
        <v>18</v>
      </c>
      <c r="Q197" s="114" t="s">
        <v>19</v>
      </c>
      <c r="R197" s="114"/>
      <c r="S197" s="114"/>
      <c r="T197" s="114"/>
      <c r="U197" s="114"/>
      <c r="V197" s="114"/>
      <c r="W197" s="115" t="s">
        <v>20</v>
      </c>
      <c r="X197" s="3"/>
    </row>
    <row r="198" spans="1:24" ht="24.95" customHeight="1" x14ac:dyDescent="0.25">
      <c r="A198" s="113"/>
      <c r="B198" s="114"/>
      <c r="C198" s="114"/>
      <c r="D198" s="114"/>
      <c r="E198" s="114"/>
      <c r="F198" s="114"/>
      <c r="G198" s="31" t="s">
        <v>21</v>
      </c>
      <c r="H198" s="31" t="s">
        <v>21</v>
      </c>
      <c r="I198" s="31" t="s">
        <v>21</v>
      </c>
      <c r="J198" s="31" t="s">
        <v>22</v>
      </c>
      <c r="K198" s="31" t="s">
        <v>22</v>
      </c>
      <c r="L198" s="31" t="s">
        <v>22</v>
      </c>
      <c r="M198" s="114"/>
      <c r="N198" s="114"/>
      <c r="O198" s="114"/>
      <c r="P198" s="114"/>
      <c r="Q198" s="31" t="s">
        <v>21</v>
      </c>
      <c r="R198" s="31" t="s">
        <v>21</v>
      </c>
      <c r="S198" s="31" t="s">
        <v>21</v>
      </c>
      <c r="T198" s="31" t="s">
        <v>22</v>
      </c>
      <c r="U198" s="31" t="s">
        <v>22</v>
      </c>
      <c r="V198" s="31" t="s">
        <v>22</v>
      </c>
      <c r="W198" s="115"/>
      <c r="X198" s="3"/>
    </row>
    <row r="199" spans="1:24" ht="15.75" customHeight="1" x14ac:dyDescent="0.25">
      <c r="A199" s="5">
        <v>1</v>
      </c>
      <c r="B199" s="21" t="s">
        <v>79</v>
      </c>
      <c r="C199" s="13">
        <v>45799</v>
      </c>
      <c r="D199" s="20">
        <v>45841</v>
      </c>
      <c r="E199" s="21">
        <v>1</v>
      </c>
      <c r="F199" s="21">
        <v>0</v>
      </c>
      <c r="G199" s="21">
        <v>217</v>
      </c>
      <c r="H199" s="21"/>
      <c r="I199" s="21"/>
      <c r="J199" s="21"/>
      <c r="K199" s="21"/>
      <c r="L199" s="21"/>
      <c r="M199" s="21">
        <v>217</v>
      </c>
      <c r="N199" s="20">
        <v>45869</v>
      </c>
      <c r="O199" s="21">
        <v>1</v>
      </c>
      <c r="P199" s="21">
        <v>0</v>
      </c>
      <c r="Q199" s="21">
        <v>217</v>
      </c>
      <c r="R199" s="21"/>
      <c r="S199" s="21"/>
      <c r="T199" s="21"/>
      <c r="U199" s="21"/>
      <c r="V199" s="21"/>
      <c r="W199" s="22">
        <v>217</v>
      </c>
    </row>
    <row r="200" spans="1:24" ht="16.5" customHeight="1" x14ac:dyDescent="0.25">
      <c r="A200" s="5">
        <v>2</v>
      </c>
      <c r="B200" s="21" t="s">
        <v>235</v>
      </c>
      <c r="C200" s="13">
        <v>45884</v>
      </c>
      <c r="D200" s="20">
        <v>45957</v>
      </c>
      <c r="E200" s="21">
        <v>3</v>
      </c>
      <c r="F200" s="21">
        <v>1</v>
      </c>
      <c r="G200" s="21">
        <v>120</v>
      </c>
      <c r="H200" s="21"/>
      <c r="I200" s="21"/>
      <c r="J200" s="21">
        <v>183</v>
      </c>
      <c r="K200" s="21"/>
      <c r="L200" s="21"/>
      <c r="M200" s="21">
        <f>AVERAGE(G200:L200)</f>
        <v>151.5</v>
      </c>
      <c r="N200" s="20">
        <v>45973</v>
      </c>
      <c r="O200" s="21">
        <v>2</v>
      </c>
      <c r="P200" s="21">
        <v>0</v>
      </c>
      <c r="Q200" s="21">
        <v>205</v>
      </c>
      <c r="R200" s="21"/>
      <c r="S200" s="21"/>
      <c r="T200" s="21">
        <v>241</v>
      </c>
      <c r="U200" s="21"/>
      <c r="V200" s="21"/>
      <c r="W200" s="22">
        <f>AVERAGE(Q200:V200)</f>
        <v>223</v>
      </c>
    </row>
    <row r="201" spans="1:24" ht="15.75" customHeight="1" x14ac:dyDescent="0.25">
      <c r="A201" s="5">
        <v>3</v>
      </c>
      <c r="B201" s="21" t="s">
        <v>79</v>
      </c>
      <c r="C201" s="13">
        <v>46039</v>
      </c>
      <c r="D201" s="20">
        <v>46113</v>
      </c>
      <c r="E201" s="21">
        <v>1</v>
      </c>
      <c r="F201" s="21">
        <v>0</v>
      </c>
      <c r="G201" s="21"/>
      <c r="H201" s="21"/>
      <c r="I201" s="21"/>
      <c r="J201" s="21">
        <v>203</v>
      </c>
      <c r="K201" s="21"/>
      <c r="L201" s="21"/>
      <c r="M201" s="21">
        <v>203</v>
      </c>
      <c r="N201" s="20">
        <v>46139</v>
      </c>
      <c r="O201" s="21">
        <v>1</v>
      </c>
      <c r="P201" s="21">
        <v>0</v>
      </c>
      <c r="Q201" s="21"/>
      <c r="R201" s="21"/>
      <c r="S201" s="21"/>
      <c r="T201" s="21">
        <v>274</v>
      </c>
      <c r="U201" s="21"/>
      <c r="V201" s="21"/>
      <c r="W201" s="22">
        <v>274</v>
      </c>
    </row>
    <row r="202" spans="1:24" ht="19.5" customHeight="1" x14ac:dyDescent="0.25">
      <c r="A202" s="5">
        <v>4</v>
      </c>
      <c r="B202" s="21" t="s">
        <v>79</v>
      </c>
      <c r="C202" s="13">
        <v>46148</v>
      </c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2"/>
    </row>
    <row r="203" spans="1:24" ht="18.75" customHeight="1" x14ac:dyDescent="0.25">
      <c r="A203" s="5">
        <v>5</v>
      </c>
      <c r="B203" s="21"/>
      <c r="C203" s="8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2"/>
    </row>
    <row r="204" spans="1:24" ht="18" customHeight="1" thickBot="1" x14ac:dyDescent="0.3">
      <c r="A204" s="7">
        <v>6</v>
      </c>
      <c r="B204" s="37"/>
      <c r="C204" s="10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9"/>
    </row>
    <row r="205" spans="1:24" ht="20.100000000000001" customHeight="1" x14ac:dyDescent="0.25"/>
    <row r="206" spans="1:24" ht="20.100000000000001" customHeight="1" thickBot="1" x14ac:dyDescent="0.3"/>
    <row r="207" spans="1:24" ht="20.100000000000001" customHeight="1" x14ac:dyDescent="0.25">
      <c r="A207" s="100" t="s">
        <v>2</v>
      </c>
      <c r="B207" s="101"/>
      <c r="C207" s="178" t="s">
        <v>88</v>
      </c>
      <c r="D207" s="179"/>
      <c r="E207" s="111" t="s">
        <v>385</v>
      </c>
      <c r="F207" s="112"/>
      <c r="G207" s="101" t="s">
        <v>4</v>
      </c>
      <c r="H207" s="101"/>
      <c r="I207" s="102" t="s">
        <v>135</v>
      </c>
      <c r="J207" s="102"/>
      <c r="K207" s="102"/>
      <c r="L207" s="102"/>
      <c r="M207" s="102"/>
      <c r="N207" s="102"/>
      <c r="O207" s="101" t="s">
        <v>6</v>
      </c>
      <c r="P207" s="101"/>
      <c r="Q207" s="103"/>
      <c r="R207" s="104"/>
      <c r="S207" s="104"/>
      <c r="T207" s="104"/>
      <c r="U207" s="104"/>
      <c r="V207" s="104"/>
      <c r="W207" s="105"/>
      <c r="X207" s="1"/>
    </row>
    <row r="208" spans="1:24" ht="20.100000000000001" customHeight="1" x14ac:dyDescent="0.25">
      <c r="A208" s="106" t="s">
        <v>7</v>
      </c>
      <c r="B208" s="107"/>
      <c r="C208" s="116" t="s">
        <v>44</v>
      </c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09"/>
      <c r="P208" s="109"/>
      <c r="Q208" s="107"/>
      <c r="R208" s="107"/>
      <c r="S208" s="107"/>
      <c r="T208" s="107"/>
      <c r="U208" s="107"/>
      <c r="V208" s="107"/>
      <c r="W208" s="110"/>
      <c r="X208" s="1"/>
    </row>
    <row r="209" spans="1:24" ht="24.95" customHeight="1" x14ac:dyDescent="0.25">
      <c r="A209" s="113" t="s">
        <v>8</v>
      </c>
      <c r="B209" s="114" t="s">
        <v>9</v>
      </c>
      <c r="C209" s="114" t="s">
        <v>10</v>
      </c>
      <c r="D209" s="114" t="s">
        <v>11</v>
      </c>
      <c r="E209" s="114" t="s">
        <v>12</v>
      </c>
      <c r="F209" s="114" t="s">
        <v>13</v>
      </c>
      <c r="G209" s="114" t="s">
        <v>14</v>
      </c>
      <c r="H209" s="114"/>
      <c r="I209" s="114"/>
      <c r="J209" s="114"/>
      <c r="K209" s="114"/>
      <c r="L209" s="114"/>
      <c r="M209" s="114" t="s">
        <v>15</v>
      </c>
      <c r="N209" s="114" t="s">
        <v>16</v>
      </c>
      <c r="O209" s="114" t="s">
        <v>17</v>
      </c>
      <c r="P209" s="114" t="s">
        <v>18</v>
      </c>
      <c r="Q209" s="114" t="s">
        <v>19</v>
      </c>
      <c r="R209" s="114"/>
      <c r="S209" s="114"/>
      <c r="T209" s="114"/>
      <c r="U209" s="114"/>
      <c r="V209" s="114"/>
      <c r="W209" s="115" t="s">
        <v>20</v>
      </c>
      <c r="X209" s="3"/>
    </row>
    <row r="210" spans="1:24" ht="24.95" customHeight="1" x14ac:dyDescent="0.25">
      <c r="A210" s="113"/>
      <c r="B210" s="114"/>
      <c r="C210" s="114"/>
      <c r="D210" s="114"/>
      <c r="E210" s="114"/>
      <c r="F210" s="114"/>
      <c r="G210" s="31" t="s">
        <v>21</v>
      </c>
      <c r="H210" s="31" t="s">
        <v>21</v>
      </c>
      <c r="I210" s="31" t="s">
        <v>21</v>
      </c>
      <c r="J210" s="31" t="s">
        <v>22</v>
      </c>
      <c r="K210" s="31" t="s">
        <v>22</v>
      </c>
      <c r="L210" s="31" t="s">
        <v>22</v>
      </c>
      <c r="M210" s="114"/>
      <c r="N210" s="114"/>
      <c r="O210" s="114"/>
      <c r="P210" s="114"/>
      <c r="Q210" s="31" t="s">
        <v>21</v>
      </c>
      <c r="R210" s="31" t="s">
        <v>21</v>
      </c>
      <c r="S210" s="31" t="s">
        <v>21</v>
      </c>
      <c r="T210" s="31" t="s">
        <v>22</v>
      </c>
      <c r="U210" s="31" t="s">
        <v>22</v>
      </c>
      <c r="V210" s="31" t="s">
        <v>22</v>
      </c>
      <c r="W210" s="115"/>
      <c r="X210" s="3"/>
    </row>
    <row r="211" spans="1:24" ht="18.75" customHeight="1" x14ac:dyDescent="0.25">
      <c r="A211" s="5">
        <v>1</v>
      </c>
      <c r="B211" s="21" t="s">
        <v>78</v>
      </c>
      <c r="C211" s="13">
        <v>45738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</row>
    <row r="212" spans="1:24" ht="17.25" customHeight="1" x14ac:dyDescent="0.25">
      <c r="A212" s="5">
        <v>2</v>
      </c>
      <c r="B212" s="21" t="s">
        <v>97</v>
      </c>
      <c r="C212" s="13">
        <v>45884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</row>
    <row r="213" spans="1:24" ht="17.25" customHeight="1" x14ac:dyDescent="0.25">
      <c r="A213" s="5">
        <v>3</v>
      </c>
      <c r="B213" s="21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</row>
    <row r="214" spans="1:24" ht="16.5" customHeight="1" x14ac:dyDescent="0.25">
      <c r="A214" s="5">
        <v>4</v>
      </c>
      <c r="B214" s="21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</row>
    <row r="215" spans="1:24" ht="17.25" customHeight="1" x14ac:dyDescent="0.25">
      <c r="A215" s="5">
        <v>5</v>
      </c>
      <c r="B215" s="21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</row>
    <row r="216" spans="1:24" ht="15.75" customHeight="1" thickBot="1" x14ac:dyDescent="0.3">
      <c r="A216" s="7">
        <v>6</v>
      </c>
      <c r="B216" s="37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4" ht="20.100000000000001" customHeight="1" x14ac:dyDescent="0.25"/>
    <row r="218" spans="1:24" ht="20.100000000000001" customHeight="1" thickBot="1" x14ac:dyDescent="0.3"/>
    <row r="219" spans="1:24" ht="20.100000000000001" customHeight="1" x14ac:dyDescent="0.25">
      <c r="A219" s="100" t="s">
        <v>2</v>
      </c>
      <c r="B219" s="101"/>
      <c r="C219" s="178" t="s">
        <v>89</v>
      </c>
      <c r="D219" s="179"/>
      <c r="E219" s="111" t="s">
        <v>385</v>
      </c>
      <c r="F219" s="112"/>
      <c r="G219" s="101" t="s">
        <v>4</v>
      </c>
      <c r="H219" s="101"/>
      <c r="I219" s="102" t="s">
        <v>135</v>
      </c>
      <c r="J219" s="102"/>
      <c r="K219" s="102"/>
      <c r="L219" s="102"/>
      <c r="M219" s="102"/>
      <c r="N219" s="102"/>
      <c r="O219" s="101" t="s">
        <v>6</v>
      </c>
      <c r="P219" s="101"/>
      <c r="Q219" s="103"/>
      <c r="R219" s="104"/>
      <c r="S219" s="104"/>
      <c r="T219" s="104"/>
      <c r="U219" s="104"/>
      <c r="V219" s="104"/>
      <c r="W219" s="105"/>
      <c r="X219" s="1"/>
    </row>
    <row r="220" spans="1:24" ht="20.100000000000001" customHeight="1" x14ac:dyDescent="0.25">
      <c r="A220" s="106" t="s">
        <v>7</v>
      </c>
      <c r="B220" s="107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7"/>
      <c r="R220" s="107"/>
      <c r="S220" s="107"/>
      <c r="T220" s="107"/>
      <c r="U220" s="107"/>
      <c r="V220" s="107"/>
      <c r="W220" s="110"/>
      <c r="X220" s="1"/>
    </row>
    <row r="221" spans="1:24" ht="24.95" customHeight="1" x14ac:dyDescent="0.25">
      <c r="A221" s="113" t="s">
        <v>8</v>
      </c>
      <c r="B221" s="114" t="s">
        <v>9</v>
      </c>
      <c r="C221" s="114" t="s">
        <v>10</v>
      </c>
      <c r="D221" s="114" t="s">
        <v>11</v>
      </c>
      <c r="E221" s="114" t="s">
        <v>12</v>
      </c>
      <c r="F221" s="114" t="s">
        <v>13</v>
      </c>
      <c r="G221" s="114" t="s">
        <v>14</v>
      </c>
      <c r="H221" s="114"/>
      <c r="I221" s="114"/>
      <c r="J221" s="114"/>
      <c r="K221" s="114"/>
      <c r="L221" s="114"/>
      <c r="M221" s="114" t="s">
        <v>15</v>
      </c>
      <c r="N221" s="114" t="s">
        <v>16</v>
      </c>
      <c r="O221" s="114" t="s">
        <v>17</v>
      </c>
      <c r="P221" s="114" t="s">
        <v>18</v>
      </c>
      <c r="Q221" s="114" t="s">
        <v>19</v>
      </c>
      <c r="R221" s="114"/>
      <c r="S221" s="114"/>
      <c r="T221" s="114"/>
      <c r="U221" s="114"/>
      <c r="V221" s="114"/>
      <c r="W221" s="115" t="s">
        <v>20</v>
      </c>
      <c r="X221" s="3"/>
    </row>
    <row r="222" spans="1:24" ht="24.95" customHeight="1" x14ac:dyDescent="0.25">
      <c r="A222" s="113"/>
      <c r="B222" s="114"/>
      <c r="C222" s="114"/>
      <c r="D222" s="114"/>
      <c r="E222" s="114"/>
      <c r="F222" s="114"/>
      <c r="G222" s="31" t="s">
        <v>21</v>
      </c>
      <c r="H222" s="31" t="s">
        <v>21</v>
      </c>
      <c r="I222" s="31" t="s">
        <v>21</v>
      </c>
      <c r="J222" s="31" t="s">
        <v>22</v>
      </c>
      <c r="K222" s="31" t="s">
        <v>22</v>
      </c>
      <c r="L222" s="31" t="s">
        <v>22</v>
      </c>
      <c r="M222" s="114"/>
      <c r="N222" s="114"/>
      <c r="O222" s="114"/>
      <c r="P222" s="114"/>
      <c r="Q222" s="31" t="s">
        <v>21</v>
      </c>
      <c r="R222" s="31" t="s">
        <v>21</v>
      </c>
      <c r="S222" s="31" t="s">
        <v>21</v>
      </c>
      <c r="T222" s="31" t="s">
        <v>22</v>
      </c>
      <c r="U222" s="31" t="s">
        <v>22</v>
      </c>
      <c r="V222" s="31" t="s">
        <v>22</v>
      </c>
      <c r="W222" s="115"/>
      <c r="X222" s="3"/>
    </row>
    <row r="223" spans="1:24" ht="16.5" customHeight="1" x14ac:dyDescent="0.25">
      <c r="A223" s="5">
        <v>1</v>
      </c>
      <c r="B223" s="21" t="s">
        <v>78</v>
      </c>
      <c r="C223" s="13">
        <v>45738</v>
      </c>
      <c r="D223" s="20">
        <v>45810</v>
      </c>
      <c r="E223" s="21">
        <v>2</v>
      </c>
      <c r="F223" s="21">
        <v>0</v>
      </c>
      <c r="G223" s="21">
        <v>161</v>
      </c>
      <c r="H223" s="21"/>
      <c r="I223" s="21"/>
      <c r="J223" s="21">
        <v>175</v>
      </c>
      <c r="K223" s="21"/>
      <c r="L223" s="21"/>
      <c r="M223" s="21">
        <f>AVERAGE(G223,J223)</f>
        <v>168</v>
      </c>
      <c r="N223" s="20">
        <v>45833</v>
      </c>
      <c r="O223" s="21">
        <v>2</v>
      </c>
      <c r="P223" s="21">
        <v>0</v>
      </c>
      <c r="Q223" s="21">
        <v>329</v>
      </c>
      <c r="R223" s="21"/>
      <c r="S223" s="21"/>
      <c r="T223" s="21">
        <v>372</v>
      </c>
      <c r="U223" s="21"/>
      <c r="V223" s="21"/>
      <c r="W223" s="22">
        <f>AVERAGE(Q223,T223)</f>
        <v>350.5</v>
      </c>
    </row>
    <row r="224" spans="1:24" ht="16.5" customHeight="1" x14ac:dyDescent="0.25">
      <c r="A224" s="5">
        <v>2</v>
      </c>
      <c r="B224" s="21" t="s">
        <v>79</v>
      </c>
      <c r="C224" s="13">
        <v>45851</v>
      </c>
      <c r="D224" s="20">
        <v>45943</v>
      </c>
      <c r="E224" s="21">
        <v>3</v>
      </c>
      <c r="F224" s="21">
        <v>0</v>
      </c>
      <c r="G224" s="21">
        <v>139</v>
      </c>
      <c r="H224" s="21">
        <v>132</v>
      </c>
      <c r="I224" s="21"/>
      <c r="J224" s="21">
        <v>112</v>
      </c>
      <c r="K224" s="21"/>
      <c r="L224" s="21"/>
      <c r="M224" s="41">
        <f>AVERAGE(G224:L224)</f>
        <v>127.66666666666667</v>
      </c>
      <c r="N224" s="20">
        <v>45957</v>
      </c>
      <c r="O224" s="21">
        <v>2</v>
      </c>
      <c r="P224" s="21">
        <v>1</v>
      </c>
      <c r="Q224" s="21">
        <v>310</v>
      </c>
      <c r="R224" s="21">
        <v>285</v>
      </c>
      <c r="S224" s="21"/>
      <c r="T224" s="21"/>
      <c r="U224" s="21"/>
      <c r="V224" s="21"/>
      <c r="W224" s="22">
        <f>AVERAGE(Q224:V224)</f>
        <v>297.5</v>
      </c>
    </row>
    <row r="225" spans="1:24" ht="15" customHeight="1" x14ac:dyDescent="0.25">
      <c r="A225" s="5">
        <v>3</v>
      </c>
      <c r="B225" s="21" t="s">
        <v>239</v>
      </c>
      <c r="C225" s="13">
        <v>45950</v>
      </c>
      <c r="D225" s="21" t="s">
        <v>428</v>
      </c>
      <c r="E225" s="21"/>
      <c r="F225" s="21"/>
      <c r="G225" s="21"/>
      <c r="H225" s="21"/>
      <c r="I225" s="21"/>
      <c r="J225" s="21"/>
      <c r="K225" s="21"/>
      <c r="L225" s="21"/>
      <c r="M225" s="41"/>
      <c r="N225" s="21"/>
      <c r="O225" s="21"/>
      <c r="P225" s="21"/>
      <c r="Q225" s="21"/>
      <c r="R225" s="21"/>
      <c r="S225" s="21"/>
      <c r="T225" s="21"/>
      <c r="U225" s="21"/>
      <c r="V225" s="21"/>
      <c r="W225" s="22"/>
    </row>
    <row r="226" spans="1:24" ht="17.25" customHeight="1" x14ac:dyDescent="0.25">
      <c r="A226" s="5">
        <v>4</v>
      </c>
      <c r="B226" s="21" t="s">
        <v>239</v>
      </c>
      <c r="C226" s="13">
        <v>46039</v>
      </c>
      <c r="D226" s="20">
        <v>46130</v>
      </c>
      <c r="E226" s="21">
        <v>3</v>
      </c>
      <c r="F226" s="21">
        <v>0</v>
      </c>
      <c r="G226" s="21">
        <v>117</v>
      </c>
      <c r="H226" s="21"/>
      <c r="I226" s="21"/>
      <c r="J226" s="21">
        <v>120</v>
      </c>
      <c r="K226" s="21">
        <v>11</v>
      </c>
      <c r="L226" s="21"/>
      <c r="M226" s="41">
        <f>AVERAGE(G226:L226)</f>
        <v>82.666666666666671</v>
      </c>
      <c r="N226" s="20">
        <v>46176</v>
      </c>
      <c r="O226" s="21">
        <v>0</v>
      </c>
      <c r="P226" s="21">
        <v>3</v>
      </c>
      <c r="Q226" s="21"/>
      <c r="R226" s="21"/>
      <c r="S226" s="21"/>
      <c r="T226" s="21"/>
      <c r="U226" s="21"/>
      <c r="V226" s="21"/>
      <c r="W226" s="22"/>
    </row>
    <row r="227" spans="1:24" ht="17.25" customHeight="1" x14ac:dyDescent="0.25">
      <c r="A227" s="5">
        <v>5</v>
      </c>
      <c r="B227" s="21" t="s">
        <v>97</v>
      </c>
      <c r="C227" s="13">
        <v>46181</v>
      </c>
      <c r="D227" s="21"/>
      <c r="E227" s="21"/>
      <c r="F227" s="21"/>
      <c r="G227" s="21"/>
      <c r="H227" s="21"/>
      <c r="I227" s="21"/>
      <c r="J227" s="21"/>
      <c r="K227" s="21"/>
      <c r="L227" s="21"/>
      <c r="M227" s="41"/>
      <c r="N227" s="21"/>
      <c r="O227" s="21"/>
      <c r="P227" s="21"/>
      <c r="Q227" s="21"/>
      <c r="R227" s="21"/>
      <c r="S227" s="21"/>
      <c r="T227" s="21"/>
      <c r="U227" s="21"/>
      <c r="V227" s="21"/>
      <c r="W227" s="22"/>
    </row>
    <row r="228" spans="1:24" ht="16.5" customHeight="1" thickBot="1" x14ac:dyDescent="0.3">
      <c r="A228" s="7">
        <v>6</v>
      </c>
      <c r="B228" s="37"/>
      <c r="C228" s="10"/>
      <c r="D228" s="37"/>
      <c r="E228" s="37"/>
      <c r="F228" s="37"/>
      <c r="G228" s="37"/>
      <c r="H228" s="37"/>
      <c r="I228" s="37"/>
      <c r="J228" s="37"/>
      <c r="K228" s="37"/>
      <c r="L228" s="37"/>
      <c r="M228" s="42"/>
      <c r="N228" s="37"/>
      <c r="O228" s="37"/>
      <c r="P228" s="37"/>
      <c r="Q228" s="37"/>
      <c r="R228" s="37"/>
      <c r="S228" s="37"/>
      <c r="T228" s="37"/>
      <c r="U228" s="37"/>
      <c r="V228" s="37"/>
      <c r="W228" s="39"/>
    </row>
    <row r="229" spans="1:24" ht="20.100000000000001" customHeight="1" x14ac:dyDescent="0.25"/>
    <row r="230" spans="1:24" ht="20.100000000000001" customHeight="1" thickBot="1" x14ac:dyDescent="0.3"/>
    <row r="231" spans="1:24" ht="20.100000000000001" customHeight="1" x14ac:dyDescent="0.25">
      <c r="A231" s="100" t="s">
        <v>2</v>
      </c>
      <c r="B231" s="101"/>
      <c r="C231" s="109" t="s">
        <v>90</v>
      </c>
      <c r="D231" s="109"/>
      <c r="E231" s="111" t="s">
        <v>388</v>
      </c>
      <c r="F231" s="112"/>
      <c r="G231" s="101" t="s">
        <v>4</v>
      </c>
      <c r="H231" s="101"/>
      <c r="I231" s="102" t="s">
        <v>135</v>
      </c>
      <c r="J231" s="102"/>
      <c r="K231" s="102"/>
      <c r="L231" s="102"/>
      <c r="M231" s="102"/>
      <c r="N231" s="102"/>
      <c r="O231" s="101" t="s">
        <v>6</v>
      </c>
      <c r="P231" s="101"/>
      <c r="Q231" s="103"/>
      <c r="R231" s="104"/>
      <c r="S231" s="104"/>
      <c r="T231" s="104"/>
      <c r="U231" s="104"/>
      <c r="V231" s="104"/>
      <c r="W231" s="105"/>
      <c r="X231" s="1"/>
    </row>
    <row r="232" spans="1:24" ht="20.100000000000001" customHeight="1" x14ac:dyDescent="0.25">
      <c r="A232" s="106" t="s">
        <v>7</v>
      </c>
      <c r="B232" s="107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7"/>
      <c r="R232" s="107"/>
      <c r="S232" s="107"/>
      <c r="T232" s="107"/>
      <c r="U232" s="107"/>
      <c r="V232" s="107"/>
      <c r="W232" s="110"/>
      <c r="X232" s="1"/>
    </row>
    <row r="233" spans="1:24" ht="24.95" customHeight="1" x14ac:dyDescent="0.25">
      <c r="A233" s="113" t="s">
        <v>8</v>
      </c>
      <c r="B233" s="114" t="s">
        <v>9</v>
      </c>
      <c r="C233" s="114" t="s">
        <v>10</v>
      </c>
      <c r="D233" s="114" t="s">
        <v>11</v>
      </c>
      <c r="E233" s="114" t="s">
        <v>12</v>
      </c>
      <c r="F233" s="114" t="s">
        <v>13</v>
      </c>
      <c r="G233" s="114" t="s">
        <v>14</v>
      </c>
      <c r="H233" s="114"/>
      <c r="I233" s="114"/>
      <c r="J233" s="114"/>
      <c r="K233" s="114"/>
      <c r="L233" s="114"/>
      <c r="M233" s="114" t="s">
        <v>15</v>
      </c>
      <c r="N233" s="114" t="s">
        <v>16</v>
      </c>
      <c r="O233" s="114" t="s">
        <v>17</v>
      </c>
      <c r="P233" s="114" t="s">
        <v>18</v>
      </c>
      <c r="Q233" s="114" t="s">
        <v>19</v>
      </c>
      <c r="R233" s="114"/>
      <c r="S233" s="114"/>
      <c r="T233" s="114"/>
      <c r="U233" s="114"/>
      <c r="V233" s="114"/>
      <c r="W233" s="115" t="s">
        <v>20</v>
      </c>
      <c r="X233" s="3"/>
    </row>
    <row r="234" spans="1:24" ht="24.95" customHeight="1" x14ac:dyDescent="0.25">
      <c r="A234" s="113"/>
      <c r="B234" s="114"/>
      <c r="C234" s="114"/>
      <c r="D234" s="114"/>
      <c r="E234" s="114"/>
      <c r="F234" s="114"/>
      <c r="G234" s="31" t="s">
        <v>21</v>
      </c>
      <c r="H234" s="31" t="s">
        <v>21</v>
      </c>
      <c r="I234" s="31" t="s">
        <v>21</v>
      </c>
      <c r="J234" s="31" t="s">
        <v>22</v>
      </c>
      <c r="K234" s="31" t="s">
        <v>22</v>
      </c>
      <c r="L234" s="31" t="s">
        <v>22</v>
      </c>
      <c r="M234" s="114"/>
      <c r="N234" s="114"/>
      <c r="O234" s="114"/>
      <c r="P234" s="114"/>
      <c r="Q234" s="31" t="s">
        <v>21</v>
      </c>
      <c r="R234" s="31" t="s">
        <v>21</v>
      </c>
      <c r="S234" s="31" t="s">
        <v>21</v>
      </c>
      <c r="T234" s="31" t="s">
        <v>22</v>
      </c>
      <c r="U234" s="31" t="s">
        <v>22</v>
      </c>
      <c r="V234" s="31" t="s">
        <v>22</v>
      </c>
      <c r="W234" s="115"/>
      <c r="X234" s="3"/>
    </row>
    <row r="235" spans="1:24" ht="18" customHeight="1" x14ac:dyDescent="0.25">
      <c r="A235" s="5">
        <v>1</v>
      </c>
      <c r="B235" s="21" t="s">
        <v>79</v>
      </c>
      <c r="C235" s="13">
        <v>45738</v>
      </c>
      <c r="D235" s="20">
        <v>45817</v>
      </c>
      <c r="E235" s="21">
        <v>3</v>
      </c>
      <c r="F235" s="21">
        <v>0</v>
      </c>
      <c r="G235" s="21">
        <v>115</v>
      </c>
      <c r="H235" s="21"/>
      <c r="I235" s="21"/>
      <c r="J235" s="21">
        <v>114</v>
      </c>
      <c r="K235" s="21">
        <v>129</v>
      </c>
      <c r="L235" s="21"/>
      <c r="M235" s="41">
        <f>AVERAGE(G235:L235)</f>
        <v>119.33333333333333</v>
      </c>
      <c r="N235" s="20">
        <v>45833</v>
      </c>
      <c r="O235" s="21">
        <v>3</v>
      </c>
      <c r="P235" s="21"/>
      <c r="Q235" s="21">
        <v>209</v>
      </c>
      <c r="R235" s="21"/>
      <c r="S235" s="21"/>
      <c r="T235" s="21">
        <v>210</v>
      </c>
      <c r="U235" s="21">
        <v>219</v>
      </c>
      <c r="V235" s="21"/>
      <c r="W235" s="40">
        <f>AVERAGE(Q235:V235)</f>
        <v>212.66666666666666</v>
      </c>
    </row>
    <row r="236" spans="1:24" ht="18" customHeight="1" x14ac:dyDescent="0.25">
      <c r="A236" s="5">
        <v>2</v>
      </c>
      <c r="B236" s="21" t="s">
        <v>357</v>
      </c>
      <c r="C236" s="13" t="s">
        <v>368</v>
      </c>
      <c r="D236" s="20">
        <v>45886</v>
      </c>
      <c r="E236" s="21">
        <v>2</v>
      </c>
      <c r="F236" s="21">
        <v>0</v>
      </c>
      <c r="G236" s="21">
        <v>180</v>
      </c>
      <c r="H236" s="21"/>
      <c r="I236" s="21"/>
      <c r="J236" s="21">
        <v>161</v>
      </c>
      <c r="K236" s="21"/>
      <c r="L236" s="21"/>
      <c r="M236" s="41">
        <f>AVERAGE(G236:L236)</f>
        <v>170.5</v>
      </c>
      <c r="N236" s="20">
        <v>45901</v>
      </c>
      <c r="O236" s="21">
        <v>2</v>
      </c>
      <c r="P236" s="21"/>
      <c r="Q236" s="21">
        <v>303</v>
      </c>
      <c r="R236" s="21"/>
      <c r="S236" s="21"/>
      <c r="T236" s="21">
        <v>310</v>
      </c>
      <c r="U236" s="21"/>
      <c r="V236" s="21"/>
      <c r="W236" s="40">
        <f>AVERAGE(Q236:V236)</f>
        <v>306.5</v>
      </c>
    </row>
    <row r="237" spans="1:24" ht="18" customHeight="1" x14ac:dyDescent="0.25">
      <c r="A237" s="5">
        <v>3</v>
      </c>
      <c r="B237" s="21" t="s">
        <v>235</v>
      </c>
      <c r="C237" s="13">
        <v>45884</v>
      </c>
      <c r="D237" s="20">
        <v>45952</v>
      </c>
      <c r="E237" s="21">
        <v>4</v>
      </c>
      <c r="F237" s="21">
        <v>0</v>
      </c>
      <c r="G237" s="21">
        <v>114</v>
      </c>
      <c r="H237" s="21">
        <v>110</v>
      </c>
      <c r="I237" s="21"/>
      <c r="J237" s="21">
        <v>115</v>
      </c>
      <c r="K237" s="21"/>
      <c r="L237" s="21"/>
      <c r="M237" s="41">
        <f>AVERAGE(G237:L237)</f>
        <v>113</v>
      </c>
      <c r="N237" s="20">
        <v>45973</v>
      </c>
      <c r="O237" s="21">
        <v>3</v>
      </c>
      <c r="P237" s="21">
        <v>1</v>
      </c>
      <c r="Q237" s="21">
        <v>225</v>
      </c>
      <c r="R237" s="21">
        <v>243</v>
      </c>
      <c r="S237" s="21"/>
      <c r="T237" s="21">
        <v>266</v>
      </c>
      <c r="U237" s="21"/>
      <c r="V237" s="21"/>
      <c r="W237" s="40">
        <f>AVERAGE(Q237:V237)</f>
        <v>244.66666666666666</v>
      </c>
    </row>
    <row r="238" spans="1:24" ht="18" customHeight="1" x14ac:dyDescent="0.25">
      <c r="A238" s="5">
        <v>4</v>
      </c>
      <c r="B238" s="21" t="s">
        <v>78</v>
      </c>
      <c r="C238" s="13">
        <v>46039</v>
      </c>
      <c r="D238" s="21" t="s">
        <v>428</v>
      </c>
      <c r="E238" s="21"/>
      <c r="F238" s="21"/>
      <c r="G238" s="21"/>
      <c r="H238" s="21"/>
      <c r="I238" s="21"/>
      <c r="J238" s="21"/>
      <c r="K238" s="21"/>
      <c r="L238" s="21"/>
      <c r="M238" s="41"/>
      <c r="N238" s="21"/>
      <c r="O238" s="21"/>
      <c r="P238" s="21"/>
      <c r="Q238" s="21"/>
      <c r="R238" s="21"/>
      <c r="S238" s="21"/>
      <c r="T238" s="21"/>
      <c r="U238" s="21"/>
      <c r="V238" s="21"/>
      <c r="W238" s="40"/>
    </row>
    <row r="239" spans="1:24" ht="18" customHeight="1" x14ac:dyDescent="0.25">
      <c r="A239" s="5">
        <v>5</v>
      </c>
      <c r="B239" s="21" t="s">
        <v>78</v>
      </c>
      <c r="C239" s="13">
        <v>46148</v>
      </c>
      <c r="D239" s="21"/>
      <c r="E239" s="21"/>
      <c r="F239" s="21"/>
      <c r="G239" s="21"/>
      <c r="H239" s="21"/>
      <c r="I239" s="21"/>
      <c r="J239" s="21"/>
      <c r="K239" s="21"/>
      <c r="L239" s="21"/>
      <c r="M239" s="41"/>
      <c r="N239" s="21"/>
      <c r="O239" s="21"/>
      <c r="P239" s="21"/>
      <c r="Q239" s="21"/>
      <c r="R239" s="21"/>
      <c r="S239" s="21"/>
      <c r="T239" s="21"/>
      <c r="U239" s="21"/>
      <c r="V239" s="21"/>
      <c r="W239" s="40"/>
    </row>
    <row r="240" spans="1:24" ht="15.75" customHeight="1" thickBot="1" x14ac:dyDescent="0.3">
      <c r="A240" s="7">
        <v>6</v>
      </c>
      <c r="B240" s="37"/>
      <c r="C240" s="10"/>
      <c r="D240" s="37"/>
      <c r="E240" s="37"/>
      <c r="F240" s="37"/>
      <c r="G240" s="37"/>
      <c r="H240" s="37"/>
      <c r="I240" s="37"/>
      <c r="J240" s="37"/>
      <c r="K240" s="37"/>
      <c r="L240" s="37"/>
      <c r="M240" s="42"/>
      <c r="N240" s="37"/>
      <c r="O240" s="37"/>
      <c r="P240" s="37"/>
      <c r="Q240" s="37"/>
      <c r="R240" s="37"/>
      <c r="S240" s="37"/>
      <c r="T240" s="37"/>
      <c r="U240" s="37"/>
      <c r="V240" s="37"/>
      <c r="W240" s="43"/>
    </row>
  </sheetData>
  <mergeCells count="482">
    <mergeCell ref="W233:W234"/>
    <mergeCell ref="G233:L233"/>
    <mergeCell ref="M233:M234"/>
    <mergeCell ref="N233:N234"/>
    <mergeCell ref="O233:O234"/>
    <mergeCell ref="P233:P234"/>
    <mergeCell ref="Q233:V233"/>
    <mergeCell ref="A232:B232"/>
    <mergeCell ref="C232:N232"/>
    <mergeCell ref="O232:P232"/>
    <mergeCell ref="Q232:W232"/>
    <mergeCell ref="A233:A234"/>
    <mergeCell ref="B233:B234"/>
    <mergeCell ref="C233:C234"/>
    <mergeCell ref="D233:D234"/>
    <mergeCell ref="E233:E234"/>
    <mergeCell ref="F233:F234"/>
    <mergeCell ref="A231:B231"/>
    <mergeCell ref="G231:H231"/>
    <mergeCell ref="I231:N231"/>
    <mergeCell ref="O231:P231"/>
    <mergeCell ref="Q231:W231"/>
    <mergeCell ref="G221:L221"/>
    <mergeCell ref="M221:M222"/>
    <mergeCell ref="N221:N222"/>
    <mergeCell ref="O221:O222"/>
    <mergeCell ref="P221:P222"/>
    <mergeCell ref="Q221:V221"/>
    <mergeCell ref="C231:D231"/>
    <mergeCell ref="E231:F231"/>
    <mergeCell ref="A220:B220"/>
    <mergeCell ref="C220:N220"/>
    <mergeCell ref="O220:P220"/>
    <mergeCell ref="Q220:W220"/>
    <mergeCell ref="A221:A222"/>
    <mergeCell ref="B221:B222"/>
    <mergeCell ref="C221:C222"/>
    <mergeCell ref="D221:D222"/>
    <mergeCell ref="E221:E222"/>
    <mergeCell ref="F221:F222"/>
    <mergeCell ref="W221:W222"/>
    <mergeCell ref="A219:B219"/>
    <mergeCell ref="G219:H219"/>
    <mergeCell ref="I219:N219"/>
    <mergeCell ref="O219:P219"/>
    <mergeCell ref="Q219:W219"/>
    <mergeCell ref="G209:L209"/>
    <mergeCell ref="M209:M210"/>
    <mergeCell ref="N209:N210"/>
    <mergeCell ref="O209:O210"/>
    <mergeCell ref="P209:P210"/>
    <mergeCell ref="Q209:V209"/>
    <mergeCell ref="C219:D219"/>
    <mergeCell ref="E219:F219"/>
    <mergeCell ref="A208:B208"/>
    <mergeCell ref="C208:N208"/>
    <mergeCell ref="O208:P208"/>
    <mergeCell ref="Q208:W208"/>
    <mergeCell ref="A209:A210"/>
    <mergeCell ref="B209:B210"/>
    <mergeCell ref="C209:C210"/>
    <mergeCell ref="D209:D210"/>
    <mergeCell ref="E209:E210"/>
    <mergeCell ref="F209:F210"/>
    <mergeCell ref="W209:W210"/>
    <mergeCell ref="A207:B207"/>
    <mergeCell ref="G207:H207"/>
    <mergeCell ref="I207:N207"/>
    <mergeCell ref="O207:P207"/>
    <mergeCell ref="Q207:W207"/>
    <mergeCell ref="G197:L197"/>
    <mergeCell ref="M197:M198"/>
    <mergeCell ref="N197:N198"/>
    <mergeCell ref="O197:O198"/>
    <mergeCell ref="P197:P198"/>
    <mergeCell ref="Q197:V197"/>
    <mergeCell ref="C207:D207"/>
    <mergeCell ref="E207:F207"/>
    <mergeCell ref="A196:B196"/>
    <mergeCell ref="C196:N196"/>
    <mergeCell ref="O196:P196"/>
    <mergeCell ref="Q196:W196"/>
    <mergeCell ref="A197:A198"/>
    <mergeCell ref="B197:B198"/>
    <mergeCell ref="C197:C198"/>
    <mergeCell ref="D197:D198"/>
    <mergeCell ref="E197:E198"/>
    <mergeCell ref="F197:F198"/>
    <mergeCell ref="W197:W198"/>
    <mergeCell ref="A195:B195"/>
    <mergeCell ref="G195:H195"/>
    <mergeCell ref="I195:N195"/>
    <mergeCell ref="O195:P195"/>
    <mergeCell ref="Q195:W195"/>
    <mergeCell ref="G185:L185"/>
    <mergeCell ref="M185:M186"/>
    <mergeCell ref="N185:N186"/>
    <mergeCell ref="O185:O186"/>
    <mergeCell ref="P185:P186"/>
    <mergeCell ref="Q185:V185"/>
    <mergeCell ref="C195:D195"/>
    <mergeCell ref="E195:F195"/>
    <mergeCell ref="A184:B184"/>
    <mergeCell ref="C184:N184"/>
    <mergeCell ref="O184:P184"/>
    <mergeCell ref="Q184:W184"/>
    <mergeCell ref="A185:A186"/>
    <mergeCell ref="B185:B186"/>
    <mergeCell ref="C185:C186"/>
    <mergeCell ref="D185:D186"/>
    <mergeCell ref="E185:E186"/>
    <mergeCell ref="F185:F186"/>
    <mergeCell ref="W185:W186"/>
    <mergeCell ref="A183:B183"/>
    <mergeCell ref="G183:H183"/>
    <mergeCell ref="I183:N183"/>
    <mergeCell ref="O183:P183"/>
    <mergeCell ref="Q183:W183"/>
    <mergeCell ref="G173:L173"/>
    <mergeCell ref="M173:M174"/>
    <mergeCell ref="N173:N174"/>
    <mergeCell ref="O173:O174"/>
    <mergeCell ref="P173:P174"/>
    <mergeCell ref="Q173:V173"/>
    <mergeCell ref="C183:D183"/>
    <mergeCell ref="E183:F183"/>
    <mergeCell ref="A172:B172"/>
    <mergeCell ref="C172:N172"/>
    <mergeCell ref="O172:P172"/>
    <mergeCell ref="Q172:W172"/>
    <mergeCell ref="A173:A174"/>
    <mergeCell ref="B173:B174"/>
    <mergeCell ref="C173:C174"/>
    <mergeCell ref="D173:D174"/>
    <mergeCell ref="E173:E174"/>
    <mergeCell ref="F173:F174"/>
    <mergeCell ref="W173:W174"/>
    <mergeCell ref="A171:B171"/>
    <mergeCell ref="G171:H171"/>
    <mergeCell ref="I171:N171"/>
    <mergeCell ref="O171:P171"/>
    <mergeCell ref="Q171:W171"/>
    <mergeCell ref="G161:L161"/>
    <mergeCell ref="M161:M162"/>
    <mergeCell ref="N161:N162"/>
    <mergeCell ref="O161:O162"/>
    <mergeCell ref="P161:P162"/>
    <mergeCell ref="Q161:V161"/>
    <mergeCell ref="C171:D171"/>
    <mergeCell ref="E171:F171"/>
    <mergeCell ref="A160:B160"/>
    <mergeCell ref="C160:N160"/>
    <mergeCell ref="O160:P160"/>
    <mergeCell ref="Q160:W160"/>
    <mergeCell ref="A161:A162"/>
    <mergeCell ref="B161:B162"/>
    <mergeCell ref="C161:C162"/>
    <mergeCell ref="D161:D162"/>
    <mergeCell ref="E161:E162"/>
    <mergeCell ref="F161:F162"/>
    <mergeCell ref="W161:W162"/>
    <mergeCell ref="A159:B159"/>
    <mergeCell ref="G159:H159"/>
    <mergeCell ref="I159:N159"/>
    <mergeCell ref="O159:P159"/>
    <mergeCell ref="Q159:W159"/>
    <mergeCell ref="G149:L149"/>
    <mergeCell ref="M149:M150"/>
    <mergeCell ref="N149:N150"/>
    <mergeCell ref="O149:O150"/>
    <mergeCell ref="P149:P150"/>
    <mergeCell ref="Q149:V149"/>
    <mergeCell ref="C159:D159"/>
    <mergeCell ref="E159:F159"/>
    <mergeCell ref="A148:B148"/>
    <mergeCell ref="C148:N148"/>
    <mergeCell ref="O148:P148"/>
    <mergeCell ref="Q148:W148"/>
    <mergeCell ref="A149:A150"/>
    <mergeCell ref="B149:B150"/>
    <mergeCell ref="C149:C150"/>
    <mergeCell ref="D149:D150"/>
    <mergeCell ref="E149:E150"/>
    <mergeCell ref="F149:F150"/>
    <mergeCell ref="W149:W150"/>
    <mergeCell ref="A147:B147"/>
    <mergeCell ref="G147:H147"/>
    <mergeCell ref="I147:N147"/>
    <mergeCell ref="O147:P147"/>
    <mergeCell ref="Q147:W147"/>
    <mergeCell ref="G137:L137"/>
    <mergeCell ref="M137:M138"/>
    <mergeCell ref="N137:N138"/>
    <mergeCell ref="O137:O138"/>
    <mergeCell ref="P137:P138"/>
    <mergeCell ref="Q137:V137"/>
    <mergeCell ref="C147:D147"/>
    <mergeCell ref="E147:F147"/>
    <mergeCell ref="A136:B136"/>
    <mergeCell ref="C136:N136"/>
    <mergeCell ref="O136:P136"/>
    <mergeCell ref="Q136:W136"/>
    <mergeCell ref="A137:A138"/>
    <mergeCell ref="B137:B138"/>
    <mergeCell ref="C137:C138"/>
    <mergeCell ref="D137:D138"/>
    <mergeCell ref="E137:E138"/>
    <mergeCell ref="F137:F138"/>
    <mergeCell ref="W137:W138"/>
    <mergeCell ref="A135:B135"/>
    <mergeCell ref="G135:H135"/>
    <mergeCell ref="I135:N135"/>
    <mergeCell ref="O135:P135"/>
    <mergeCell ref="Q135:W135"/>
    <mergeCell ref="G125:L125"/>
    <mergeCell ref="M125:M126"/>
    <mergeCell ref="N125:N126"/>
    <mergeCell ref="O125:O126"/>
    <mergeCell ref="P125:P126"/>
    <mergeCell ref="Q125:V125"/>
    <mergeCell ref="C135:D135"/>
    <mergeCell ref="E135:F135"/>
    <mergeCell ref="A124:B124"/>
    <mergeCell ref="C124:N124"/>
    <mergeCell ref="O124:P124"/>
    <mergeCell ref="Q124:W124"/>
    <mergeCell ref="A125:A126"/>
    <mergeCell ref="B125:B126"/>
    <mergeCell ref="C125:C126"/>
    <mergeCell ref="D125:D126"/>
    <mergeCell ref="E125:E126"/>
    <mergeCell ref="F125:F126"/>
    <mergeCell ref="W125:W126"/>
    <mergeCell ref="A123:B123"/>
    <mergeCell ref="G123:H123"/>
    <mergeCell ref="I123:N123"/>
    <mergeCell ref="O123:P123"/>
    <mergeCell ref="Q123:W123"/>
    <mergeCell ref="G113:L113"/>
    <mergeCell ref="M113:M114"/>
    <mergeCell ref="N113:N114"/>
    <mergeCell ref="O113:O114"/>
    <mergeCell ref="P113:P114"/>
    <mergeCell ref="Q113:V113"/>
    <mergeCell ref="C123:D123"/>
    <mergeCell ref="E123:F123"/>
    <mergeCell ref="A112:B112"/>
    <mergeCell ref="C112:N112"/>
    <mergeCell ref="O112:P112"/>
    <mergeCell ref="Q112:W112"/>
    <mergeCell ref="A113:A114"/>
    <mergeCell ref="B113:B114"/>
    <mergeCell ref="C113:C114"/>
    <mergeCell ref="D113:D114"/>
    <mergeCell ref="E113:E114"/>
    <mergeCell ref="F113:F114"/>
    <mergeCell ref="W113:W114"/>
    <mergeCell ref="A111:B111"/>
    <mergeCell ref="G111:H111"/>
    <mergeCell ref="I111:N111"/>
    <mergeCell ref="O111:P111"/>
    <mergeCell ref="Q111:W111"/>
    <mergeCell ref="G101:L101"/>
    <mergeCell ref="M101:M102"/>
    <mergeCell ref="N101:N102"/>
    <mergeCell ref="O101:O102"/>
    <mergeCell ref="P101:P102"/>
    <mergeCell ref="Q101:V101"/>
    <mergeCell ref="C111:D111"/>
    <mergeCell ref="E111:F111"/>
    <mergeCell ref="A100:B100"/>
    <mergeCell ref="C100:N100"/>
    <mergeCell ref="O100:P100"/>
    <mergeCell ref="Q100:W100"/>
    <mergeCell ref="A101:A102"/>
    <mergeCell ref="B101:B102"/>
    <mergeCell ref="C101:C102"/>
    <mergeCell ref="D101:D102"/>
    <mergeCell ref="E101:E102"/>
    <mergeCell ref="F101:F102"/>
    <mergeCell ref="W101:W102"/>
    <mergeCell ref="A99:B99"/>
    <mergeCell ref="G99:H99"/>
    <mergeCell ref="I99:N99"/>
    <mergeCell ref="O99:P99"/>
    <mergeCell ref="Q99:W99"/>
    <mergeCell ref="G89:L89"/>
    <mergeCell ref="M89:M90"/>
    <mergeCell ref="N89:N90"/>
    <mergeCell ref="O89:O90"/>
    <mergeCell ref="P89:P90"/>
    <mergeCell ref="Q89:V89"/>
    <mergeCell ref="C99:D99"/>
    <mergeCell ref="E99:F99"/>
    <mergeCell ref="A88:B88"/>
    <mergeCell ref="C88:N88"/>
    <mergeCell ref="O88:P88"/>
    <mergeCell ref="Q88:W88"/>
    <mergeCell ref="A89:A90"/>
    <mergeCell ref="B89:B90"/>
    <mergeCell ref="C89:C90"/>
    <mergeCell ref="D89:D90"/>
    <mergeCell ref="E89:E90"/>
    <mergeCell ref="F89:F90"/>
    <mergeCell ref="W89:W90"/>
    <mergeCell ref="A87:B87"/>
    <mergeCell ref="G87:H87"/>
    <mergeCell ref="I87:N87"/>
    <mergeCell ref="O87:P87"/>
    <mergeCell ref="Q87:W87"/>
    <mergeCell ref="G77:L77"/>
    <mergeCell ref="M77:M78"/>
    <mergeCell ref="N77:N78"/>
    <mergeCell ref="O77:O78"/>
    <mergeCell ref="P77:P78"/>
    <mergeCell ref="Q77:V77"/>
    <mergeCell ref="C87:D87"/>
    <mergeCell ref="E87:F87"/>
    <mergeCell ref="A76:B76"/>
    <mergeCell ref="C76:N76"/>
    <mergeCell ref="O76:P76"/>
    <mergeCell ref="Q76:W76"/>
    <mergeCell ref="A77:A78"/>
    <mergeCell ref="B77:B78"/>
    <mergeCell ref="C77:C78"/>
    <mergeCell ref="D77:D78"/>
    <mergeCell ref="E77:E78"/>
    <mergeCell ref="F77:F78"/>
    <mergeCell ref="W77:W78"/>
    <mergeCell ref="A75:B75"/>
    <mergeCell ref="G75:H75"/>
    <mergeCell ref="I75:N75"/>
    <mergeCell ref="O75:P75"/>
    <mergeCell ref="Q75:W75"/>
    <mergeCell ref="G65:L65"/>
    <mergeCell ref="M65:M66"/>
    <mergeCell ref="N65:N66"/>
    <mergeCell ref="O65:O66"/>
    <mergeCell ref="P65:P66"/>
    <mergeCell ref="Q65:V65"/>
    <mergeCell ref="C75:D75"/>
    <mergeCell ref="E75:F75"/>
    <mergeCell ref="A64:B64"/>
    <mergeCell ref="C64:N64"/>
    <mergeCell ref="O64:P64"/>
    <mergeCell ref="Q64:W64"/>
    <mergeCell ref="A65:A66"/>
    <mergeCell ref="B65:B66"/>
    <mergeCell ref="C65:C66"/>
    <mergeCell ref="D65:D66"/>
    <mergeCell ref="E65:E66"/>
    <mergeCell ref="F65:F66"/>
    <mergeCell ref="W65:W66"/>
    <mergeCell ref="A63:B63"/>
    <mergeCell ref="G63:H63"/>
    <mergeCell ref="I63:N63"/>
    <mergeCell ref="O63:P63"/>
    <mergeCell ref="Q63:W63"/>
    <mergeCell ref="G53:L53"/>
    <mergeCell ref="M53:M54"/>
    <mergeCell ref="N53:N54"/>
    <mergeCell ref="O53:O54"/>
    <mergeCell ref="P53:P54"/>
    <mergeCell ref="Q53:V53"/>
    <mergeCell ref="C63:D63"/>
    <mergeCell ref="E63:F63"/>
    <mergeCell ref="A52:B52"/>
    <mergeCell ref="C52:N52"/>
    <mergeCell ref="O52:P52"/>
    <mergeCell ref="Q52:W52"/>
    <mergeCell ref="A53:A54"/>
    <mergeCell ref="B53:B54"/>
    <mergeCell ref="C53:C54"/>
    <mergeCell ref="D53:D54"/>
    <mergeCell ref="E53:E54"/>
    <mergeCell ref="F53:F54"/>
    <mergeCell ref="W53:W54"/>
    <mergeCell ref="A51:B51"/>
    <mergeCell ref="G51:H51"/>
    <mergeCell ref="I51:N51"/>
    <mergeCell ref="O51:P51"/>
    <mergeCell ref="Q51:W51"/>
    <mergeCell ref="G41:L41"/>
    <mergeCell ref="M41:M42"/>
    <mergeCell ref="N41:N42"/>
    <mergeCell ref="O41:O42"/>
    <mergeCell ref="P41:P42"/>
    <mergeCell ref="Q41:V41"/>
    <mergeCell ref="C51:D51"/>
    <mergeCell ref="E51:F51"/>
    <mergeCell ref="A40:B40"/>
    <mergeCell ref="C40:N40"/>
    <mergeCell ref="O40:P40"/>
    <mergeCell ref="Q40:W40"/>
    <mergeCell ref="A41:A42"/>
    <mergeCell ref="B41:B42"/>
    <mergeCell ref="C41:C42"/>
    <mergeCell ref="D41:D42"/>
    <mergeCell ref="E41:E42"/>
    <mergeCell ref="F41:F42"/>
    <mergeCell ref="W41:W42"/>
    <mergeCell ref="A39:B39"/>
    <mergeCell ref="G39:H39"/>
    <mergeCell ref="I39:N39"/>
    <mergeCell ref="O39:P39"/>
    <mergeCell ref="Q39:W39"/>
    <mergeCell ref="G29:L29"/>
    <mergeCell ref="M29:M30"/>
    <mergeCell ref="N29:N30"/>
    <mergeCell ref="O29:O30"/>
    <mergeCell ref="P29:P30"/>
    <mergeCell ref="Q29:V29"/>
    <mergeCell ref="C39:D39"/>
    <mergeCell ref="E39:F39"/>
    <mergeCell ref="A28:B28"/>
    <mergeCell ref="C28:N28"/>
    <mergeCell ref="O28:P28"/>
    <mergeCell ref="Q28:W28"/>
    <mergeCell ref="A29:A30"/>
    <mergeCell ref="B29:B30"/>
    <mergeCell ref="C29:C30"/>
    <mergeCell ref="D29:D30"/>
    <mergeCell ref="E29:E30"/>
    <mergeCell ref="F29:F30"/>
    <mergeCell ref="W29:W30"/>
    <mergeCell ref="A27:B27"/>
    <mergeCell ref="G27:H27"/>
    <mergeCell ref="I27:N27"/>
    <mergeCell ref="O27:P27"/>
    <mergeCell ref="Q27:W27"/>
    <mergeCell ref="G17:L17"/>
    <mergeCell ref="M17:M18"/>
    <mergeCell ref="N17:N18"/>
    <mergeCell ref="O17:O18"/>
    <mergeCell ref="P17:P18"/>
    <mergeCell ref="Q17:V17"/>
    <mergeCell ref="C27:D27"/>
    <mergeCell ref="E27:F27"/>
    <mergeCell ref="A16:B16"/>
    <mergeCell ref="C16:N16"/>
    <mergeCell ref="O16:P16"/>
    <mergeCell ref="Q16:W16"/>
    <mergeCell ref="A17:A18"/>
    <mergeCell ref="B17:B18"/>
    <mergeCell ref="C17:C18"/>
    <mergeCell ref="D17:D18"/>
    <mergeCell ref="E17:E18"/>
    <mergeCell ref="F17:F18"/>
    <mergeCell ref="W17:W18"/>
    <mergeCell ref="A5:A6"/>
    <mergeCell ref="B5:B6"/>
    <mergeCell ref="C5:C6"/>
    <mergeCell ref="D5:D6"/>
    <mergeCell ref="E5:E6"/>
    <mergeCell ref="F5:F6"/>
    <mergeCell ref="W5:W6"/>
    <mergeCell ref="A15:B15"/>
    <mergeCell ref="G15:H15"/>
    <mergeCell ref="I15:N15"/>
    <mergeCell ref="O15:P15"/>
    <mergeCell ref="Q15:W15"/>
    <mergeCell ref="G5:L5"/>
    <mergeCell ref="M5:M6"/>
    <mergeCell ref="N5:N6"/>
    <mergeCell ref="O5:O6"/>
    <mergeCell ref="P5:P6"/>
    <mergeCell ref="Q5:V5"/>
    <mergeCell ref="C15:D15"/>
    <mergeCell ref="E15:F15"/>
    <mergeCell ref="A1:W1"/>
    <mergeCell ref="A2:W2"/>
    <mergeCell ref="A3:B3"/>
    <mergeCell ref="G3:H3"/>
    <mergeCell ref="I3:N3"/>
    <mergeCell ref="O3:P3"/>
    <mergeCell ref="Q3:W3"/>
    <mergeCell ref="A4:B4"/>
    <mergeCell ref="C4:N4"/>
    <mergeCell ref="O4:P4"/>
    <mergeCell ref="Q4:W4"/>
    <mergeCell ref="C3:D3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61AF-86D9-45BC-B814-0EF55991E300}">
  <dimension ref="A1:X240"/>
  <sheetViews>
    <sheetView topLeftCell="A223" workbookViewId="0">
      <selection activeCell="C231" sqref="C231:D231"/>
    </sheetView>
  </sheetViews>
  <sheetFormatPr baseColWidth="10" defaultColWidth="11.42578125" defaultRowHeight="15" x14ac:dyDescent="0.25"/>
  <cols>
    <col min="1" max="1" width="7.5703125" customWidth="1"/>
    <col min="2" max="2" width="12.28515625" customWidth="1"/>
    <col min="3" max="4" width="12.5703125" bestFit="1" customWidth="1"/>
    <col min="7" max="7" width="5.42578125" customWidth="1"/>
    <col min="8" max="9" width="4.85546875" customWidth="1"/>
    <col min="10" max="10" width="5.140625" customWidth="1"/>
    <col min="11" max="12" width="5.28515625" customWidth="1"/>
    <col min="13" max="13" width="11.28515625" customWidth="1"/>
    <col min="14" max="14" width="14" customWidth="1"/>
    <col min="15" max="15" width="9.5703125" customWidth="1"/>
    <col min="16" max="16" width="10.7109375" customWidth="1"/>
    <col min="17" max="17" width="5.28515625" customWidth="1"/>
    <col min="18" max="18" width="5.140625" customWidth="1"/>
    <col min="19" max="19" width="4.85546875" customWidth="1"/>
    <col min="20" max="20" width="5.42578125" customWidth="1"/>
    <col min="21" max="21" width="5" customWidth="1"/>
    <col min="22" max="22" width="5.140625" customWidth="1"/>
    <col min="23" max="23" width="12.140625" bestFit="1" customWidth="1"/>
  </cols>
  <sheetData>
    <row r="1" spans="1:24" s="4" customFormat="1" ht="20.100000000000001" customHeight="1" x14ac:dyDescent="0.3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s="2" customFormat="1" ht="30" customHeight="1" thickBot="1" x14ac:dyDescent="0.3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4" ht="20.100000000000001" customHeight="1" x14ac:dyDescent="0.25">
      <c r="A3" s="100" t="s">
        <v>2</v>
      </c>
      <c r="B3" s="101"/>
      <c r="C3" s="178" t="s">
        <v>91</v>
      </c>
      <c r="D3" s="179"/>
      <c r="E3" s="111" t="s">
        <v>385</v>
      </c>
      <c r="F3" s="112"/>
      <c r="G3" s="101" t="s">
        <v>4</v>
      </c>
      <c r="H3" s="101"/>
      <c r="I3" s="102" t="s">
        <v>135</v>
      </c>
      <c r="J3" s="102"/>
      <c r="K3" s="102"/>
      <c r="L3" s="102"/>
      <c r="M3" s="102"/>
      <c r="N3" s="102"/>
      <c r="O3" s="101" t="s">
        <v>6</v>
      </c>
      <c r="P3" s="101"/>
      <c r="Q3" s="103"/>
      <c r="R3" s="104"/>
      <c r="S3" s="104"/>
      <c r="T3" s="104"/>
      <c r="U3" s="104"/>
      <c r="V3" s="104"/>
      <c r="W3" s="105"/>
      <c r="X3" s="1"/>
    </row>
    <row r="4" spans="1:24" ht="20.100000000000001" customHeight="1" x14ac:dyDescent="0.25">
      <c r="A4" s="106" t="s">
        <v>7</v>
      </c>
      <c r="B4" s="107"/>
      <c r="C4" s="116" t="s">
        <v>44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09"/>
      <c r="P4" s="109"/>
      <c r="Q4" s="107"/>
      <c r="R4" s="107"/>
      <c r="S4" s="107"/>
      <c r="T4" s="107"/>
      <c r="U4" s="107"/>
      <c r="V4" s="107"/>
      <c r="W4" s="110"/>
      <c r="X4" s="1"/>
    </row>
    <row r="5" spans="1:24" ht="24.95" customHeight="1" x14ac:dyDescent="0.25">
      <c r="A5" s="113" t="s">
        <v>8</v>
      </c>
      <c r="B5" s="114" t="s">
        <v>9</v>
      </c>
      <c r="C5" s="114" t="s">
        <v>10</v>
      </c>
      <c r="D5" s="114" t="s">
        <v>11</v>
      </c>
      <c r="E5" s="114" t="s">
        <v>12</v>
      </c>
      <c r="F5" s="114" t="s">
        <v>13</v>
      </c>
      <c r="G5" s="114" t="s">
        <v>14</v>
      </c>
      <c r="H5" s="114"/>
      <c r="I5" s="114"/>
      <c r="J5" s="114"/>
      <c r="K5" s="114"/>
      <c r="L5" s="114"/>
      <c r="M5" s="114" t="s">
        <v>15</v>
      </c>
      <c r="N5" s="114" t="s">
        <v>16</v>
      </c>
      <c r="O5" s="114" t="s">
        <v>17</v>
      </c>
      <c r="P5" s="114" t="s">
        <v>18</v>
      </c>
      <c r="Q5" s="114" t="s">
        <v>19</v>
      </c>
      <c r="R5" s="114"/>
      <c r="S5" s="114"/>
      <c r="T5" s="114"/>
      <c r="U5" s="114"/>
      <c r="V5" s="114"/>
      <c r="W5" s="115" t="s">
        <v>20</v>
      </c>
      <c r="X5" s="3"/>
    </row>
    <row r="6" spans="1:24" ht="24.95" customHeight="1" x14ac:dyDescent="0.25">
      <c r="A6" s="113"/>
      <c r="B6" s="114"/>
      <c r="C6" s="114"/>
      <c r="D6" s="114"/>
      <c r="E6" s="114"/>
      <c r="F6" s="114"/>
      <c r="G6" s="31" t="s">
        <v>21</v>
      </c>
      <c r="H6" s="31" t="s">
        <v>21</v>
      </c>
      <c r="I6" s="31" t="s">
        <v>21</v>
      </c>
      <c r="J6" s="31" t="s">
        <v>22</v>
      </c>
      <c r="K6" s="31" t="s">
        <v>22</v>
      </c>
      <c r="L6" s="31" t="s">
        <v>22</v>
      </c>
      <c r="M6" s="114"/>
      <c r="N6" s="114"/>
      <c r="O6" s="114"/>
      <c r="P6" s="114"/>
      <c r="Q6" s="31" t="s">
        <v>21</v>
      </c>
      <c r="R6" s="31" t="s">
        <v>21</v>
      </c>
      <c r="S6" s="31" t="s">
        <v>21</v>
      </c>
      <c r="T6" s="31" t="s">
        <v>22</v>
      </c>
      <c r="U6" s="31" t="s">
        <v>22</v>
      </c>
      <c r="V6" s="31" t="s">
        <v>22</v>
      </c>
      <c r="W6" s="115"/>
      <c r="X6" s="3"/>
    </row>
    <row r="7" spans="1:24" ht="15.75" customHeight="1" x14ac:dyDescent="0.25">
      <c r="A7" s="5">
        <v>1</v>
      </c>
      <c r="B7" s="21" t="s">
        <v>78</v>
      </c>
      <c r="C7" s="13">
        <v>45738</v>
      </c>
      <c r="D7" s="20">
        <v>45810</v>
      </c>
      <c r="E7" s="21">
        <v>3</v>
      </c>
      <c r="F7" s="21">
        <v>0</v>
      </c>
      <c r="G7" s="21">
        <v>146</v>
      </c>
      <c r="H7" s="21"/>
      <c r="I7" s="21"/>
      <c r="J7" s="21">
        <v>152</v>
      </c>
      <c r="K7" s="21">
        <v>194</v>
      </c>
      <c r="L7" s="21"/>
      <c r="M7" s="21">
        <f>AVERAGE(K7,J7,G7)</f>
        <v>164</v>
      </c>
      <c r="N7" s="20">
        <v>45833</v>
      </c>
      <c r="O7" s="21">
        <v>3</v>
      </c>
      <c r="P7" s="21">
        <v>0</v>
      </c>
      <c r="Q7" s="21">
        <v>282</v>
      </c>
      <c r="R7" s="21"/>
      <c r="S7" s="21"/>
      <c r="T7" s="21">
        <v>335</v>
      </c>
      <c r="U7" s="21">
        <v>247</v>
      </c>
      <c r="V7" s="21"/>
      <c r="W7" s="22">
        <f>AVERAGE(U7,T7,Q7)</f>
        <v>288</v>
      </c>
    </row>
    <row r="8" spans="1:24" ht="17.25" customHeight="1" x14ac:dyDescent="0.25">
      <c r="A8" s="5">
        <v>2</v>
      </c>
      <c r="B8" s="21" t="s">
        <v>79</v>
      </c>
      <c r="C8" s="13">
        <v>45851</v>
      </c>
      <c r="D8" s="20">
        <v>45926</v>
      </c>
      <c r="E8" s="21">
        <v>4</v>
      </c>
      <c r="F8" s="21">
        <v>0</v>
      </c>
      <c r="G8" s="21">
        <v>124</v>
      </c>
      <c r="H8" s="21"/>
      <c r="I8" s="21"/>
      <c r="J8" s="21">
        <v>118</v>
      </c>
      <c r="K8" s="21">
        <v>135</v>
      </c>
      <c r="L8" s="21">
        <v>127</v>
      </c>
      <c r="M8" s="21">
        <f>AVERAGE(G8:L8)</f>
        <v>126</v>
      </c>
      <c r="N8" s="20">
        <v>45579</v>
      </c>
      <c r="O8" s="21">
        <v>4</v>
      </c>
      <c r="P8" s="21">
        <v>0</v>
      </c>
      <c r="Q8" s="21">
        <v>291</v>
      </c>
      <c r="R8" s="21"/>
      <c r="S8" s="21"/>
      <c r="T8" s="21">
        <v>215</v>
      </c>
      <c r="U8" s="21">
        <v>293</v>
      </c>
      <c r="V8" s="21">
        <v>256</v>
      </c>
      <c r="W8" s="40">
        <f>AVERAGE(Q8:V8)</f>
        <v>263.75</v>
      </c>
    </row>
    <row r="9" spans="1:24" ht="14.25" customHeight="1" x14ac:dyDescent="0.25">
      <c r="A9" s="5">
        <v>3</v>
      </c>
      <c r="B9" s="21" t="s">
        <v>239</v>
      </c>
      <c r="C9" s="13">
        <v>45950</v>
      </c>
      <c r="D9" s="20">
        <v>46024</v>
      </c>
      <c r="E9" s="21">
        <v>4</v>
      </c>
      <c r="F9" s="21">
        <v>0</v>
      </c>
      <c r="G9" s="21">
        <v>125</v>
      </c>
      <c r="H9" s="21">
        <v>129</v>
      </c>
      <c r="I9" s="21">
        <v>111</v>
      </c>
      <c r="J9" s="21">
        <v>118</v>
      </c>
      <c r="K9" s="21"/>
      <c r="L9" s="21"/>
      <c r="M9" s="41">
        <f>AVERAGE(G9:L9)</f>
        <v>120.75</v>
      </c>
      <c r="N9" s="20">
        <v>46039</v>
      </c>
      <c r="O9" s="21">
        <v>3</v>
      </c>
      <c r="P9" s="21">
        <v>1</v>
      </c>
      <c r="Q9" s="21">
        <v>275</v>
      </c>
      <c r="R9" s="21">
        <v>240</v>
      </c>
      <c r="S9" s="21"/>
      <c r="T9" s="21">
        <v>298</v>
      </c>
      <c r="U9" s="21"/>
      <c r="V9" s="21"/>
      <c r="W9" s="40">
        <f>AVERAGE(Q9:V9)</f>
        <v>271</v>
      </c>
    </row>
    <row r="10" spans="1:24" ht="17.25" customHeight="1" x14ac:dyDescent="0.25">
      <c r="A10" s="5">
        <v>4</v>
      </c>
      <c r="B10" s="21" t="s">
        <v>239</v>
      </c>
      <c r="C10" s="13">
        <v>46039</v>
      </c>
      <c r="D10" s="20">
        <v>46112</v>
      </c>
      <c r="E10" s="21">
        <v>2</v>
      </c>
      <c r="F10" s="21">
        <v>0</v>
      </c>
      <c r="G10" s="21"/>
      <c r="H10" s="21"/>
      <c r="I10" s="21"/>
      <c r="J10" s="21">
        <v>143</v>
      </c>
      <c r="K10" s="21">
        <v>151</v>
      </c>
      <c r="L10" s="21"/>
      <c r="M10" s="21">
        <f>AVERAGE(G10:L10)</f>
        <v>147</v>
      </c>
      <c r="N10" s="20">
        <v>46133</v>
      </c>
      <c r="O10" s="21">
        <v>2</v>
      </c>
      <c r="P10" s="21">
        <v>0</v>
      </c>
      <c r="Q10" s="21"/>
      <c r="R10" s="21"/>
      <c r="S10" s="21"/>
      <c r="T10" s="21">
        <v>200</v>
      </c>
      <c r="U10" s="21">
        <v>212</v>
      </c>
      <c r="V10" s="21"/>
      <c r="W10" s="40">
        <f>AVERAGE(Q10:V10)</f>
        <v>206</v>
      </c>
    </row>
    <row r="11" spans="1:24" ht="16.5" customHeight="1" x14ac:dyDescent="0.25">
      <c r="A11" s="5">
        <v>5</v>
      </c>
      <c r="B11" s="21"/>
      <c r="C11" s="8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40"/>
    </row>
    <row r="12" spans="1:24" ht="16.5" customHeight="1" thickBot="1" x14ac:dyDescent="0.3">
      <c r="A12" s="7">
        <v>6</v>
      </c>
      <c r="B12" s="37"/>
      <c r="C12" s="10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43"/>
    </row>
    <row r="13" spans="1:24" ht="20.100000000000001" customHeight="1" x14ac:dyDescent="0.25"/>
    <row r="14" spans="1:24" ht="20.100000000000001" customHeight="1" thickBot="1" x14ac:dyDescent="0.3"/>
    <row r="15" spans="1:24" ht="20.100000000000001" customHeight="1" x14ac:dyDescent="0.25">
      <c r="A15" s="100" t="s">
        <v>2</v>
      </c>
      <c r="B15" s="101"/>
      <c r="C15" s="184" t="s">
        <v>92</v>
      </c>
      <c r="D15" s="185"/>
      <c r="E15" s="111" t="s">
        <v>385</v>
      </c>
      <c r="F15" s="112"/>
      <c r="G15" s="101" t="s">
        <v>4</v>
      </c>
      <c r="H15" s="101"/>
      <c r="I15" s="102" t="s">
        <v>135</v>
      </c>
      <c r="J15" s="102"/>
      <c r="K15" s="102"/>
      <c r="L15" s="102"/>
      <c r="M15" s="102"/>
      <c r="N15" s="102"/>
      <c r="O15" s="101" t="s">
        <v>6</v>
      </c>
      <c r="P15" s="101"/>
      <c r="Q15" s="103"/>
      <c r="R15" s="104"/>
      <c r="S15" s="104"/>
      <c r="T15" s="104"/>
      <c r="U15" s="104"/>
      <c r="V15" s="104"/>
      <c r="W15" s="105"/>
      <c r="X15" s="1"/>
    </row>
    <row r="16" spans="1:24" ht="20.100000000000001" customHeight="1" x14ac:dyDescent="0.25">
      <c r="A16" s="106" t="s">
        <v>7</v>
      </c>
      <c r="B16" s="107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7"/>
      <c r="R16" s="107"/>
      <c r="S16" s="107"/>
      <c r="T16" s="107"/>
      <c r="U16" s="107"/>
      <c r="V16" s="107"/>
      <c r="W16" s="110"/>
      <c r="X16" s="1"/>
    </row>
    <row r="17" spans="1:24" ht="24.95" customHeight="1" x14ac:dyDescent="0.25">
      <c r="A17" s="113" t="s">
        <v>8</v>
      </c>
      <c r="B17" s="114" t="s">
        <v>9</v>
      </c>
      <c r="C17" s="114" t="s">
        <v>10</v>
      </c>
      <c r="D17" s="114" t="s">
        <v>11</v>
      </c>
      <c r="E17" s="114" t="s">
        <v>12</v>
      </c>
      <c r="F17" s="114" t="s">
        <v>13</v>
      </c>
      <c r="G17" s="114" t="s">
        <v>14</v>
      </c>
      <c r="H17" s="114"/>
      <c r="I17" s="114"/>
      <c r="J17" s="114"/>
      <c r="K17" s="114"/>
      <c r="L17" s="114"/>
      <c r="M17" s="114" t="s">
        <v>15</v>
      </c>
      <c r="N17" s="114" t="s">
        <v>16</v>
      </c>
      <c r="O17" s="114" t="s">
        <v>17</v>
      </c>
      <c r="P17" s="114" t="s">
        <v>18</v>
      </c>
      <c r="Q17" s="114" t="s">
        <v>19</v>
      </c>
      <c r="R17" s="114"/>
      <c r="S17" s="114"/>
      <c r="T17" s="114"/>
      <c r="U17" s="114"/>
      <c r="V17" s="114"/>
      <c r="W17" s="115" t="s">
        <v>20</v>
      </c>
      <c r="X17" s="3"/>
    </row>
    <row r="18" spans="1:24" ht="24.95" customHeight="1" x14ac:dyDescent="0.25">
      <c r="A18" s="113"/>
      <c r="B18" s="114"/>
      <c r="C18" s="114"/>
      <c r="D18" s="114"/>
      <c r="E18" s="114"/>
      <c r="F18" s="114"/>
      <c r="G18" s="31" t="s">
        <v>21</v>
      </c>
      <c r="H18" s="31" t="s">
        <v>21</v>
      </c>
      <c r="I18" s="31" t="s">
        <v>21</v>
      </c>
      <c r="J18" s="31" t="s">
        <v>22</v>
      </c>
      <c r="K18" s="31" t="s">
        <v>22</v>
      </c>
      <c r="L18" s="31" t="s">
        <v>22</v>
      </c>
      <c r="M18" s="114"/>
      <c r="N18" s="114"/>
      <c r="O18" s="114"/>
      <c r="P18" s="114"/>
      <c r="Q18" s="31" t="s">
        <v>21</v>
      </c>
      <c r="R18" s="31" t="s">
        <v>21</v>
      </c>
      <c r="S18" s="31" t="s">
        <v>21</v>
      </c>
      <c r="T18" s="31" t="s">
        <v>22</v>
      </c>
      <c r="U18" s="31" t="s">
        <v>22</v>
      </c>
      <c r="V18" s="31" t="s">
        <v>22</v>
      </c>
      <c r="W18" s="115"/>
      <c r="X18" s="3"/>
    </row>
    <row r="19" spans="1:24" ht="18.75" customHeight="1" x14ac:dyDescent="0.25">
      <c r="A19" s="5">
        <v>1</v>
      </c>
      <c r="B19" s="21" t="s">
        <v>78</v>
      </c>
      <c r="C19" s="13">
        <v>45738</v>
      </c>
      <c r="D19" s="21" t="s">
        <v>371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2"/>
    </row>
    <row r="20" spans="1:24" ht="16.5" customHeight="1" x14ac:dyDescent="0.25">
      <c r="A20" s="5">
        <v>2</v>
      </c>
      <c r="B20" s="21" t="s">
        <v>79</v>
      </c>
      <c r="C20" s="13">
        <v>45851</v>
      </c>
      <c r="D20" s="20">
        <v>45938</v>
      </c>
      <c r="E20" s="21">
        <v>3</v>
      </c>
      <c r="F20" s="21">
        <v>0</v>
      </c>
      <c r="G20" s="21">
        <v>107</v>
      </c>
      <c r="H20" s="21">
        <v>110</v>
      </c>
      <c r="I20" s="21"/>
      <c r="J20" s="21">
        <v>111</v>
      </c>
      <c r="K20" s="21"/>
      <c r="L20" s="21"/>
      <c r="M20" s="41">
        <f>AVERAGE(G20:L20)</f>
        <v>109.33333333333333</v>
      </c>
      <c r="N20" s="21" t="s">
        <v>375</v>
      </c>
      <c r="O20" s="21">
        <v>0</v>
      </c>
      <c r="P20" s="21"/>
      <c r="Q20" s="21"/>
      <c r="R20" s="21"/>
      <c r="S20" s="21"/>
      <c r="T20" s="21"/>
      <c r="U20" s="21"/>
      <c r="V20" s="21"/>
      <c r="W20" s="22"/>
    </row>
    <row r="21" spans="1:24" ht="16.5" customHeight="1" x14ac:dyDescent="0.25">
      <c r="A21" s="5">
        <v>3</v>
      </c>
      <c r="B21" s="21" t="s">
        <v>239</v>
      </c>
      <c r="C21" s="13">
        <v>45950</v>
      </c>
      <c r="D21" s="20">
        <v>46029</v>
      </c>
      <c r="E21" s="21">
        <v>4</v>
      </c>
      <c r="F21" s="21">
        <v>1</v>
      </c>
      <c r="G21" s="21">
        <v>125</v>
      </c>
      <c r="H21" s="21">
        <v>128</v>
      </c>
      <c r="I21" s="21">
        <v>130</v>
      </c>
      <c r="J21" s="21"/>
      <c r="K21" s="21"/>
      <c r="L21" s="21"/>
      <c r="M21" s="41">
        <f>AVERAGE(G21:L21)</f>
        <v>127.66666666666667</v>
      </c>
      <c r="N21" s="20">
        <v>46055</v>
      </c>
      <c r="O21" s="21">
        <v>3</v>
      </c>
      <c r="P21" s="21">
        <v>0</v>
      </c>
      <c r="Q21" s="21">
        <v>195</v>
      </c>
      <c r="R21" s="21">
        <v>346</v>
      </c>
      <c r="S21" s="21">
        <v>301</v>
      </c>
      <c r="T21" s="21"/>
      <c r="U21" s="21"/>
      <c r="V21" s="21"/>
      <c r="W21" s="40">
        <f>AVERAGE(Q21:V21)</f>
        <v>280.66666666666669</v>
      </c>
    </row>
    <row r="22" spans="1:24" ht="15.75" customHeight="1" x14ac:dyDescent="0.25">
      <c r="A22" s="5">
        <v>4</v>
      </c>
      <c r="B22" s="21" t="s">
        <v>239</v>
      </c>
      <c r="C22" s="13">
        <v>46039</v>
      </c>
      <c r="D22" s="20">
        <v>46131</v>
      </c>
      <c r="E22" s="21">
        <v>2</v>
      </c>
      <c r="F22" s="21">
        <v>1</v>
      </c>
      <c r="G22" s="21"/>
      <c r="H22" s="21"/>
      <c r="I22" s="21"/>
      <c r="J22" s="21">
        <v>107</v>
      </c>
      <c r="K22" s="21"/>
      <c r="L22" s="21"/>
      <c r="M22" s="41">
        <v>107</v>
      </c>
      <c r="N22" s="20">
        <v>46150</v>
      </c>
      <c r="O22" s="21">
        <v>1</v>
      </c>
      <c r="P22" s="21">
        <v>0</v>
      </c>
      <c r="Q22" s="21"/>
      <c r="R22" s="21"/>
      <c r="S22" s="21"/>
      <c r="T22" s="21">
        <v>200</v>
      </c>
      <c r="U22" s="21"/>
      <c r="V22" s="21"/>
      <c r="W22" s="22">
        <v>200</v>
      </c>
    </row>
    <row r="23" spans="1:24" ht="15.75" customHeight="1" x14ac:dyDescent="0.25">
      <c r="A23" s="5">
        <v>5</v>
      </c>
      <c r="B23" s="21" t="s">
        <v>97</v>
      </c>
      <c r="C23" s="13">
        <v>46181</v>
      </c>
      <c r="D23" s="21"/>
      <c r="E23" s="21"/>
      <c r="F23" s="21"/>
      <c r="G23" s="21"/>
      <c r="H23" s="21"/>
      <c r="I23" s="21"/>
      <c r="J23" s="21"/>
      <c r="K23" s="21"/>
      <c r="L23" s="21"/>
      <c r="M23" s="4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4" ht="15.75" customHeight="1" thickBot="1" x14ac:dyDescent="0.3">
      <c r="A24" s="7">
        <v>6</v>
      </c>
      <c r="B24" s="37"/>
      <c r="C24" s="10"/>
      <c r="D24" s="37"/>
      <c r="E24" s="37"/>
      <c r="F24" s="37"/>
      <c r="G24" s="37"/>
      <c r="H24" s="37"/>
      <c r="I24" s="37"/>
      <c r="J24" s="37"/>
      <c r="K24" s="37"/>
      <c r="L24" s="37"/>
      <c r="M24" s="42"/>
      <c r="N24" s="37"/>
      <c r="O24" s="37"/>
      <c r="P24" s="37"/>
      <c r="Q24" s="37"/>
      <c r="R24" s="37"/>
      <c r="S24" s="37"/>
      <c r="T24" s="37"/>
      <c r="U24" s="37"/>
      <c r="V24" s="37"/>
      <c r="W24" s="39"/>
    </row>
    <row r="25" spans="1:24" ht="20.100000000000001" customHeight="1" x14ac:dyDescent="0.25"/>
    <row r="26" spans="1:24" ht="20.100000000000001" customHeight="1" thickBot="1" x14ac:dyDescent="0.3"/>
    <row r="27" spans="1:24" ht="20.100000000000001" customHeight="1" x14ac:dyDescent="0.25">
      <c r="A27" s="100" t="s">
        <v>2</v>
      </c>
      <c r="B27" s="101"/>
      <c r="C27" s="178" t="s">
        <v>93</v>
      </c>
      <c r="D27" s="179"/>
      <c r="E27" s="111" t="s">
        <v>385</v>
      </c>
      <c r="F27" s="112"/>
      <c r="G27" s="101" t="s">
        <v>4</v>
      </c>
      <c r="H27" s="101"/>
      <c r="I27" s="102" t="s">
        <v>135</v>
      </c>
      <c r="J27" s="102"/>
      <c r="K27" s="102"/>
      <c r="L27" s="102"/>
      <c r="M27" s="102"/>
      <c r="N27" s="102"/>
      <c r="O27" s="101" t="s">
        <v>6</v>
      </c>
      <c r="P27" s="101"/>
      <c r="Q27" s="103"/>
      <c r="R27" s="104"/>
      <c r="S27" s="104"/>
      <c r="T27" s="104"/>
      <c r="U27" s="104"/>
      <c r="V27" s="104"/>
      <c r="W27" s="105"/>
      <c r="X27" s="1"/>
    </row>
    <row r="28" spans="1:24" ht="20.100000000000001" customHeight="1" x14ac:dyDescent="0.25">
      <c r="A28" s="106" t="s">
        <v>7</v>
      </c>
      <c r="B28" s="107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7"/>
      <c r="R28" s="107"/>
      <c r="S28" s="107"/>
      <c r="T28" s="107"/>
      <c r="U28" s="107"/>
      <c r="V28" s="107"/>
      <c r="W28" s="110"/>
      <c r="X28" s="1"/>
    </row>
    <row r="29" spans="1:24" ht="24.95" customHeight="1" x14ac:dyDescent="0.25">
      <c r="A29" s="113" t="s">
        <v>8</v>
      </c>
      <c r="B29" s="114" t="s">
        <v>9</v>
      </c>
      <c r="C29" s="114" t="s">
        <v>10</v>
      </c>
      <c r="D29" s="114" t="s">
        <v>11</v>
      </c>
      <c r="E29" s="114" t="s">
        <v>12</v>
      </c>
      <c r="F29" s="114" t="s">
        <v>13</v>
      </c>
      <c r="G29" s="114" t="s">
        <v>14</v>
      </c>
      <c r="H29" s="114"/>
      <c r="I29" s="114"/>
      <c r="J29" s="114"/>
      <c r="K29" s="114"/>
      <c r="L29" s="114"/>
      <c r="M29" s="114" t="s">
        <v>15</v>
      </c>
      <c r="N29" s="114" t="s">
        <v>16</v>
      </c>
      <c r="O29" s="114" t="s">
        <v>17</v>
      </c>
      <c r="P29" s="114" t="s">
        <v>18</v>
      </c>
      <c r="Q29" s="114" t="s">
        <v>19</v>
      </c>
      <c r="R29" s="114"/>
      <c r="S29" s="114"/>
      <c r="T29" s="114"/>
      <c r="U29" s="114"/>
      <c r="V29" s="114"/>
      <c r="W29" s="115" t="s">
        <v>20</v>
      </c>
      <c r="X29" s="3"/>
    </row>
    <row r="30" spans="1:24" ht="24.95" customHeight="1" x14ac:dyDescent="0.25">
      <c r="A30" s="113"/>
      <c r="B30" s="114"/>
      <c r="C30" s="114"/>
      <c r="D30" s="114"/>
      <c r="E30" s="114"/>
      <c r="F30" s="114"/>
      <c r="G30" s="31" t="s">
        <v>21</v>
      </c>
      <c r="H30" s="31" t="s">
        <v>21</v>
      </c>
      <c r="I30" s="31" t="s">
        <v>21</v>
      </c>
      <c r="J30" s="31" t="s">
        <v>22</v>
      </c>
      <c r="K30" s="31" t="s">
        <v>22</v>
      </c>
      <c r="L30" s="31" t="s">
        <v>22</v>
      </c>
      <c r="M30" s="114"/>
      <c r="N30" s="114"/>
      <c r="O30" s="114"/>
      <c r="P30" s="114"/>
      <c r="Q30" s="31" t="s">
        <v>21</v>
      </c>
      <c r="R30" s="31" t="s">
        <v>21</v>
      </c>
      <c r="S30" s="31" t="s">
        <v>21</v>
      </c>
      <c r="T30" s="31" t="s">
        <v>22</v>
      </c>
      <c r="U30" s="31" t="s">
        <v>22</v>
      </c>
      <c r="V30" s="31" t="s">
        <v>22</v>
      </c>
      <c r="W30" s="115"/>
      <c r="X30" s="3"/>
    </row>
    <row r="31" spans="1:24" ht="18" customHeight="1" x14ac:dyDescent="0.25">
      <c r="A31" s="5">
        <v>1</v>
      </c>
      <c r="B31" s="21" t="s">
        <v>78</v>
      </c>
      <c r="C31" s="13">
        <v>45738</v>
      </c>
      <c r="D31" s="8" t="s">
        <v>94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</row>
    <row r="32" spans="1:24" ht="15" customHeight="1" x14ac:dyDescent="0.25">
      <c r="A32" s="5">
        <v>2</v>
      </c>
      <c r="B32" s="21" t="s">
        <v>79</v>
      </c>
      <c r="C32" s="13">
        <v>45851</v>
      </c>
      <c r="D32" s="13">
        <v>45927</v>
      </c>
      <c r="E32" s="21">
        <v>4</v>
      </c>
      <c r="F32" s="21">
        <v>0</v>
      </c>
      <c r="G32" s="21">
        <v>112</v>
      </c>
      <c r="H32" s="21"/>
      <c r="I32" s="21"/>
      <c r="J32" s="21">
        <v>114</v>
      </c>
      <c r="K32" s="21">
        <v>104</v>
      </c>
      <c r="L32" s="21">
        <v>98</v>
      </c>
      <c r="M32" s="21">
        <f>AVERAGE(G32:L32)</f>
        <v>107</v>
      </c>
      <c r="N32" s="21"/>
      <c r="O32" s="21"/>
      <c r="P32" s="21">
        <v>4</v>
      </c>
      <c r="Q32" s="21"/>
      <c r="R32" s="21"/>
      <c r="S32" s="21"/>
      <c r="T32" s="21"/>
      <c r="U32" s="21"/>
      <c r="V32" s="21"/>
      <c r="W32" s="22"/>
    </row>
    <row r="33" spans="1:24" ht="15" customHeight="1" x14ac:dyDescent="0.25">
      <c r="A33" s="5">
        <v>3</v>
      </c>
      <c r="B33" s="21" t="s">
        <v>239</v>
      </c>
      <c r="C33" s="13">
        <v>45950</v>
      </c>
      <c r="D33" s="13">
        <v>46026</v>
      </c>
      <c r="E33" s="21">
        <v>2</v>
      </c>
      <c r="F33" s="21">
        <v>0</v>
      </c>
      <c r="G33" s="21">
        <v>145</v>
      </c>
      <c r="H33" s="21"/>
      <c r="I33" s="21"/>
      <c r="J33" s="21">
        <v>138</v>
      </c>
      <c r="K33" s="21"/>
      <c r="L33" s="21"/>
      <c r="M33" s="21">
        <f>AVERAGE(G33:L33)</f>
        <v>141.5</v>
      </c>
      <c r="N33" s="20">
        <v>46039</v>
      </c>
      <c r="O33" s="21">
        <v>2</v>
      </c>
      <c r="P33" s="21">
        <v>0</v>
      </c>
      <c r="Q33" s="21">
        <v>253</v>
      </c>
      <c r="R33" s="21"/>
      <c r="S33" s="21"/>
      <c r="T33" s="21">
        <v>251</v>
      </c>
      <c r="U33" s="21"/>
      <c r="V33" s="21"/>
      <c r="W33" s="22">
        <f>AVERAGE(Q33:V33)</f>
        <v>252</v>
      </c>
    </row>
    <row r="34" spans="1:24" ht="15.75" customHeight="1" x14ac:dyDescent="0.25">
      <c r="A34" s="5">
        <v>4</v>
      </c>
      <c r="B34" s="21" t="s">
        <v>239</v>
      </c>
      <c r="C34" s="13">
        <v>46039</v>
      </c>
      <c r="D34" s="8" t="s">
        <v>428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2"/>
    </row>
    <row r="35" spans="1:24" ht="15" customHeight="1" x14ac:dyDescent="0.25">
      <c r="A35" s="5">
        <v>5</v>
      </c>
      <c r="B35" s="21" t="s">
        <v>97</v>
      </c>
      <c r="C35" s="13">
        <v>46181</v>
      </c>
      <c r="D35" s="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</row>
    <row r="36" spans="1:24" ht="15.75" customHeight="1" thickBot="1" x14ac:dyDescent="0.3">
      <c r="A36" s="7">
        <v>6</v>
      </c>
      <c r="B36" s="37"/>
      <c r="C36" s="10"/>
      <c r="D36" s="10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9"/>
    </row>
    <row r="37" spans="1:24" ht="20.100000000000001" customHeight="1" x14ac:dyDescent="0.25"/>
    <row r="38" spans="1:24" ht="20.100000000000001" customHeight="1" thickBot="1" x14ac:dyDescent="0.3"/>
    <row r="39" spans="1:24" ht="20.100000000000001" customHeight="1" x14ac:dyDescent="0.25">
      <c r="A39" s="100" t="s">
        <v>2</v>
      </c>
      <c r="B39" s="101"/>
      <c r="C39" s="186" t="s">
        <v>95</v>
      </c>
      <c r="D39" s="187"/>
      <c r="E39" s="111" t="s">
        <v>385</v>
      </c>
      <c r="F39" s="112"/>
      <c r="G39" s="101" t="s">
        <v>4</v>
      </c>
      <c r="H39" s="101"/>
      <c r="I39" s="102" t="s">
        <v>135</v>
      </c>
      <c r="J39" s="102"/>
      <c r="K39" s="102"/>
      <c r="L39" s="102"/>
      <c r="M39" s="102"/>
      <c r="N39" s="102"/>
      <c r="O39" s="101" t="s">
        <v>6</v>
      </c>
      <c r="P39" s="101"/>
      <c r="Q39" s="103"/>
      <c r="R39" s="104"/>
      <c r="S39" s="104"/>
      <c r="T39" s="104"/>
      <c r="U39" s="104"/>
      <c r="V39" s="104"/>
      <c r="W39" s="105"/>
      <c r="X39" s="1"/>
    </row>
    <row r="40" spans="1:24" ht="20.100000000000001" customHeight="1" x14ac:dyDescent="0.25">
      <c r="A40" s="106" t="s">
        <v>7</v>
      </c>
      <c r="B40" s="107"/>
      <c r="C40" s="122" t="s">
        <v>489</v>
      </c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09"/>
      <c r="P40" s="109"/>
      <c r="Q40" s="107"/>
      <c r="R40" s="107"/>
      <c r="S40" s="107"/>
      <c r="T40" s="107"/>
      <c r="U40" s="107"/>
      <c r="V40" s="107"/>
      <c r="W40" s="110"/>
      <c r="X40" s="1"/>
    </row>
    <row r="41" spans="1:24" ht="24.95" customHeight="1" x14ac:dyDescent="0.25">
      <c r="A41" s="113" t="s">
        <v>8</v>
      </c>
      <c r="B41" s="114" t="s">
        <v>9</v>
      </c>
      <c r="C41" s="114" t="s">
        <v>10</v>
      </c>
      <c r="D41" s="114" t="s">
        <v>11</v>
      </c>
      <c r="E41" s="114" t="s">
        <v>12</v>
      </c>
      <c r="F41" s="114" t="s">
        <v>13</v>
      </c>
      <c r="G41" s="114" t="s">
        <v>14</v>
      </c>
      <c r="H41" s="114"/>
      <c r="I41" s="114"/>
      <c r="J41" s="114"/>
      <c r="K41" s="114"/>
      <c r="L41" s="114"/>
      <c r="M41" s="114" t="s">
        <v>15</v>
      </c>
      <c r="N41" s="114" t="s">
        <v>16</v>
      </c>
      <c r="O41" s="114" t="s">
        <v>17</v>
      </c>
      <c r="P41" s="114" t="s">
        <v>18</v>
      </c>
      <c r="Q41" s="114" t="s">
        <v>19</v>
      </c>
      <c r="R41" s="114"/>
      <c r="S41" s="114"/>
      <c r="T41" s="114"/>
      <c r="U41" s="114"/>
      <c r="V41" s="114"/>
      <c r="W41" s="115" t="s">
        <v>20</v>
      </c>
      <c r="X41" s="3"/>
    </row>
    <row r="42" spans="1:24" ht="24.95" customHeight="1" x14ac:dyDescent="0.25">
      <c r="A42" s="113"/>
      <c r="B42" s="114"/>
      <c r="C42" s="114"/>
      <c r="D42" s="114"/>
      <c r="E42" s="114"/>
      <c r="F42" s="114"/>
      <c r="G42" s="31" t="s">
        <v>21</v>
      </c>
      <c r="H42" s="31" t="s">
        <v>21</v>
      </c>
      <c r="I42" s="31" t="s">
        <v>21</v>
      </c>
      <c r="J42" s="31" t="s">
        <v>22</v>
      </c>
      <c r="K42" s="31" t="s">
        <v>22</v>
      </c>
      <c r="L42" s="31" t="s">
        <v>22</v>
      </c>
      <c r="M42" s="114"/>
      <c r="N42" s="114"/>
      <c r="O42" s="114"/>
      <c r="P42" s="114"/>
      <c r="Q42" s="31" t="s">
        <v>21</v>
      </c>
      <c r="R42" s="31" t="s">
        <v>21</v>
      </c>
      <c r="S42" s="31" t="s">
        <v>21</v>
      </c>
      <c r="T42" s="31" t="s">
        <v>22</v>
      </c>
      <c r="U42" s="31" t="s">
        <v>22</v>
      </c>
      <c r="V42" s="31" t="s">
        <v>22</v>
      </c>
      <c r="W42" s="115"/>
      <c r="X42" s="3"/>
    </row>
    <row r="43" spans="1:24" ht="15.75" customHeight="1" x14ac:dyDescent="0.25">
      <c r="A43" s="5">
        <v>1</v>
      </c>
      <c r="B43" s="21" t="s">
        <v>78</v>
      </c>
      <c r="C43" s="13">
        <v>45738</v>
      </c>
      <c r="D43" s="20">
        <v>45812</v>
      </c>
      <c r="E43" s="21">
        <v>1</v>
      </c>
      <c r="F43" s="21">
        <v>0</v>
      </c>
      <c r="G43" s="21">
        <v>210</v>
      </c>
      <c r="H43" s="21"/>
      <c r="I43" s="21"/>
      <c r="J43" s="21"/>
      <c r="K43" s="21"/>
      <c r="L43" s="21"/>
      <c r="M43" s="21">
        <v>210</v>
      </c>
      <c r="N43" s="20">
        <v>45833</v>
      </c>
      <c r="O43" s="21">
        <v>1</v>
      </c>
      <c r="P43" s="21">
        <v>0</v>
      </c>
      <c r="Q43" s="21">
        <v>254</v>
      </c>
      <c r="R43" s="21"/>
      <c r="S43" s="21"/>
      <c r="T43" s="21"/>
      <c r="U43" s="21"/>
      <c r="V43" s="21"/>
      <c r="W43" s="22">
        <v>254</v>
      </c>
    </row>
    <row r="44" spans="1:24" ht="17.25" customHeight="1" x14ac:dyDescent="0.25">
      <c r="A44" s="5">
        <v>2</v>
      </c>
      <c r="B44" s="21" t="s">
        <v>79</v>
      </c>
      <c r="C44" s="13">
        <v>45851</v>
      </c>
      <c r="D44" s="21" t="s">
        <v>428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2"/>
    </row>
    <row r="45" spans="1:24" ht="19.5" customHeight="1" x14ac:dyDescent="0.25">
      <c r="A45" s="5">
        <v>3</v>
      </c>
      <c r="B45" s="21" t="s">
        <v>239</v>
      </c>
      <c r="C45" s="13">
        <v>45950</v>
      </c>
      <c r="D45" s="20">
        <v>46024</v>
      </c>
      <c r="E45" s="21">
        <v>3</v>
      </c>
      <c r="F45" s="21">
        <v>0</v>
      </c>
      <c r="G45" s="21">
        <v>125</v>
      </c>
      <c r="H45" s="21"/>
      <c r="I45" s="21"/>
      <c r="J45" s="21">
        <v>110</v>
      </c>
      <c r="K45" s="21">
        <v>119</v>
      </c>
      <c r="L45" s="21"/>
      <c r="M45" s="21">
        <f>AVERAGE(G45:L45)</f>
        <v>118</v>
      </c>
      <c r="N45" s="20">
        <v>46039</v>
      </c>
      <c r="O45" s="21">
        <v>3</v>
      </c>
      <c r="P45" s="21">
        <v>0</v>
      </c>
      <c r="Q45" s="21">
        <v>237</v>
      </c>
      <c r="R45" s="21"/>
      <c r="S45" s="21"/>
      <c r="T45" s="21">
        <v>244</v>
      </c>
      <c r="U45" s="21">
        <v>239</v>
      </c>
      <c r="V45" s="21"/>
      <c r="W45" s="22">
        <f>AVERAGE(Q45:V45)</f>
        <v>240</v>
      </c>
    </row>
    <row r="46" spans="1:24" ht="15.75" customHeight="1" x14ac:dyDescent="0.25">
      <c r="A46" s="5">
        <v>4</v>
      </c>
      <c r="B46" s="21" t="s">
        <v>239</v>
      </c>
      <c r="C46" s="13">
        <v>46039</v>
      </c>
      <c r="D46" s="20">
        <v>46113</v>
      </c>
      <c r="E46" s="21">
        <v>5</v>
      </c>
      <c r="F46" s="21">
        <v>0</v>
      </c>
      <c r="G46" s="21">
        <v>130</v>
      </c>
      <c r="H46" s="21">
        <v>86</v>
      </c>
      <c r="I46" s="21">
        <v>83</v>
      </c>
      <c r="J46" s="21">
        <v>97</v>
      </c>
      <c r="K46" s="21">
        <v>69</v>
      </c>
      <c r="L46" s="21"/>
      <c r="M46" s="21">
        <f>AVERAGE(G46:L46)</f>
        <v>93</v>
      </c>
      <c r="N46" s="20">
        <v>46139</v>
      </c>
      <c r="O46" s="21">
        <v>4</v>
      </c>
      <c r="P46" s="21">
        <v>1</v>
      </c>
      <c r="Q46" s="21">
        <v>233</v>
      </c>
      <c r="R46" s="21">
        <v>136</v>
      </c>
      <c r="S46" s="21">
        <v>139</v>
      </c>
      <c r="T46" s="21">
        <v>156</v>
      </c>
      <c r="U46" s="21"/>
      <c r="V46" s="21"/>
      <c r="W46" s="22">
        <f>AVERAGE(Q46:V46)</f>
        <v>166</v>
      </c>
    </row>
    <row r="47" spans="1:24" ht="16.5" customHeight="1" x14ac:dyDescent="0.25">
      <c r="A47" s="5">
        <v>5</v>
      </c>
      <c r="B47" s="21" t="s">
        <v>97</v>
      </c>
      <c r="C47" s="13">
        <v>46181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</row>
    <row r="48" spans="1:24" ht="15" customHeight="1" thickBot="1" x14ac:dyDescent="0.3">
      <c r="A48" s="7">
        <v>6</v>
      </c>
      <c r="B48" s="37"/>
      <c r="C48" s="10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9"/>
    </row>
    <row r="49" spans="1:24" ht="20.100000000000001" customHeight="1" x14ac:dyDescent="0.25"/>
    <row r="50" spans="1:24" ht="20.100000000000001" customHeight="1" thickBot="1" x14ac:dyDescent="0.3"/>
    <row r="51" spans="1:24" ht="20.100000000000001" customHeight="1" x14ac:dyDescent="0.25">
      <c r="A51" s="100" t="s">
        <v>2</v>
      </c>
      <c r="B51" s="101"/>
      <c r="C51" s="186" t="s">
        <v>96</v>
      </c>
      <c r="D51" s="187"/>
      <c r="E51" s="111" t="s">
        <v>387</v>
      </c>
      <c r="F51" s="112"/>
      <c r="G51" s="101" t="s">
        <v>4</v>
      </c>
      <c r="H51" s="101"/>
      <c r="I51" s="102" t="s">
        <v>135</v>
      </c>
      <c r="J51" s="102"/>
      <c r="K51" s="102"/>
      <c r="L51" s="102"/>
      <c r="M51" s="102"/>
      <c r="N51" s="102"/>
      <c r="O51" s="101" t="s">
        <v>6</v>
      </c>
      <c r="P51" s="101"/>
      <c r="Q51" s="103"/>
      <c r="R51" s="104"/>
      <c r="S51" s="104"/>
      <c r="T51" s="104"/>
      <c r="U51" s="104"/>
      <c r="V51" s="104"/>
      <c r="W51" s="105"/>
      <c r="X51" s="1"/>
    </row>
    <row r="52" spans="1:24" ht="20.100000000000001" customHeight="1" x14ac:dyDescent="0.25">
      <c r="A52" s="106" t="s">
        <v>7</v>
      </c>
      <c r="B52" s="107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7"/>
      <c r="R52" s="107"/>
      <c r="S52" s="107"/>
      <c r="T52" s="107"/>
      <c r="U52" s="107"/>
      <c r="V52" s="107"/>
      <c r="W52" s="110"/>
      <c r="X52" s="1"/>
    </row>
    <row r="53" spans="1:24" ht="24.95" customHeight="1" x14ac:dyDescent="0.25">
      <c r="A53" s="113" t="s">
        <v>8</v>
      </c>
      <c r="B53" s="114" t="s">
        <v>9</v>
      </c>
      <c r="C53" s="114" t="s">
        <v>10</v>
      </c>
      <c r="D53" s="114" t="s">
        <v>11</v>
      </c>
      <c r="E53" s="114" t="s">
        <v>12</v>
      </c>
      <c r="F53" s="114" t="s">
        <v>13</v>
      </c>
      <c r="G53" s="114" t="s">
        <v>14</v>
      </c>
      <c r="H53" s="114"/>
      <c r="I53" s="114"/>
      <c r="J53" s="114"/>
      <c r="K53" s="114"/>
      <c r="L53" s="114"/>
      <c r="M53" s="114" t="s">
        <v>15</v>
      </c>
      <c r="N53" s="114" t="s">
        <v>16</v>
      </c>
      <c r="O53" s="114" t="s">
        <v>17</v>
      </c>
      <c r="P53" s="114" t="s">
        <v>18</v>
      </c>
      <c r="Q53" s="114" t="s">
        <v>19</v>
      </c>
      <c r="R53" s="114"/>
      <c r="S53" s="114"/>
      <c r="T53" s="114"/>
      <c r="U53" s="114"/>
      <c r="V53" s="114"/>
      <c r="W53" s="115" t="s">
        <v>20</v>
      </c>
      <c r="X53" s="3"/>
    </row>
    <row r="54" spans="1:24" ht="24.95" customHeight="1" x14ac:dyDescent="0.25">
      <c r="A54" s="113"/>
      <c r="B54" s="114"/>
      <c r="C54" s="114"/>
      <c r="D54" s="114"/>
      <c r="E54" s="114"/>
      <c r="F54" s="114"/>
      <c r="G54" s="31" t="s">
        <v>21</v>
      </c>
      <c r="H54" s="31" t="s">
        <v>21</v>
      </c>
      <c r="I54" s="31" t="s">
        <v>21</v>
      </c>
      <c r="J54" s="31" t="s">
        <v>22</v>
      </c>
      <c r="K54" s="31" t="s">
        <v>22</v>
      </c>
      <c r="L54" s="31" t="s">
        <v>22</v>
      </c>
      <c r="M54" s="114"/>
      <c r="N54" s="114"/>
      <c r="O54" s="114"/>
      <c r="P54" s="114"/>
      <c r="Q54" s="31" t="s">
        <v>21</v>
      </c>
      <c r="R54" s="31" t="s">
        <v>21</v>
      </c>
      <c r="S54" s="31" t="s">
        <v>21</v>
      </c>
      <c r="T54" s="31" t="s">
        <v>22</v>
      </c>
      <c r="U54" s="31" t="s">
        <v>22</v>
      </c>
      <c r="V54" s="31" t="s">
        <v>22</v>
      </c>
      <c r="W54" s="115"/>
      <c r="X54" s="3"/>
    </row>
    <row r="55" spans="1:24" ht="15.75" customHeight="1" x14ac:dyDescent="0.25">
      <c r="A55" s="5">
        <v>1</v>
      </c>
      <c r="B55" s="21" t="s">
        <v>97</v>
      </c>
      <c r="C55" s="13">
        <v>45738</v>
      </c>
      <c r="D55" s="20">
        <v>45812</v>
      </c>
      <c r="E55" s="21">
        <v>2</v>
      </c>
      <c r="F55" s="21">
        <v>0</v>
      </c>
      <c r="G55" s="21">
        <v>161</v>
      </c>
      <c r="H55" s="21"/>
      <c r="I55" s="21"/>
      <c r="J55" s="21">
        <v>164</v>
      </c>
      <c r="K55" s="21"/>
      <c r="L55" s="21"/>
      <c r="M55" s="21">
        <f>AVERAGE(J55,G55)</f>
        <v>162.5</v>
      </c>
      <c r="N55" s="20">
        <v>45833</v>
      </c>
      <c r="O55" s="21">
        <v>2</v>
      </c>
      <c r="P55" s="21">
        <v>0</v>
      </c>
      <c r="Q55" s="21">
        <v>230</v>
      </c>
      <c r="R55" s="21"/>
      <c r="S55" s="21"/>
      <c r="T55" s="21">
        <v>256</v>
      </c>
      <c r="U55" s="21"/>
      <c r="V55" s="21"/>
      <c r="W55" s="22">
        <f>AVERAGE(Q55,T55)</f>
        <v>243</v>
      </c>
    </row>
    <row r="56" spans="1:24" ht="16.5" customHeight="1" x14ac:dyDescent="0.25">
      <c r="A56" s="5">
        <v>2</v>
      </c>
      <c r="B56" s="21" t="s">
        <v>79</v>
      </c>
      <c r="C56" s="13">
        <v>45884</v>
      </c>
      <c r="D56" s="20">
        <v>45956</v>
      </c>
      <c r="E56" s="21">
        <v>3</v>
      </c>
      <c r="F56" s="21">
        <v>0</v>
      </c>
      <c r="G56" s="21">
        <v>114</v>
      </c>
      <c r="H56" s="21">
        <v>107</v>
      </c>
      <c r="I56" s="21"/>
      <c r="J56" s="21">
        <v>116</v>
      </c>
      <c r="K56" s="21"/>
      <c r="L56" s="21"/>
      <c r="M56" s="41">
        <f>AVERAGE(G56:L56)</f>
        <v>112.33333333333333</v>
      </c>
      <c r="N56" s="20">
        <v>45973</v>
      </c>
      <c r="O56" s="21">
        <v>3</v>
      </c>
      <c r="P56" s="21">
        <v>0</v>
      </c>
      <c r="Q56" s="21">
        <v>308</v>
      </c>
      <c r="R56" s="21">
        <v>266</v>
      </c>
      <c r="S56" s="21"/>
      <c r="T56" s="21">
        <v>282</v>
      </c>
      <c r="U56" s="21"/>
      <c r="V56" s="21"/>
      <c r="W56" s="40">
        <f>AVERAGE(Q56:V56)</f>
        <v>285.33333333333331</v>
      </c>
    </row>
    <row r="57" spans="1:24" ht="15.75" customHeight="1" x14ac:dyDescent="0.25">
      <c r="A57" s="5">
        <v>3</v>
      </c>
      <c r="B57" s="21" t="s">
        <v>79</v>
      </c>
      <c r="C57" s="13">
        <v>46039</v>
      </c>
      <c r="D57" s="20">
        <v>46118</v>
      </c>
      <c r="E57" s="21">
        <v>3</v>
      </c>
      <c r="F57" s="21">
        <v>0</v>
      </c>
      <c r="G57" s="21"/>
      <c r="H57" s="21"/>
      <c r="I57" s="21"/>
      <c r="J57" s="21">
        <v>117</v>
      </c>
      <c r="K57" s="21">
        <v>120</v>
      </c>
      <c r="L57" s="21">
        <v>115</v>
      </c>
      <c r="M57" s="41">
        <f>AVERAGE(G57:L57)</f>
        <v>117.33333333333333</v>
      </c>
      <c r="N57" s="20">
        <v>46139</v>
      </c>
      <c r="O57" s="21">
        <v>3</v>
      </c>
      <c r="P57" s="21">
        <v>0</v>
      </c>
      <c r="Q57" s="21"/>
      <c r="R57" s="21"/>
      <c r="S57" s="21"/>
      <c r="T57" s="21">
        <v>205</v>
      </c>
      <c r="U57" s="21">
        <v>201</v>
      </c>
      <c r="V57" s="21">
        <v>198</v>
      </c>
      <c r="W57" s="40">
        <f>AVERAGE(Q57:V57)</f>
        <v>201.33333333333334</v>
      </c>
    </row>
    <row r="58" spans="1:24" ht="14.25" customHeight="1" x14ac:dyDescent="0.25">
      <c r="A58" s="5">
        <v>4</v>
      </c>
      <c r="B58" s="21" t="s">
        <v>79</v>
      </c>
      <c r="C58" s="13">
        <v>46148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2"/>
    </row>
    <row r="59" spans="1:24" ht="15" customHeight="1" x14ac:dyDescent="0.25">
      <c r="A59" s="5">
        <v>5</v>
      </c>
      <c r="B59" s="21"/>
      <c r="C59" s="8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2"/>
    </row>
    <row r="60" spans="1:24" ht="15" customHeight="1" thickBot="1" x14ac:dyDescent="0.3">
      <c r="A60" s="7">
        <v>6</v>
      </c>
      <c r="B60" s="37"/>
      <c r="C60" s="10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9"/>
    </row>
    <row r="61" spans="1:24" ht="20.100000000000001" customHeight="1" x14ac:dyDescent="0.25"/>
    <row r="62" spans="1:24" ht="20.100000000000001" customHeight="1" thickBot="1" x14ac:dyDescent="0.3"/>
    <row r="63" spans="1:24" ht="20.100000000000001" customHeight="1" x14ac:dyDescent="0.25">
      <c r="A63" s="100" t="s">
        <v>2</v>
      </c>
      <c r="B63" s="101"/>
      <c r="C63" s="111" t="s">
        <v>98</v>
      </c>
      <c r="D63" s="112"/>
      <c r="E63" s="111" t="s">
        <v>387</v>
      </c>
      <c r="F63" s="112"/>
      <c r="G63" s="101" t="s">
        <v>4</v>
      </c>
      <c r="H63" s="101"/>
      <c r="I63" s="102" t="s">
        <v>135</v>
      </c>
      <c r="J63" s="102"/>
      <c r="K63" s="102"/>
      <c r="L63" s="102"/>
      <c r="M63" s="102"/>
      <c r="N63" s="102"/>
      <c r="O63" s="101" t="s">
        <v>6</v>
      </c>
      <c r="P63" s="101"/>
      <c r="Q63" s="103"/>
      <c r="R63" s="104"/>
      <c r="S63" s="104"/>
      <c r="T63" s="104"/>
      <c r="U63" s="104"/>
      <c r="V63" s="104"/>
      <c r="W63" s="105"/>
      <c r="X63" s="1"/>
    </row>
    <row r="64" spans="1:24" ht="20.100000000000001" customHeight="1" x14ac:dyDescent="0.25">
      <c r="A64" s="106" t="s">
        <v>7</v>
      </c>
      <c r="B64" s="107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7"/>
      <c r="R64" s="107"/>
      <c r="S64" s="107"/>
      <c r="T64" s="107"/>
      <c r="U64" s="107"/>
      <c r="V64" s="107"/>
      <c r="W64" s="110"/>
      <c r="X64" s="1"/>
    </row>
    <row r="65" spans="1:24" ht="24.95" customHeight="1" x14ac:dyDescent="0.25">
      <c r="A65" s="113" t="s">
        <v>8</v>
      </c>
      <c r="B65" s="114" t="s">
        <v>9</v>
      </c>
      <c r="C65" s="114" t="s">
        <v>10</v>
      </c>
      <c r="D65" s="114" t="s">
        <v>11</v>
      </c>
      <c r="E65" s="114" t="s">
        <v>12</v>
      </c>
      <c r="F65" s="114" t="s">
        <v>13</v>
      </c>
      <c r="G65" s="114" t="s">
        <v>14</v>
      </c>
      <c r="H65" s="114"/>
      <c r="I65" s="114"/>
      <c r="J65" s="114"/>
      <c r="K65" s="114"/>
      <c r="L65" s="114"/>
      <c r="M65" s="114" t="s">
        <v>15</v>
      </c>
      <c r="N65" s="114" t="s">
        <v>16</v>
      </c>
      <c r="O65" s="114" t="s">
        <v>17</v>
      </c>
      <c r="P65" s="114" t="s">
        <v>18</v>
      </c>
      <c r="Q65" s="114" t="s">
        <v>19</v>
      </c>
      <c r="R65" s="114"/>
      <c r="S65" s="114"/>
      <c r="T65" s="114"/>
      <c r="U65" s="114"/>
      <c r="V65" s="114"/>
      <c r="W65" s="115" t="s">
        <v>20</v>
      </c>
      <c r="X65" s="3"/>
    </row>
    <row r="66" spans="1:24" ht="24.95" customHeight="1" x14ac:dyDescent="0.25">
      <c r="A66" s="113"/>
      <c r="B66" s="114"/>
      <c r="C66" s="114"/>
      <c r="D66" s="114"/>
      <c r="E66" s="114"/>
      <c r="F66" s="114"/>
      <c r="G66" s="31" t="s">
        <v>21</v>
      </c>
      <c r="H66" s="31" t="s">
        <v>21</v>
      </c>
      <c r="I66" s="31" t="s">
        <v>21</v>
      </c>
      <c r="J66" s="31" t="s">
        <v>22</v>
      </c>
      <c r="K66" s="31" t="s">
        <v>22</v>
      </c>
      <c r="L66" s="31" t="s">
        <v>22</v>
      </c>
      <c r="M66" s="114"/>
      <c r="N66" s="114"/>
      <c r="O66" s="114"/>
      <c r="P66" s="114"/>
      <c r="Q66" s="31" t="s">
        <v>21</v>
      </c>
      <c r="R66" s="31" t="s">
        <v>21</v>
      </c>
      <c r="S66" s="31" t="s">
        <v>21</v>
      </c>
      <c r="T66" s="31" t="s">
        <v>22</v>
      </c>
      <c r="U66" s="31" t="s">
        <v>22</v>
      </c>
      <c r="V66" s="31" t="s">
        <v>22</v>
      </c>
      <c r="W66" s="115"/>
      <c r="X66" s="3"/>
    </row>
    <row r="67" spans="1:24" ht="18.75" customHeight="1" x14ac:dyDescent="0.25">
      <c r="A67" s="5">
        <v>1</v>
      </c>
      <c r="B67" s="21" t="s">
        <v>99</v>
      </c>
      <c r="C67" s="13">
        <v>45738</v>
      </c>
      <c r="D67" s="13">
        <v>45838</v>
      </c>
      <c r="E67" s="21">
        <v>2</v>
      </c>
      <c r="F67" s="21">
        <v>0</v>
      </c>
      <c r="G67" s="21">
        <v>145</v>
      </c>
      <c r="H67" s="21">
        <v>147</v>
      </c>
      <c r="I67" s="21"/>
      <c r="J67" s="21"/>
      <c r="K67" s="21"/>
      <c r="L67" s="21"/>
      <c r="M67" s="21">
        <f>AVERAGE(G67:L67)</f>
        <v>146</v>
      </c>
      <c r="N67" s="20">
        <v>45869</v>
      </c>
      <c r="O67" s="21">
        <v>1</v>
      </c>
      <c r="P67" s="21">
        <v>1</v>
      </c>
      <c r="Q67" s="21">
        <v>317</v>
      </c>
      <c r="R67" s="21"/>
      <c r="S67" s="21"/>
      <c r="T67" s="21"/>
      <c r="U67" s="21"/>
      <c r="V67" s="21"/>
      <c r="W67" s="22">
        <v>317</v>
      </c>
    </row>
    <row r="68" spans="1:24" ht="15" customHeight="1" x14ac:dyDescent="0.25">
      <c r="A68" s="5">
        <v>2</v>
      </c>
      <c r="B68" s="21" t="s">
        <v>79</v>
      </c>
      <c r="C68" s="13">
        <v>45884</v>
      </c>
      <c r="D68" s="8" t="s">
        <v>428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2"/>
    </row>
    <row r="69" spans="1:24" ht="15.75" customHeight="1" x14ac:dyDescent="0.25">
      <c r="A69" s="5">
        <v>3</v>
      </c>
      <c r="B69" s="21" t="s">
        <v>79</v>
      </c>
      <c r="C69" s="13">
        <v>46039</v>
      </c>
      <c r="D69" s="13">
        <v>46118</v>
      </c>
      <c r="E69" s="21">
        <v>3</v>
      </c>
      <c r="F69" s="21">
        <v>0</v>
      </c>
      <c r="G69" s="21">
        <v>120</v>
      </c>
      <c r="H69" s="21">
        <v>117</v>
      </c>
      <c r="I69" s="21"/>
      <c r="J69" s="21">
        <v>115</v>
      </c>
      <c r="K69" s="21"/>
      <c r="L69" s="21"/>
      <c r="M69" s="41">
        <f>AVERAGE(G69:L69)</f>
        <v>117.33333333333333</v>
      </c>
      <c r="N69" s="20">
        <v>46139</v>
      </c>
      <c r="O69" s="21">
        <v>3</v>
      </c>
      <c r="P69" s="21">
        <v>0</v>
      </c>
      <c r="Q69" s="21">
        <v>237</v>
      </c>
      <c r="R69" s="21">
        <v>204</v>
      </c>
      <c r="S69" s="21"/>
      <c r="T69" s="21">
        <v>214</v>
      </c>
      <c r="U69" s="21"/>
      <c r="V69" s="21"/>
      <c r="W69" s="40">
        <f>AVERAGE(Q69:V69)</f>
        <v>218.33333333333334</v>
      </c>
    </row>
    <row r="70" spans="1:24" ht="16.5" customHeight="1" x14ac:dyDescent="0.25">
      <c r="A70" s="5">
        <v>4</v>
      </c>
      <c r="B70" s="21" t="s">
        <v>79</v>
      </c>
      <c r="C70" s="13">
        <v>46148</v>
      </c>
      <c r="D70" s="8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2"/>
    </row>
    <row r="71" spans="1:24" ht="15.75" customHeight="1" x14ac:dyDescent="0.25">
      <c r="A71" s="5">
        <v>5</v>
      </c>
      <c r="B71" s="21"/>
      <c r="C71" s="8"/>
      <c r="D71" s="8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2"/>
    </row>
    <row r="72" spans="1:24" ht="15.75" customHeight="1" thickBot="1" x14ac:dyDescent="0.3">
      <c r="A72" s="7">
        <v>6</v>
      </c>
      <c r="B72" s="37"/>
      <c r="C72" s="10"/>
      <c r="D72" s="10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9"/>
    </row>
    <row r="73" spans="1:24" ht="20.100000000000001" customHeight="1" x14ac:dyDescent="0.25"/>
    <row r="74" spans="1:24" ht="20.100000000000001" customHeight="1" thickBot="1" x14ac:dyDescent="0.3"/>
    <row r="75" spans="1:24" ht="20.100000000000001" customHeight="1" x14ac:dyDescent="0.25">
      <c r="A75" s="100" t="s">
        <v>2</v>
      </c>
      <c r="B75" s="101"/>
      <c r="C75" s="178" t="s">
        <v>100</v>
      </c>
      <c r="D75" s="179"/>
      <c r="E75" s="111" t="s">
        <v>387</v>
      </c>
      <c r="F75" s="112"/>
      <c r="G75" s="101" t="s">
        <v>4</v>
      </c>
      <c r="H75" s="101"/>
      <c r="I75" s="102" t="s">
        <v>135</v>
      </c>
      <c r="J75" s="102"/>
      <c r="K75" s="102"/>
      <c r="L75" s="102"/>
      <c r="M75" s="102"/>
      <c r="N75" s="102"/>
      <c r="O75" s="101" t="s">
        <v>6</v>
      </c>
      <c r="P75" s="101"/>
      <c r="Q75" s="103"/>
      <c r="R75" s="104"/>
      <c r="S75" s="104"/>
      <c r="T75" s="104"/>
      <c r="U75" s="104"/>
      <c r="V75" s="104"/>
      <c r="W75" s="105"/>
      <c r="X75" s="1"/>
    </row>
    <row r="76" spans="1:24" ht="20.100000000000001" customHeight="1" x14ac:dyDescent="0.25">
      <c r="A76" s="106" t="s">
        <v>7</v>
      </c>
      <c r="B76" s="107"/>
      <c r="C76" s="116" t="s">
        <v>44</v>
      </c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09"/>
      <c r="P76" s="109"/>
      <c r="Q76" s="107"/>
      <c r="R76" s="107"/>
      <c r="S76" s="107"/>
      <c r="T76" s="107"/>
      <c r="U76" s="107"/>
      <c r="V76" s="107"/>
      <c r="W76" s="110"/>
      <c r="X76" s="1"/>
    </row>
    <row r="77" spans="1:24" ht="24.95" customHeight="1" x14ac:dyDescent="0.25">
      <c r="A77" s="113" t="s">
        <v>8</v>
      </c>
      <c r="B77" s="114" t="s">
        <v>9</v>
      </c>
      <c r="C77" s="114" t="s">
        <v>10</v>
      </c>
      <c r="D77" s="114" t="s">
        <v>11</v>
      </c>
      <c r="E77" s="114" t="s">
        <v>12</v>
      </c>
      <c r="F77" s="114" t="s">
        <v>13</v>
      </c>
      <c r="G77" s="114" t="s">
        <v>14</v>
      </c>
      <c r="H77" s="114"/>
      <c r="I77" s="114"/>
      <c r="J77" s="114"/>
      <c r="K77" s="114"/>
      <c r="L77" s="114"/>
      <c r="M77" s="114" t="s">
        <v>15</v>
      </c>
      <c r="N77" s="114" t="s">
        <v>16</v>
      </c>
      <c r="O77" s="114" t="s">
        <v>17</v>
      </c>
      <c r="P77" s="114" t="s">
        <v>18</v>
      </c>
      <c r="Q77" s="114" t="s">
        <v>19</v>
      </c>
      <c r="R77" s="114"/>
      <c r="S77" s="114"/>
      <c r="T77" s="114"/>
      <c r="U77" s="114"/>
      <c r="V77" s="114"/>
      <c r="W77" s="115" t="s">
        <v>20</v>
      </c>
      <c r="X77" s="3"/>
    </row>
    <row r="78" spans="1:24" ht="24.95" customHeight="1" x14ac:dyDescent="0.25">
      <c r="A78" s="113"/>
      <c r="B78" s="114"/>
      <c r="C78" s="114"/>
      <c r="D78" s="114"/>
      <c r="E78" s="114"/>
      <c r="F78" s="114"/>
      <c r="G78" s="31" t="s">
        <v>21</v>
      </c>
      <c r="H78" s="31" t="s">
        <v>21</v>
      </c>
      <c r="I78" s="31" t="s">
        <v>21</v>
      </c>
      <c r="J78" s="31" t="s">
        <v>22</v>
      </c>
      <c r="K78" s="31" t="s">
        <v>22</v>
      </c>
      <c r="L78" s="31" t="s">
        <v>22</v>
      </c>
      <c r="M78" s="114"/>
      <c r="N78" s="114"/>
      <c r="O78" s="114"/>
      <c r="P78" s="114"/>
      <c r="Q78" s="31" t="s">
        <v>21</v>
      </c>
      <c r="R78" s="31" t="s">
        <v>21</v>
      </c>
      <c r="S78" s="31" t="s">
        <v>21</v>
      </c>
      <c r="T78" s="31" t="s">
        <v>22</v>
      </c>
      <c r="U78" s="31" t="s">
        <v>22</v>
      </c>
      <c r="V78" s="31" t="s">
        <v>22</v>
      </c>
      <c r="W78" s="115"/>
      <c r="X78" s="3"/>
    </row>
    <row r="79" spans="1:24" ht="15.75" customHeight="1" x14ac:dyDescent="0.25">
      <c r="A79" s="5">
        <v>1</v>
      </c>
      <c r="B79" s="21" t="s">
        <v>97</v>
      </c>
      <c r="C79" s="13">
        <v>45738</v>
      </c>
      <c r="D79" s="20">
        <v>45820</v>
      </c>
      <c r="E79" s="21">
        <v>3</v>
      </c>
      <c r="F79" s="21">
        <v>0</v>
      </c>
      <c r="G79" s="21">
        <v>133</v>
      </c>
      <c r="H79" s="21">
        <v>127</v>
      </c>
      <c r="I79" s="21"/>
      <c r="J79" s="21">
        <v>119</v>
      </c>
      <c r="K79" s="21"/>
      <c r="L79" s="21"/>
      <c r="M79" s="41">
        <f>AVERAGE(G79:L79)</f>
        <v>126.33333333333333</v>
      </c>
      <c r="N79" s="21"/>
      <c r="O79" s="21"/>
      <c r="P79" s="21">
        <v>3</v>
      </c>
      <c r="Q79" s="21"/>
      <c r="R79" s="21"/>
      <c r="S79" s="21"/>
      <c r="T79" s="21"/>
      <c r="U79" s="21"/>
      <c r="V79" s="21"/>
      <c r="W79" s="22"/>
    </row>
    <row r="80" spans="1:24" ht="16.5" customHeight="1" x14ac:dyDescent="0.25">
      <c r="A80" s="5">
        <v>2</v>
      </c>
      <c r="B80" s="21" t="s">
        <v>79</v>
      </c>
      <c r="C80" s="13">
        <v>45884</v>
      </c>
      <c r="D80" s="20">
        <v>45964</v>
      </c>
      <c r="E80" s="21">
        <v>3</v>
      </c>
      <c r="F80" s="21">
        <v>0</v>
      </c>
      <c r="G80" s="21">
        <v>112</v>
      </c>
      <c r="H80" s="21"/>
      <c r="I80" s="21"/>
      <c r="J80" s="21">
        <v>135</v>
      </c>
      <c r="K80" s="21">
        <v>131</v>
      </c>
      <c r="L80" s="21"/>
      <c r="M80" s="41">
        <f>AVERAGE(G80:L80)</f>
        <v>126</v>
      </c>
      <c r="N80" s="20">
        <v>45986</v>
      </c>
      <c r="O80" s="21">
        <v>3</v>
      </c>
      <c r="P80" s="21">
        <v>0</v>
      </c>
      <c r="Q80" s="21">
        <v>218</v>
      </c>
      <c r="R80" s="21"/>
      <c r="S80" s="21"/>
      <c r="T80" s="21">
        <v>238</v>
      </c>
      <c r="U80" s="21">
        <v>230</v>
      </c>
      <c r="V80" s="21"/>
      <c r="W80" s="22"/>
    </row>
    <row r="81" spans="1:24" ht="14.25" customHeight="1" x14ac:dyDescent="0.25">
      <c r="A81" s="5">
        <v>3</v>
      </c>
      <c r="B81" s="21" t="s">
        <v>79</v>
      </c>
      <c r="C81" s="13">
        <v>46039</v>
      </c>
      <c r="D81" s="20">
        <v>46117</v>
      </c>
      <c r="E81" s="21">
        <v>3</v>
      </c>
      <c r="F81" s="21">
        <v>0</v>
      </c>
      <c r="G81" s="21"/>
      <c r="H81" s="21"/>
      <c r="I81" s="21"/>
      <c r="J81" s="21">
        <v>115</v>
      </c>
      <c r="K81" s="21">
        <v>120</v>
      </c>
      <c r="L81" s="21">
        <v>125</v>
      </c>
      <c r="M81" s="41">
        <f>AVERAGE(G81:L81)</f>
        <v>120</v>
      </c>
      <c r="N81" s="20">
        <v>46139</v>
      </c>
      <c r="O81" s="21">
        <v>3</v>
      </c>
      <c r="P81" s="21">
        <v>0</v>
      </c>
      <c r="Q81" s="21"/>
      <c r="R81" s="21"/>
      <c r="S81" s="21"/>
      <c r="T81" s="21">
        <v>227</v>
      </c>
      <c r="U81" s="21">
        <v>254</v>
      </c>
      <c r="V81" s="21">
        <v>256</v>
      </c>
      <c r="W81" s="40">
        <f>AVERAGE(Q81:V81)</f>
        <v>245.66666666666666</v>
      </c>
    </row>
    <row r="82" spans="1:24" ht="16.5" customHeight="1" x14ac:dyDescent="0.25">
      <c r="A82" s="5">
        <v>4</v>
      </c>
      <c r="B82" s="21"/>
      <c r="C82" s="8"/>
      <c r="D82" s="21"/>
      <c r="E82" s="21"/>
      <c r="F82" s="21"/>
      <c r="G82" s="21"/>
      <c r="H82" s="21"/>
      <c r="I82" s="21"/>
      <c r="J82" s="21"/>
      <c r="K82" s="21"/>
      <c r="L82" s="21"/>
      <c r="M82" s="41"/>
      <c r="N82" s="21"/>
      <c r="O82" s="21"/>
      <c r="P82" s="21"/>
      <c r="Q82" s="21"/>
      <c r="R82" s="21"/>
      <c r="S82" s="21"/>
      <c r="T82" s="21"/>
      <c r="U82" s="21"/>
      <c r="V82" s="21"/>
      <c r="W82" s="22"/>
    </row>
    <row r="83" spans="1:24" ht="16.5" customHeight="1" x14ac:dyDescent="0.25">
      <c r="A83" s="5">
        <v>5</v>
      </c>
      <c r="B83" s="21"/>
      <c r="C83" s="8"/>
      <c r="D83" s="21"/>
      <c r="E83" s="21"/>
      <c r="F83" s="21"/>
      <c r="G83" s="21"/>
      <c r="H83" s="21"/>
      <c r="I83" s="21"/>
      <c r="J83" s="21"/>
      <c r="K83" s="21"/>
      <c r="L83" s="21"/>
      <c r="M83" s="41"/>
      <c r="N83" s="21"/>
      <c r="O83" s="21"/>
      <c r="P83" s="21"/>
      <c r="Q83" s="21"/>
      <c r="R83" s="21"/>
      <c r="S83" s="21"/>
      <c r="T83" s="21"/>
      <c r="U83" s="21"/>
      <c r="V83" s="21"/>
      <c r="W83" s="22"/>
    </row>
    <row r="84" spans="1:24" ht="15" customHeight="1" thickBot="1" x14ac:dyDescent="0.3">
      <c r="A84" s="7">
        <v>6</v>
      </c>
      <c r="B84" s="37"/>
      <c r="C84" s="10"/>
      <c r="D84" s="37"/>
      <c r="E84" s="37"/>
      <c r="F84" s="37"/>
      <c r="G84" s="37"/>
      <c r="H84" s="37"/>
      <c r="I84" s="37"/>
      <c r="J84" s="37"/>
      <c r="K84" s="37"/>
      <c r="L84" s="37"/>
      <c r="M84" s="42"/>
      <c r="N84" s="37"/>
      <c r="O84" s="37"/>
      <c r="P84" s="37"/>
      <c r="Q84" s="37"/>
      <c r="R84" s="37"/>
      <c r="S84" s="37"/>
      <c r="T84" s="37"/>
      <c r="U84" s="37"/>
      <c r="V84" s="37"/>
      <c r="W84" s="39"/>
    </row>
    <row r="85" spans="1:24" ht="20.100000000000001" customHeight="1" x14ac:dyDescent="0.25"/>
    <row r="86" spans="1:24" ht="20.100000000000001" customHeight="1" thickBot="1" x14ac:dyDescent="0.3"/>
    <row r="87" spans="1:24" ht="20.100000000000001" customHeight="1" x14ac:dyDescent="0.25">
      <c r="A87" s="100" t="s">
        <v>2</v>
      </c>
      <c r="B87" s="101"/>
      <c r="C87" s="184" t="s">
        <v>101</v>
      </c>
      <c r="D87" s="185"/>
      <c r="E87" s="111" t="s">
        <v>387</v>
      </c>
      <c r="F87" s="112"/>
      <c r="G87" s="101" t="s">
        <v>4</v>
      </c>
      <c r="H87" s="101"/>
      <c r="I87" s="102" t="s">
        <v>135</v>
      </c>
      <c r="J87" s="102"/>
      <c r="K87" s="102"/>
      <c r="L87" s="102"/>
      <c r="M87" s="102"/>
      <c r="N87" s="102"/>
      <c r="O87" s="101" t="s">
        <v>6</v>
      </c>
      <c r="P87" s="101"/>
      <c r="Q87" s="103"/>
      <c r="R87" s="104"/>
      <c r="S87" s="104"/>
      <c r="T87" s="104"/>
      <c r="U87" s="104"/>
      <c r="V87" s="104"/>
      <c r="W87" s="105"/>
      <c r="X87" s="1"/>
    </row>
    <row r="88" spans="1:24" ht="20.100000000000001" customHeight="1" x14ac:dyDescent="0.25">
      <c r="A88" s="106" t="s">
        <v>7</v>
      </c>
      <c r="B88" s="107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7"/>
      <c r="R88" s="107"/>
      <c r="S88" s="107"/>
      <c r="T88" s="107"/>
      <c r="U88" s="107"/>
      <c r="V88" s="107"/>
      <c r="W88" s="110"/>
      <c r="X88" s="1"/>
    </row>
    <row r="89" spans="1:24" ht="24.95" customHeight="1" x14ac:dyDescent="0.25">
      <c r="A89" s="113" t="s">
        <v>8</v>
      </c>
      <c r="B89" s="114" t="s">
        <v>9</v>
      </c>
      <c r="C89" s="114" t="s">
        <v>10</v>
      </c>
      <c r="D89" s="114" t="s">
        <v>11</v>
      </c>
      <c r="E89" s="114" t="s">
        <v>12</v>
      </c>
      <c r="F89" s="114" t="s">
        <v>13</v>
      </c>
      <c r="G89" s="114" t="s">
        <v>14</v>
      </c>
      <c r="H89" s="114"/>
      <c r="I89" s="114"/>
      <c r="J89" s="114"/>
      <c r="K89" s="114"/>
      <c r="L89" s="114"/>
      <c r="M89" s="114" t="s">
        <v>15</v>
      </c>
      <c r="N89" s="114" t="s">
        <v>16</v>
      </c>
      <c r="O89" s="114" t="s">
        <v>17</v>
      </c>
      <c r="P89" s="114" t="s">
        <v>18</v>
      </c>
      <c r="Q89" s="114" t="s">
        <v>19</v>
      </c>
      <c r="R89" s="114"/>
      <c r="S89" s="114"/>
      <c r="T89" s="114"/>
      <c r="U89" s="114"/>
      <c r="V89" s="114"/>
      <c r="W89" s="115" t="s">
        <v>20</v>
      </c>
      <c r="X89" s="3"/>
    </row>
    <row r="90" spans="1:24" ht="24.95" customHeight="1" x14ac:dyDescent="0.25">
      <c r="A90" s="113"/>
      <c r="B90" s="114"/>
      <c r="C90" s="114"/>
      <c r="D90" s="114"/>
      <c r="E90" s="114"/>
      <c r="F90" s="114"/>
      <c r="G90" s="31" t="s">
        <v>21</v>
      </c>
      <c r="H90" s="31" t="s">
        <v>21</v>
      </c>
      <c r="I90" s="31" t="s">
        <v>21</v>
      </c>
      <c r="J90" s="31" t="s">
        <v>22</v>
      </c>
      <c r="K90" s="31" t="s">
        <v>22</v>
      </c>
      <c r="L90" s="31" t="s">
        <v>22</v>
      </c>
      <c r="M90" s="114"/>
      <c r="N90" s="114"/>
      <c r="O90" s="114"/>
      <c r="P90" s="114"/>
      <c r="Q90" s="31" t="s">
        <v>21</v>
      </c>
      <c r="R90" s="31" t="s">
        <v>21</v>
      </c>
      <c r="S90" s="31" t="s">
        <v>21</v>
      </c>
      <c r="T90" s="31" t="s">
        <v>22</v>
      </c>
      <c r="U90" s="31" t="s">
        <v>22</v>
      </c>
      <c r="V90" s="31" t="s">
        <v>22</v>
      </c>
      <c r="W90" s="115"/>
      <c r="X90" s="3"/>
    </row>
    <row r="91" spans="1:24" ht="15.75" customHeight="1" x14ac:dyDescent="0.25">
      <c r="A91" s="5">
        <v>1</v>
      </c>
      <c r="B91" s="21" t="s">
        <v>97</v>
      </c>
      <c r="C91" s="13">
        <v>45738</v>
      </c>
      <c r="D91" s="8" t="s">
        <v>428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</row>
    <row r="92" spans="1:24" ht="15" customHeight="1" x14ac:dyDescent="0.25">
      <c r="A92" s="5">
        <v>2</v>
      </c>
      <c r="B92" s="21" t="s">
        <v>79</v>
      </c>
      <c r="C92" s="13">
        <v>45884</v>
      </c>
      <c r="D92" s="13">
        <v>45967</v>
      </c>
      <c r="E92" s="21">
        <v>4</v>
      </c>
      <c r="F92" s="21">
        <v>0</v>
      </c>
      <c r="G92" s="21">
        <v>107</v>
      </c>
      <c r="H92" s="21">
        <v>110</v>
      </c>
      <c r="I92" s="21"/>
      <c r="J92" s="21">
        <v>105</v>
      </c>
      <c r="K92" s="21">
        <v>118</v>
      </c>
      <c r="L92" s="21"/>
      <c r="M92" s="21">
        <f>AVERAGE(G92:L92)</f>
        <v>110</v>
      </c>
      <c r="N92" s="20">
        <v>45986</v>
      </c>
      <c r="O92" s="21">
        <v>2</v>
      </c>
      <c r="P92" s="21">
        <v>2</v>
      </c>
      <c r="Q92" s="21"/>
      <c r="R92" s="21"/>
      <c r="S92" s="21"/>
      <c r="T92" s="21">
        <v>207</v>
      </c>
      <c r="U92" s="21">
        <v>207</v>
      </c>
      <c r="V92" s="21"/>
      <c r="W92" s="22">
        <f>AVERAGE(Q92:V92)</f>
        <v>207</v>
      </c>
    </row>
    <row r="93" spans="1:24" ht="15.75" customHeight="1" x14ac:dyDescent="0.25">
      <c r="A93" s="5">
        <v>3</v>
      </c>
      <c r="B93" s="21" t="s">
        <v>79</v>
      </c>
      <c r="C93" s="13">
        <v>46039</v>
      </c>
      <c r="D93" s="13">
        <v>46108</v>
      </c>
      <c r="E93" s="21">
        <v>3</v>
      </c>
      <c r="F93" s="21">
        <v>0</v>
      </c>
      <c r="G93" s="21">
        <v>150</v>
      </c>
      <c r="H93" s="21"/>
      <c r="I93" s="21"/>
      <c r="J93" s="21">
        <v>147</v>
      </c>
      <c r="K93" s="21">
        <v>134</v>
      </c>
      <c r="L93" s="21"/>
      <c r="M93" s="80">
        <f>AVERAGE(G93:L93)</f>
        <v>143.66666666666666</v>
      </c>
      <c r="N93" s="20">
        <v>46133</v>
      </c>
      <c r="O93" s="21">
        <v>3</v>
      </c>
      <c r="P93" s="21">
        <v>0</v>
      </c>
      <c r="Q93" s="21">
        <v>336</v>
      </c>
      <c r="R93" s="21"/>
      <c r="S93" s="21"/>
      <c r="T93" s="21">
        <v>349</v>
      </c>
      <c r="U93" s="21">
        <v>289</v>
      </c>
      <c r="V93" s="21"/>
      <c r="W93" s="68">
        <f>AVERAGE(Q93:V93)</f>
        <v>324.66666666666669</v>
      </c>
    </row>
    <row r="94" spans="1:24" ht="15.75" customHeight="1" x14ac:dyDescent="0.25">
      <c r="A94" s="5">
        <v>4</v>
      </c>
      <c r="B94" s="21" t="s">
        <v>79</v>
      </c>
      <c r="C94" s="13">
        <v>46148</v>
      </c>
      <c r="D94" s="8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2"/>
    </row>
    <row r="95" spans="1:24" ht="15.75" customHeight="1" x14ac:dyDescent="0.25">
      <c r="A95" s="5">
        <v>5</v>
      </c>
      <c r="B95" s="21"/>
      <c r="C95" s="8"/>
      <c r="D95" s="8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2"/>
    </row>
    <row r="96" spans="1:24" ht="13.5" customHeight="1" thickBot="1" x14ac:dyDescent="0.3">
      <c r="A96" s="7">
        <v>6</v>
      </c>
      <c r="B96" s="37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4" ht="20.100000000000001" customHeight="1" x14ac:dyDescent="0.25"/>
    <row r="98" spans="1:24" ht="20.100000000000001" customHeight="1" thickBot="1" x14ac:dyDescent="0.3"/>
    <row r="99" spans="1:24" ht="20.100000000000001" customHeight="1" x14ac:dyDescent="0.25">
      <c r="A99" s="100" t="s">
        <v>2</v>
      </c>
      <c r="B99" s="101"/>
      <c r="C99" s="111" t="s">
        <v>102</v>
      </c>
      <c r="D99" s="112"/>
      <c r="E99" s="111" t="s">
        <v>387</v>
      </c>
      <c r="F99" s="112"/>
      <c r="G99" s="101" t="s">
        <v>4</v>
      </c>
      <c r="H99" s="101"/>
      <c r="I99" s="102" t="s">
        <v>135</v>
      </c>
      <c r="J99" s="102"/>
      <c r="K99" s="102"/>
      <c r="L99" s="102"/>
      <c r="M99" s="102"/>
      <c r="N99" s="102"/>
      <c r="O99" s="101" t="s">
        <v>6</v>
      </c>
      <c r="P99" s="101"/>
      <c r="Q99" s="103"/>
      <c r="R99" s="104"/>
      <c r="S99" s="104"/>
      <c r="T99" s="104"/>
      <c r="U99" s="104"/>
      <c r="V99" s="104"/>
      <c r="W99" s="105"/>
      <c r="X99" s="1"/>
    </row>
    <row r="100" spans="1:24" ht="20.100000000000001" customHeight="1" x14ac:dyDescent="0.25">
      <c r="A100" s="106" t="s">
        <v>7</v>
      </c>
      <c r="B100" s="107"/>
      <c r="C100" s="116" t="s">
        <v>219</v>
      </c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09"/>
      <c r="P100" s="109"/>
      <c r="Q100" s="107"/>
      <c r="R100" s="107"/>
      <c r="S100" s="107"/>
      <c r="T100" s="107"/>
      <c r="U100" s="107"/>
      <c r="V100" s="107"/>
      <c r="W100" s="110"/>
      <c r="X100" s="1"/>
    </row>
    <row r="101" spans="1:24" ht="24.95" customHeight="1" x14ac:dyDescent="0.25">
      <c r="A101" s="113" t="s">
        <v>8</v>
      </c>
      <c r="B101" s="114" t="s">
        <v>9</v>
      </c>
      <c r="C101" s="114" t="s">
        <v>10</v>
      </c>
      <c r="D101" s="114" t="s">
        <v>11</v>
      </c>
      <c r="E101" s="114" t="s">
        <v>12</v>
      </c>
      <c r="F101" s="114" t="s">
        <v>13</v>
      </c>
      <c r="G101" s="114" t="s">
        <v>14</v>
      </c>
      <c r="H101" s="114"/>
      <c r="I101" s="114"/>
      <c r="J101" s="114"/>
      <c r="K101" s="114"/>
      <c r="L101" s="114"/>
      <c r="M101" s="114" t="s">
        <v>15</v>
      </c>
      <c r="N101" s="114" t="s">
        <v>16</v>
      </c>
      <c r="O101" s="114" t="s">
        <v>17</v>
      </c>
      <c r="P101" s="114" t="s">
        <v>18</v>
      </c>
      <c r="Q101" s="114" t="s">
        <v>19</v>
      </c>
      <c r="R101" s="114"/>
      <c r="S101" s="114"/>
      <c r="T101" s="114"/>
      <c r="U101" s="114"/>
      <c r="V101" s="114"/>
      <c r="W101" s="115" t="s">
        <v>20</v>
      </c>
      <c r="X101" s="3"/>
    </row>
    <row r="102" spans="1:24" ht="24.95" customHeight="1" x14ac:dyDescent="0.25">
      <c r="A102" s="113"/>
      <c r="B102" s="114"/>
      <c r="C102" s="114"/>
      <c r="D102" s="114"/>
      <c r="E102" s="114"/>
      <c r="F102" s="114"/>
      <c r="G102" s="31" t="s">
        <v>21</v>
      </c>
      <c r="H102" s="31" t="s">
        <v>21</v>
      </c>
      <c r="I102" s="31" t="s">
        <v>21</v>
      </c>
      <c r="J102" s="31" t="s">
        <v>22</v>
      </c>
      <c r="K102" s="31" t="s">
        <v>22</v>
      </c>
      <c r="L102" s="31" t="s">
        <v>22</v>
      </c>
      <c r="M102" s="114"/>
      <c r="N102" s="114"/>
      <c r="O102" s="114"/>
      <c r="P102" s="114"/>
      <c r="Q102" s="31" t="s">
        <v>21</v>
      </c>
      <c r="R102" s="31" t="s">
        <v>21</v>
      </c>
      <c r="S102" s="31" t="s">
        <v>21</v>
      </c>
      <c r="T102" s="31" t="s">
        <v>22</v>
      </c>
      <c r="U102" s="31" t="s">
        <v>22</v>
      </c>
      <c r="V102" s="31" t="s">
        <v>22</v>
      </c>
      <c r="W102" s="115"/>
      <c r="X102" s="3"/>
    </row>
    <row r="103" spans="1:24" ht="16.5" customHeight="1" x14ac:dyDescent="0.25">
      <c r="A103" s="5">
        <v>1</v>
      </c>
      <c r="B103" s="21" t="s">
        <v>97</v>
      </c>
      <c r="C103" s="13">
        <v>45738</v>
      </c>
      <c r="D103" s="20">
        <v>45805</v>
      </c>
      <c r="E103" s="21">
        <v>3</v>
      </c>
      <c r="F103" s="21">
        <v>0</v>
      </c>
      <c r="G103" s="21">
        <v>135</v>
      </c>
      <c r="H103" s="21"/>
      <c r="I103" s="21"/>
      <c r="J103" s="21">
        <v>124</v>
      </c>
      <c r="K103" s="21">
        <v>131</v>
      </c>
      <c r="L103" s="21"/>
      <c r="M103" s="21">
        <f>AVERAGE(K103,J103,G103)</f>
        <v>130</v>
      </c>
      <c r="N103" s="20">
        <v>45833</v>
      </c>
      <c r="O103" s="21">
        <v>3</v>
      </c>
      <c r="P103" s="21">
        <v>0</v>
      </c>
      <c r="Q103" s="21">
        <v>281</v>
      </c>
      <c r="R103" s="21"/>
      <c r="S103" s="21"/>
      <c r="T103" s="21">
        <v>287</v>
      </c>
      <c r="U103" s="21">
        <v>273</v>
      </c>
      <c r="V103" s="21"/>
      <c r="W103" s="40">
        <f>AVERAGE(U103,T103,Q103)</f>
        <v>280.33333333333331</v>
      </c>
      <c r="X103" s="38"/>
    </row>
    <row r="104" spans="1:24" ht="15" customHeight="1" x14ac:dyDescent="0.25">
      <c r="A104" s="5">
        <v>2</v>
      </c>
      <c r="B104" s="21" t="s">
        <v>79</v>
      </c>
      <c r="C104" s="13">
        <v>45884</v>
      </c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2"/>
      <c r="X104" s="38"/>
    </row>
    <row r="105" spans="1:24" ht="15.75" customHeight="1" x14ac:dyDescent="0.25">
      <c r="A105" s="5">
        <v>3</v>
      </c>
      <c r="B105" s="21"/>
      <c r="C105" s="8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2"/>
      <c r="X105" s="38"/>
    </row>
    <row r="106" spans="1:24" ht="17.25" customHeight="1" x14ac:dyDescent="0.25">
      <c r="A106" s="5">
        <v>4</v>
      </c>
      <c r="B106" s="21"/>
      <c r="C106" s="8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2"/>
      <c r="X106" s="38"/>
    </row>
    <row r="107" spans="1:24" ht="14.25" customHeight="1" x14ac:dyDescent="0.25">
      <c r="A107" s="5">
        <v>5</v>
      </c>
      <c r="B107" s="21"/>
      <c r="C107" s="8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2"/>
      <c r="X107" s="38"/>
    </row>
    <row r="108" spans="1:24" ht="16.5" customHeight="1" thickBot="1" x14ac:dyDescent="0.3">
      <c r="A108" s="7">
        <v>6</v>
      </c>
      <c r="B108" s="37"/>
      <c r="C108" s="10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9"/>
      <c r="X108" s="38"/>
    </row>
    <row r="109" spans="1:24" ht="20.100000000000001" customHeight="1" x14ac:dyDescent="0.25"/>
    <row r="110" spans="1:24" ht="20.100000000000001" customHeight="1" thickBot="1" x14ac:dyDescent="0.3"/>
    <row r="111" spans="1:24" ht="20.100000000000001" customHeight="1" x14ac:dyDescent="0.25">
      <c r="A111" s="100" t="s">
        <v>2</v>
      </c>
      <c r="B111" s="101"/>
      <c r="C111" s="111" t="s">
        <v>103</v>
      </c>
      <c r="D111" s="112"/>
      <c r="E111" s="111" t="s">
        <v>387</v>
      </c>
      <c r="F111" s="112"/>
      <c r="G111" s="101" t="s">
        <v>4</v>
      </c>
      <c r="H111" s="101"/>
      <c r="I111" s="102" t="s">
        <v>135</v>
      </c>
      <c r="J111" s="102"/>
      <c r="K111" s="102"/>
      <c r="L111" s="102"/>
      <c r="M111" s="102"/>
      <c r="N111" s="102"/>
      <c r="O111" s="101" t="s">
        <v>6</v>
      </c>
      <c r="P111" s="101"/>
      <c r="Q111" s="103"/>
      <c r="R111" s="104"/>
      <c r="S111" s="104"/>
      <c r="T111" s="104"/>
      <c r="U111" s="104"/>
      <c r="V111" s="104"/>
      <c r="W111" s="105"/>
      <c r="X111" s="1"/>
    </row>
    <row r="112" spans="1:24" ht="20.100000000000001" customHeight="1" x14ac:dyDescent="0.25">
      <c r="A112" s="106" t="s">
        <v>7</v>
      </c>
      <c r="B112" s="107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7"/>
      <c r="R112" s="107"/>
      <c r="S112" s="107"/>
      <c r="T112" s="107"/>
      <c r="U112" s="107"/>
      <c r="V112" s="107"/>
      <c r="W112" s="110"/>
      <c r="X112" s="1"/>
    </row>
    <row r="113" spans="1:24" ht="24.95" customHeight="1" x14ac:dyDescent="0.25">
      <c r="A113" s="113" t="s">
        <v>8</v>
      </c>
      <c r="B113" s="114" t="s">
        <v>9</v>
      </c>
      <c r="C113" s="114" t="s">
        <v>10</v>
      </c>
      <c r="D113" s="114" t="s">
        <v>11</v>
      </c>
      <c r="E113" s="114" t="s">
        <v>12</v>
      </c>
      <c r="F113" s="114" t="s">
        <v>13</v>
      </c>
      <c r="G113" s="114" t="s">
        <v>14</v>
      </c>
      <c r="H113" s="114"/>
      <c r="I113" s="114"/>
      <c r="J113" s="114"/>
      <c r="K113" s="114"/>
      <c r="L113" s="114"/>
      <c r="M113" s="114" t="s">
        <v>15</v>
      </c>
      <c r="N113" s="114" t="s">
        <v>16</v>
      </c>
      <c r="O113" s="114" t="s">
        <v>17</v>
      </c>
      <c r="P113" s="114" t="s">
        <v>18</v>
      </c>
      <c r="Q113" s="114" t="s">
        <v>19</v>
      </c>
      <c r="R113" s="114"/>
      <c r="S113" s="114"/>
      <c r="T113" s="114"/>
      <c r="U113" s="114"/>
      <c r="V113" s="114"/>
      <c r="W113" s="115" t="s">
        <v>20</v>
      </c>
      <c r="X113" s="3"/>
    </row>
    <row r="114" spans="1:24" ht="24.95" customHeight="1" x14ac:dyDescent="0.25">
      <c r="A114" s="113"/>
      <c r="B114" s="114"/>
      <c r="C114" s="114"/>
      <c r="D114" s="114"/>
      <c r="E114" s="114"/>
      <c r="F114" s="114"/>
      <c r="G114" s="31" t="s">
        <v>21</v>
      </c>
      <c r="H114" s="31" t="s">
        <v>21</v>
      </c>
      <c r="I114" s="31" t="s">
        <v>21</v>
      </c>
      <c r="J114" s="31" t="s">
        <v>22</v>
      </c>
      <c r="K114" s="31" t="s">
        <v>22</v>
      </c>
      <c r="L114" s="31" t="s">
        <v>22</v>
      </c>
      <c r="M114" s="114"/>
      <c r="N114" s="114"/>
      <c r="O114" s="114"/>
      <c r="P114" s="114"/>
      <c r="Q114" s="31" t="s">
        <v>21</v>
      </c>
      <c r="R114" s="31" t="s">
        <v>21</v>
      </c>
      <c r="S114" s="31" t="s">
        <v>21</v>
      </c>
      <c r="T114" s="31" t="s">
        <v>22</v>
      </c>
      <c r="U114" s="31" t="s">
        <v>22</v>
      </c>
      <c r="V114" s="31" t="s">
        <v>22</v>
      </c>
      <c r="W114" s="115"/>
      <c r="X114" s="3"/>
    </row>
    <row r="115" spans="1:24" ht="16.5" customHeight="1" x14ac:dyDescent="0.25">
      <c r="A115" s="5">
        <v>1</v>
      </c>
      <c r="B115" s="21" t="s">
        <v>97</v>
      </c>
      <c r="C115" s="13">
        <v>45738</v>
      </c>
      <c r="D115" s="20">
        <v>45819</v>
      </c>
      <c r="E115" s="21">
        <v>3</v>
      </c>
      <c r="F115" s="21">
        <v>0</v>
      </c>
      <c r="G115" s="21">
        <v>140</v>
      </c>
      <c r="H115" s="21">
        <v>137</v>
      </c>
      <c r="I115" s="21"/>
      <c r="J115" s="21">
        <v>125</v>
      </c>
      <c r="K115" s="21"/>
      <c r="L115" s="21"/>
      <c r="M115" s="21">
        <f>AVERAGE(G115:L115)</f>
        <v>134</v>
      </c>
      <c r="N115" s="20">
        <v>45848</v>
      </c>
      <c r="O115" s="21">
        <v>3</v>
      </c>
      <c r="P115" s="21">
        <v>0</v>
      </c>
      <c r="Q115" s="21">
        <v>237</v>
      </c>
      <c r="R115" s="21">
        <v>220</v>
      </c>
      <c r="S115" s="21"/>
      <c r="T115" s="21">
        <v>196</v>
      </c>
      <c r="U115" s="21"/>
      <c r="V115" s="21"/>
      <c r="W115" s="40">
        <f>AVERAGE(Q115:V115)</f>
        <v>217.66666666666666</v>
      </c>
    </row>
    <row r="116" spans="1:24" ht="15" customHeight="1" x14ac:dyDescent="0.25">
      <c r="A116" s="5">
        <v>2</v>
      </c>
      <c r="B116" s="21" t="s">
        <v>79</v>
      </c>
      <c r="C116" s="13">
        <v>45884</v>
      </c>
      <c r="D116" s="21" t="s">
        <v>371</v>
      </c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40"/>
    </row>
    <row r="117" spans="1:24" ht="16.5" customHeight="1" x14ac:dyDescent="0.25">
      <c r="A117" s="5">
        <v>3</v>
      </c>
      <c r="B117" s="21" t="s">
        <v>79</v>
      </c>
      <c r="C117" s="13">
        <v>46039</v>
      </c>
      <c r="D117" s="20">
        <v>46118</v>
      </c>
      <c r="E117" s="21">
        <v>3</v>
      </c>
      <c r="F117" s="21">
        <v>0</v>
      </c>
      <c r="G117" s="21">
        <v>120</v>
      </c>
      <c r="H117" s="21">
        <v>125</v>
      </c>
      <c r="I117" s="21"/>
      <c r="J117" s="21">
        <v>122</v>
      </c>
      <c r="K117" s="21"/>
      <c r="L117" s="21"/>
      <c r="M117" s="80">
        <f>AVERAGE(G117:L117)</f>
        <v>122.33333333333333</v>
      </c>
      <c r="N117" s="20">
        <v>46133</v>
      </c>
      <c r="O117" s="21">
        <v>3</v>
      </c>
      <c r="P117" s="21">
        <v>0</v>
      </c>
      <c r="Q117" s="21">
        <v>238</v>
      </c>
      <c r="R117" s="21">
        <v>230</v>
      </c>
      <c r="S117" s="21"/>
      <c r="T117" s="21">
        <v>200</v>
      </c>
      <c r="U117" s="21"/>
      <c r="V117" s="21"/>
      <c r="W117" s="68">
        <f>AVERAGE(Q117:V117)</f>
        <v>222.66666666666666</v>
      </c>
    </row>
    <row r="118" spans="1:24" ht="19.5" customHeight="1" x14ac:dyDescent="0.25">
      <c r="A118" s="5">
        <v>4</v>
      </c>
      <c r="B118" s="21" t="s">
        <v>79</v>
      </c>
      <c r="C118" s="13">
        <v>46148</v>
      </c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40"/>
    </row>
    <row r="119" spans="1:24" ht="18" customHeight="1" x14ac:dyDescent="0.25">
      <c r="A119" s="5">
        <v>5</v>
      </c>
      <c r="B119" s="21"/>
      <c r="C119" s="8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40"/>
    </row>
    <row r="120" spans="1:24" ht="16.5" customHeight="1" thickBot="1" x14ac:dyDescent="0.3">
      <c r="A120" s="7">
        <v>6</v>
      </c>
      <c r="B120" s="37"/>
      <c r="C120" s="10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43"/>
    </row>
    <row r="121" spans="1:24" ht="20.100000000000001" customHeight="1" x14ac:dyDescent="0.25"/>
    <row r="122" spans="1:24" ht="20.100000000000001" customHeight="1" thickBot="1" x14ac:dyDescent="0.3"/>
    <row r="123" spans="1:24" ht="20.100000000000001" customHeight="1" x14ac:dyDescent="0.25">
      <c r="A123" s="100" t="s">
        <v>2</v>
      </c>
      <c r="B123" s="101"/>
      <c r="C123" s="178" t="s">
        <v>104</v>
      </c>
      <c r="D123" s="179"/>
      <c r="E123" s="111" t="s">
        <v>387</v>
      </c>
      <c r="F123" s="112"/>
      <c r="G123" s="101" t="s">
        <v>4</v>
      </c>
      <c r="H123" s="101"/>
      <c r="I123" s="102" t="s">
        <v>135</v>
      </c>
      <c r="J123" s="102"/>
      <c r="K123" s="102"/>
      <c r="L123" s="102"/>
      <c r="M123" s="102"/>
      <c r="N123" s="102"/>
      <c r="O123" s="101" t="s">
        <v>6</v>
      </c>
      <c r="P123" s="101"/>
      <c r="Q123" s="103"/>
      <c r="R123" s="104"/>
      <c r="S123" s="104"/>
      <c r="T123" s="104"/>
      <c r="U123" s="104"/>
      <c r="V123" s="104"/>
      <c r="W123" s="105"/>
      <c r="X123" s="1"/>
    </row>
    <row r="124" spans="1:24" ht="20.100000000000001" customHeight="1" x14ac:dyDescent="0.25">
      <c r="A124" s="106" t="s">
        <v>7</v>
      </c>
      <c r="B124" s="107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7"/>
      <c r="R124" s="107"/>
      <c r="S124" s="107"/>
      <c r="T124" s="107"/>
      <c r="U124" s="107"/>
      <c r="V124" s="107"/>
      <c r="W124" s="110"/>
      <c r="X124" s="1"/>
    </row>
    <row r="125" spans="1:24" ht="24.95" customHeight="1" x14ac:dyDescent="0.25">
      <c r="A125" s="113" t="s">
        <v>8</v>
      </c>
      <c r="B125" s="114" t="s">
        <v>9</v>
      </c>
      <c r="C125" s="114" t="s">
        <v>10</v>
      </c>
      <c r="D125" s="114" t="s">
        <v>11</v>
      </c>
      <c r="E125" s="114" t="s">
        <v>12</v>
      </c>
      <c r="F125" s="114" t="s">
        <v>13</v>
      </c>
      <c r="G125" s="114" t="s">
        <v>14</v>
      </c>
      <c r="H125" s="114"/>
      <c r="I125" s="114"/>
      <c r="J125" s="114"/>
      <c r="K125" s="114"/>
      <c r="L125" s="114"/>
      <c r="M125" s="114" t="s">
        <v>15</v>
      </c>
      <c r="N125" s="114" t="s">
        <v>16</v>
      </c>
      <c r="O125" s="114" t="s">
        <v>17</v>
      </c>
      <c r="P125" s="114" t="s">
        <v>18</v>
      </c>
      <c r="Q125" s="114" t="s">
        <v>19</v>
      </c>
      <c r="R125" s="114"/>
      <c r="S125" s="114"/>
      <c r="T125" s="114"/>
      <c r="U125" s="114"/>
      <c r="V125" s="114"/>
      <c r="W125" s="115" t="s">
        <v>20</v>
      </c>
      <c r="X125" s="3"/>
    </row>
    <row r="126" spans="1:24" ht="24.95" customHeight="1" x14ac:dyDescent="0.25">
      <c r="A126" s="113"/>
      <c r="B126" s="114"/>
      <c r="C126" s="114"/>
      <c r="D126" s="114"/>
      <c r="E126" s="114"/>
      <c r="F126" s="114"/>
      <c r="G126" s="31" t="s">
        <v>21</v>
      </c>
      <c r="H126" s="31" t="s">
        <v>21</v>
      </c>
      <c r="I126" s="31" t="s">
        <v>21</v>
      </c>
      <c r="J126" s="31" t="s">
        <v>22</v>
      </c>
      <c r="K126" s="31" t="s">
        <v>22</v>
      </c>
      <c r="L126" s="31" t="s">
        <v>22</v>
      </c>
      <c r="M126" s="114"/>
      <c r="N126" s="114"/>
      <c r="O126" s="114"/>
      <c r="P126" s="114"/>
      <c r="Q126" s="31" t="s">
        <v>21</v>
      </c>
      <c r="R126" s="31" t="s">
        <v>21</v>
      </c>
      <c r="S126" s="31" t="s">
        <v>21</v>
      </c>
      <c r="T126" s="31" t="s">
        <v>22</v>
      </c>
      <c r="U126" s="31" t="s">
        <v>22</v>
      </c>
      <c r="V126" s="31" t="s">
        <v>22</v>
      </c>
      <c r="W126" s="115"/>
      <c r="X126" s="3"/>
    </row>
    <row r="127" spans="1:24" ht="15" customHeight="1" x14ac:dyDescent="0.25">
      <c r="A127" s="5">
        <v>1</v>
      </c>
      <c r="B127" s="21" t="s">
        <v>97</v>
      </c>
      <c r="C127" s="13">
        <v>45738</v>
      </c>
      <c r="D127" s="8" t="s">
        <v>371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spans="1:24" ht="15" customHeight="1" x14ac:dyDescent="0.25">
      <c r="A128" s="5">
        <v>2</v>
      </c>
      <c r="B128" s="21" t="s">
        <v>79</v>
      </c>
      <c r="C128" s="13">
        <v>45884</v>
      </c>
      <c r="D128" s="8" t="s">
        <v>373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spans="1:24" ht="15" customHeight="1" x14ac:dyDescent="0.25">
      <c r="A129" s="5">
        <v>3</v>
      </c>
      <c r="B129" s="21" t="s">
        <v>79</v>
      </c>
      <c r="C129" s="13">
        <v>46039</v>
      </c>
      <c r="D129" s="13">
        <v>46122</v>
      </c>
      <c r="E129" s="21">
        <v>3</v>
      </c>
      <c r="F129" s="21">
        <v>0</v>
      </c>
      <c r="G129" s="21">
        <v>121</v>
      </c>
      <c r="H129" s="21">
        <v>125</v>
      </c>
      <c r="I129" s="21"/>
      <c r="J129" s="21">
        <v>128</v>
      </c>
      <c r="K129" s="21"/>
      <c r="L129" s="21"/>
      <c r="M129" s="80">
        <f>AVERAGE(G129:L129)</f>
        <v>124.66666666666667</v>
      </c>
      <c r="N129" s="20">
        <v>46139</v>
      </c>
      <c r="O129" s="21">
        <v>3</v>
      </c>
      <c r="P129" s="21">
        <v>0</v>
      </c>
      <c r="Q129" s="21">
        <v>200</v>
      </c>
      <c r="R129" s="21">
        <v>220</v>
      </c>
      <c r="S129" s="21"/>
      <c r="T129" s="21">
        <v>240</v>
      </c>
      <c r="U129" s="21"/>
      <c r="V129" s="21"/>
      <c r="W129" s="22">
        <f>AVERAGE(Q129:V129)</f>
        <v>220</v>
      </c>
    </row>
    <row r="130" spans="1:24" ht="14.25" customHeight="1" x14ac:dyDescent="0.25">
      <c r="A130" s="5">
        <v>4</v>
      </c>
      <c r="B130" s="21" t="s">
        <v>79</v>
      </c>
      <c r="C130" s="13">
        <v>46148</v>
      </c>
      <c r="D130" s="8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2"/>
    </row>
    <row r="131" spans="1:24" ht="14.25" customHeight="1" x14ac:dyDescent="0.25">
      <c r="A131" s="5">
        <v>5</v>
      </c>
      <c r="B131" s="21"/>
      <c r="C131" s="8"/>
      <c r="D131" s="8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2"/>
    </row>
    <row r="132" spans="1:24" ht="16.5" customHeight="1" thickBot="1" x14ac:dyDescent="0.3">
      <c r="A132" s="7">
        <v>6</v>
      </c>
      <c r="B132" s="37"/>
      <c r="C132" s="10"/>
      <c r="D132" s="10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9"/>
    </row>
    <row r="133" spans="1:24" ht="20.100000000000001" customHeight="1" x14ac:dyDescent="0.25"/>
    <row r="134" spans="1:24" ht="20.100000000000001" customHeight="1" thickBot="1" x14ac:dyDescent="0.3"/>
    <row r="135" spans="1:24" ht="20.100000000000001" customHeight="1" x14ac:dyDescent="0.25">
      <c r="A135" s="100" t="s">
        <v>2</v>
      </c>
      <c r="B135" s="101"/>
      <c r="C135" s="186" t="s">
        <v>105</v>
      </c>
      <c r="D135" s="187"/>
      <c r="E135" s="111" t="s">
        <v>388</v>
      </c>
      <c r="F135" s="112"/>
      <c r="G135" s="101" t="s">
        <v>4</v>
      </c>
      <c r="H135" s="101"/>
      <c r="I135" s="102" t="s">
        <v>135</v>
      </c>
      <c r="J135" s="102"/>
      <c r="K135" s="102"/>
      <c r="L135" s="102"/>
      <c r="M135" s="102"/>
      <c r="N135" s="102"/>
      <c r="O135" s="101" t="s">
        <v>6</v>
      </c>
      <c r="P135" s="101"/>
      <c r="Q135" s="103"/>
      <c r="R135" s="104"/>
      <c r="S135" s="104"/>
      <c r="T135" s="104"/>
      <c r="U135" s="104"/>
      <c r="V135" s="104"/>
      <c r="W135" s="105"/>
      <c r="X135" s="1"/>
    </row>
    <row r="136" spans="1:24" ht="20.100000000000001" customHeight="1" x14ac:dyDescent="0.25">
      <c r="A136" s="106" t="s">
        <v>7</v>
      </c>
      <c r="B136" s="107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7"/>
      <c r="R136" s="107"/>
      <c r="S136" s="107"/>
      <c r="T136" s="107"/>
      <c r="U136" s="107"/>
      <c r="V136" s="107"/>
      <c r="W136" s="110"/>
      <c r="X136" s="1"/>
    </row>
    <row r="137" spans="1:24" ht="24.95" customHeight="1" x14ac:dyDescent="0.25">
      <c r="A137" s="113" t="s">
        <v>8</v>
      </c>
      <c r="B137" s="114" t="s">
        <v>9</v>
      </c>
      <c r="C137" s="114" t="s">
        <v>10</v>
      </c>
      <c r="D137" s="114" t="s">
        <v>11</v>
      </c>
      <c r="E137" s="114" t="s">
        <v>12</v>
      </c>
      <c r="F137" s="114" t="s">
        <v>13</v>
      </c>
      <c r="G137" s="114" t="s">
        <v>14</v>
      </c>
      <c r="H137" s="114"/>
      <c r="I137" s="114"/>
      <c r="J137" s="114"/>
      <c r="K137" s="114"/>
      <c r="L137" s="114"/>
      <c r="M137" s="114" t="s">
        <v>15</v>
      </c>
      <c r="N137" s="114" t="s">
        <v>16</v>
      </c>
      <c r="O137" s="114" t="s">
        <v>17</v>
      </c>
      <c r="P137" s="114" t="s">
        <v>18</v>
      </c>
      <c r="Q137" s="114" t="s">
        <v>19</v>
      </c>
      <c r="R137" s="114"/>
      <c r="S137" s="114"/>
      <c r="T137" s="114"/>
      <c r="U137" s="114"/>
      <c r="V137" s="114"/>
      <c r="W137" s="115" t="s">
        <v>20</v>
      </c>
      <c r="X137" s="3"/>
    </row>
    <row r="138" spans="1:24" ht="24.95" customHeight="1" x14ac:dyDescent="0.25">
      <c r="A138" s="113"/>
      <c r="B138" s="114"/>
      <c r="C138" s="114"/>
      <c r="D138" s="114"/>
      <c r="E138" s="114"/>
      <c r="F138" s="114"/>
      <c r="G138" s="31" t="s">
        <v>21</v>
      </c>
      <c r="H138" s="31" t="s">
        <v>21</v>
      </c>
      <c r="I138" s="31" t="s">
        <v>21</v>
      </c>
      <c r="J138" s="31" t="s">
        <v>22</v>
      </c>
      <c r="K138" s="31" t="s">
        <v>22</v>
      </c>
      <c r="L138" s="31" t="s">
        <v>22</v>
      </c>
      <c r="M138" s="114"/>
      <c r="N138" s="114"/>
      <c r="O138" s="114"/>
      <c r="P138" s="114"/>
      <c r="Q138" s="31" t="s">
        <v>21</v>
      </c>
      <c r="R138" s="31" t="s">
        <v>21</v>
      </c>
      <c r="S138" s="31" t="s">
        <v>21</v>
      </c>
      <c r="T138" s="31" t="s">
        <v>22</v>
      </c>
      <c r="U138" s="31" t="s">
        <v>22</v>
      </c>
      <c r="V138" s="31" t="s">
        <v>22</v>
      </c>
      <c r="W138" s="115"/>
      <c r="X138" s="3"/>
    </row>
    <row r="139" spans="1:24" ht="15" customHeight="1" x14ac:dyDescent="0.25">
      <c r="A139" s="5">
        <v>1</v>
      </c>
      <c r="B139" s="21" t="s">
        <v>235</v>
      </c>
      <c r="C139" s="13">
        <v>45738</v>
      </c>
      <c r="D139" s="8" t="s">
        <v>371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</row>
    <row r="140" spans="1:24" ht="15.75" customHeight="1" x14ac:dyDescent="0.25">
      <c r="A140" s="5">
        <v>2</v>
      </c>
      <c r="B140" s="21" t="s">
        <v>357</v>
      </c>
      <c r="C140" s="13">
        <v>45851</v>
      </c>
      <c r="D140" s="13">
        <v>45929</v>
      </c>
      <c r="E140" s="21">
        <v>3</v>
      </c>
      <c r="F140" s="21">
        <v>0</v>
      </c>
      <c r="G140" s="21">
        <v>96</v>
      </c>
      <c r="H140" s="21">
        <v>92</v>
      </c>
      <c r="I140" s="21"/>
      <c r="J140" s="21">
        <v>102</v>
      </c>
      <c r="K140" s="21"/>
      <c r="L140" s="21"/>
      <c r="M140" s="41">
        <f>AVERAGE(G140:L140)</f>
        <v>96.666666666666671</v>
      </c>
      <c r="N140" s="20">
        <v>45944</v>
      </c>
      <c r="O140" s="21">
        <v>3</v>
      </c>
      <c r="P140" s="21">
        <v>1</v>
      </c>
      <c r="Q140" s="21">
        <v>153</v>
      </c>
      <c r="R140" s="21"/>
      <c r="S140" s="21"/>
      <c r="T140" s="21">
        <v>182</v>
      </c>
      <c r="U140" s="21"/>
      <c r="V140" s="21"/>
      <c r="W140" s="22">
        <f>AVERAGE(Q140:V140)</f>
        <v>167.5</v>
      </c>
    </row>
    <row r="141" spans="1:24" ht="13.5" customHeight="1" x14ac:dyDescent="0.25">
      <c r="A141" s="5">
        <v>3</v>
      </c>
      <c r="B141" s="21" t="s">
        <v>97</v>
      </c>
      <c r="C141" s="13">
        <v>45950</v>
      </c>
      <c r="D141" s="13">
        <v>46034</v>
      </c>
      <c r="E141" s="21">
        <v>3</v>
      </c>
      <c r="F141" s="21">
        <v>0</v>
      </c>
      <c r="G141" s="21">
        <v>130</v>
      </c>
      <c r="H141" s="21">
        <v>128</v>
      </c>
      <c r="I141" s="21"/>
      <c r="J141" s="21">
        <v>132</v>
      </c>
      <c r="K141" s="21"/>
      <c r="L141" s="21"/>
      <c r="M141" s="41">
        <f>AVERAGE(G141:L141)</f>
        <v>130</v>
      </c>
      <c r="N141" s="20">
        <v>46055</v>
      </c>
      <c r="O141" s="21">
        <v>2</v>
      </c>
      <c r="P141" s="21">
        <v>1</v>
      </c>
      <c r="Q141" s="21">
        <v>259</v>
      </c>
      <c r="R141" s="21"/>
      <c r="S141" s="21"/>
      <c r="T141" s="21">
        <v>231</v>
      </c>
      <c r="U141" s="21"/>
      <c r="V141" s="21"/>
      <c r="W141" s="22">
        <f>AVERAGE(Q141:V141)</f>
        <v>245</v>
      </c>
    </row>
    <row r="142" spans="1:24" ht="16.5" customHeight="1" x14ac:dyDescent="0.25">
      <c r="A142" s="5">
        <v>4</v>
      </c>
      <c r="B142" s="21" t="s">
        <v>78</v>
      </c>
      <c r="C142" s="13">
        <v>46039</v>
      </c>
      <c r="D142" s="8" t="s">
        <v>428</v>
      </c>
      <c r="E142" s="21"/>
      <c r="F142" s="21"/>
      <c r="G142" s="21"/>
      <c r="H142" s="21"/>
      <c r="I142" s="21"/>
      <c r="J142" s="21"/>
      <c r="K142" s="21"/>
      <c r="L142" s="21"/>
      <c r="M142" s="41"/>
      <c r="N142" s="21"/>
      <c r="O142" s="21"/>
      <c r="P142" s="21"/>
      <c r="Q142" s="21"/>
      <c r="R142" s="21"/>
      <c r="S142" s="21"/>
      <c r="T142" s="21"/>
      <c r="U142" s="21"/>
      <c r="V142" s="21"/>
      <c r="W142" s="22"/>
    </row>
    <row r="143" spans="1:24" ht="16.5" customHeight="1" x14ac:dyDescent="0.25">
      <c r="A143" s="5">
        <v>5</v>
      </c>
      <c r="B143" s="21" t="s">
        <v>78</v>
      </c>
      <c r="C143" s="13">
        <v>46148</v>
      </c>
      <c r="D143" s="8"/>
      <c r="E143" s="21"/>
      <c r="F143" s="21"/>
      <c r="G143" s="21"/>
      <c r="H143" s="21"/>
      <c r="I143" s="21"/>
      <c r="J143" s="21"/>
      <c r="K143" s="21"/>
      <c r="L143" s="21"/>
      <c r="M143" s="41"/>
      <c r="N143" s="21"/>
      <c r="O143" s="21"/>
      <c r="P143" s="21"/>
      <c r="Q143" s="21"/>
      <c r="R143" s="21"/>
      <c r="S143" s="21"/>
      <c r="T143" s="21"/>
      <c r="U143" s="21"/>
      <c r="V143" s="21"/>
      <c r="W143" s="22"/>
    </row>
    <row r="144" spans="1:24" ht="14.25" customHeight="1" thickBot="1" x14ac:dyDescent="0.3">
      <c r="A144" s="7">
        <v>6</v>
      </c>
      <c r="B144" s="37"/>
      <c r="C144" s="10"/>
      <c r="D144" s="10"/>
      <c r="E144" s="37"/>
      <c r="F144" s="37"/>
      <c r="G144" s="37"/>
      <c r="H144" s="37"/>
      <c r="I144" s="37"/>
      <c r="J144" s="37"/>
      <c r="K144" s="37"/>
      <c r="L144" s="37"/>
      <c r="M144" s="42"/>
      <c r="N144" s="37"/>
      <c r="O144" s="37"/>
      <c r="P144" s="37"/>
      <c r="Q144" s="37"/>
      <c r="R144" s="37"/>
      <c r="S144" s="37"/>
      <c r="T144" s="37"/>
      <c r="U144" s="37"/>
      <c r="V144" s="37"/>
      <c r="W144" s="39"/>
    </row>
    <row r="145" spans="1:24" ht="20.100000000000001" customHeight="1" x14ac:dyDescent="0.25"/>
    <row r="146" spans="1:24" ht="20.100000000000001" customHeight="1" thickBot="1" x14ac:dyDescent="0.3"/>
    <row r="147" spans="1:24" ht="20.100000000000001" customHeight="1" x14ac:dyDescent="0.25">
      <c r="A147" s="100" t="s">
        <v>2</v>
      </c>
      <c r="B147" s="101"/>
      <c r="C147" s="178" t="s">
        <v>106</v>
      </c>
      <c r="D147" s="179"/>
      <c r="E147" s="111" t="s">
        <v>388</v>
      </c>
      <c r="F147" s="112"/>
      <c r="G147" s="101" t="s">
        <v>4</v>
      </c>
      <c r="H147" s="101"/>
      <c r="I147" s="102" t="s">
        <v>135</v>
      </c>
      <c r="J147" s="102"/>
      <c r="K147" s="102"/>
      <c r="L147" s="102"/>
      <c r="M147" s="102"/>
      <c r="N147" s="102"/>
      <c r="O147" s="101" t="s">
        <v>6</v>
      </c>
      <c r="P147" s="101"/>
      <c r="Q147" s="103"/>
      <c r="R147" s="104"/>
      <c r="S147" s="104"/>
      <c r="T147" s="104"/>
      <c r="U147" s="104"/>
      <c r="V147" s="104"/>
      <c r="W147" s="105"/>
      <c r="X147" s="1"/>
    </row>
    <row r="148" spans="1:24" ht="20.100000000000001" customHeight="1" x14ac:dyDescent="0.25">
      <c r="A148" s="106" t="s">
        <v>7</v>
      </c>
      <c r="B148" s="107"/>
      <c r="C148" s="116" t="s">
        <v>44</v>
      </c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09"/>
      <c r="P148" s="109"/>
      <c r="Q148" s="107"/>
      <c r="R148" s="107"/>
      <c r="S148" s="107"/>
      <c r="T148" s="107"/>
      <c r="U148" s="107"/>
      <c r="V148" s="107"/>
      <c r="W148" s="110"/>
      <c r="X148" s="1"/>
    </row>
    <row r="149" spans="1:24" ht="24.95" customHeight="1" x14ac:dyDescent="0.25">
      <c r="A149" s="113" t="s">
        <v>8</v>
      </c>
      <c r="B149" s="114" t="s">
        <v>9</v>
      </c>
      <c r="C149" s="114" t="s">
        <v>10</v>
      </c>
      <c r="D149" s="114" t="s">
        <v>11</v>
      </c>
      <c r="E149" s="114" t="s">
        <v>12</v>
      </c>
      <c r="F149" s="114" t="s">
        <v>13</v>
      </c>
      <c r="G149" s="114" t="s">
        <v>14</v>
      </c>
      <c r="H149" s="114"/>
      <c r="I149" s="114"/>
      <c r="J149" s="114"/>
      <c r="K149" s="114"/>
      <c r="L149" s="114"/>
      <c r="M149" s="114" t="s">
        <v>15</v>
      </c>
      <c r="N149" s="114" t="s">
        <v>16</v>
      </c>
      <c r="O149" s="114" t="s">
        <v>17</v>
      </c>
      <c r="P149" s="114" t="s">
        <v>18</v>
      </c>
      <c r="Q149" s="114" t="s">
        <v>19</v>
      </c>
      <c r="R149" s="114"/>
      <c r="S149" s="114"/>
      <c r="T149" s="114"/>
      <c r="U149" s="114"/>
      <c r="V149" s="114"/>
      <c r="W149" s="115" t="s">
        <v>20</v>
      </c>
      <c r="X149" s="3"/>
    </row>
    <row r="150" spans="1:24" ht="24.95" customHeight="1" x14ac:dyDescent="0.25">
      <c r="A150" s="113"/>
      <c r="B150" s="114"/>
      <c r="C150" s="114"/>
      <c r="D150" s="114"/>
      <c r="E150" s="114"/>
      <c r="F150" s="114"/>
      <c r="G150" s="31" t="s">
        <v>21</v>
      </c>
      <c r="H150" s="31" t="s">
        <v>21</v>
      </c>
      <c r="I150" s="31" t="s">
        <v>21</v>
      </c>
      <c r="J150" s="31" t="s">
        <v>22</v>
      </c>
      <c r="K150" s="31" t="s">
        <v>22</v>
      </c>
      <c r="L150" s="31" t="s">
        <v>22</v>
      </c>
      <c r="M150" s="114"/>
      <c r="N150" s="114"/>
      <c r="O150" s="114"/>
      <c r="P150" s="114"/>
      <c r="Q150" s="31" t="s">
        <v>21</v>
      </c>
      <c r="R150" s="31" t="s">
        <v>21</v>
      </c>
      <c r="S150" s="31" t="s">
        <v>21</v>
      </c>
      <c r="T150" s="31" t="s">
        <v>22</v>
      </c>
      <c r="U150" s="31" t="s">
        <v>22</v>
      </c>
      <c r="V150" s="31" t="s">
        <v>22</v>
      </c>
      <c r="W150" s="115"/>
      <c r="X150" s="3"/>
    </row>
    <row r="151" spans="1:24" ht="15" customHeight="1" x14ac:dyDescent="0.25">
      <c r="A151" s="5">
        <v>1</v>
      </c>
      <c r="B151" s="21" t="s">
        <v>235</v>
      </c>
      <c r="C151" s="13">
        <v>45738</v>
      </c>
      <c r="D151" s="13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9"/>
    </row>
    <row r="152" spans="1:24" ht="15" customHeight="1" x14ac:dyDescent="0.25">
      <c r="A152" s="5">
        <v>2</v>
      </c>
      <c r="B152" s="21" t="s">
        <v>357</v>
      </c>
      <c r="C152" s="13">
        <v>45851</v>
      </c>
      <c r="D152" s="13">
        <v>45920</v>
      </c>
      <c r="E152" s="21">
        <v>4</v>
      </c>
      <c r="F152" s="21">
        <v>1</v>
      </c>
      <c r="G152" s="21">
        <v>119</v>
      </c>
      <c r="H152" s="21">
        <v>114</v>
      </c>
      <c r="I152" s="21"/>
      <c r="J152" s="21">
        <v>115</v>
      </c>
      <c r="K152" s="21"/>
      <c r="L152" s="21"/>
      <c r="M152" s="21">
        <f>AVERAGE(G152:L152)</f>
        <v>116</v>
      </c>
      <c r="N152" s="20">
        <v>45944</v>
      </c>
      <c r="O152" s="21">
        <v>2</v>
      </c>
      <c r="P152" s="21">
        <v>1</v>
      </c>
      <c r="Q152" s="21">
        <v>307</v>
      </c>
      <c r="R152" s="21"/>
      <c r="S152" s="21"/>
      <c r="T152" s="21">
        <v>248</v>
      </c>
      <c r="U152" s="21"/>
      <c r="V152" s="21"/>
      <c r="W152" s="22">
        <f>AVERAGE(Q152:V152)</f>
        <v>277.5</v>
      </c>
    </row>
    <row r="153" spans="1:24" ht="15" customHeight="1" x14ac:dyDescent="0.25">
      <c r="A153" s="5">
        <v>3</v>
      </c>
      <c r="B153" s="21" t="s">
        <v>97</v>
      </c>
      <c r="C153" s="13">
        <v>45950</v>
      </c>
      <c r="D153" s="8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2"/>
    </row>
    <row r="154" spans="1:24" ht="16.5" customHeight="1" x14ac:dyDescent="0.25">
      <c r="A154" s="5">
        <v>4</v>
      </c>
      <c r="B154" s="21"/>
      <c r="C154" s="8"/>
      <c r="D154" s="8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2"/>
    </row>
    <row r="155" spans="1:24" ht="15" customHeight="1" x14ac:dyDescent="0.25">
      <c r="A155" s="5">
        <v>5</v>
      </c>
      <c r="B155" s="21"/>
      <c r="C155" s="8"/>
      <c r="D155" s="8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2"/>
    </row>
    <row r="156" spans="1:24" ht="15.75" customHeight="1" thickBot="1" x14ac:dyDescent="0.3">
      <c r="A156" s="7">
        <v>6</v>
      </c>
      <c r="B156" s="37"/>
      <c r="C156" s="10"/>
      <c r="D156" s="10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9"/>
    </row>
    <row r="157" spans="1:24" ht="20.100000000000001" customHeight="1" x14ac:dyDescent="0.25"/>
    <row r="158" spans="1:24" ht="20.100000000000001" customHeight="1" thickBot="1" x14ac:dyDescent="0.3"/>
    <row r="159" spans="1:24" ht="20.100000000000001" customHeight="1" x14ac:dyDescent="0.25">
      <c r="A159" s="100" t="s">
        <v>2</v>
      </c>
      <c r="B159" s="101"/>
      <c r="C159" s="178" t="s">
        <v>107</v>
      </c>
      <c r="D159" s="179"/>
      <c r="E159" s="111" t="s">
        <v>389</v>
      </c>
      <c r="F159" s="112"/>
      <c r="G159" s="101" t="s">
        <v>4</v>
      </c>
      <c r="H159" s="101"/>
      <c r="I159" s="102" t="s">
        <v>135</v>
      </c>
      <c r="J159" s="102"/>
      <c r="K159" s="102"/>
      <c r="L159" s="102"/>
      <c r="M159" s="102"/>
      <c r="N159" s="102"/>
      <c r="O159" s="101" t="s">
        <v>6</v>
      </c>
      <c r="P159" s="101"/>
      <c r="Q159" s="103"/>
      <c r="R159" s="104"/>
      <c r="S159" s="104"/>
      <c r="T159" s="104"/>
      <c r="U159" s="104"/>
      <c r="V159" s="104"/>
      <c r="W159" s="105"/>
      <c r="X159" s="1"/>
    </row>
    <row r="160" spans="1:24" ht="20.100000000000001" customHeight="1" x14ac:dyDescent="0.25">
      <c r="A160" s="106" t="s">
        <v>7</v>
      </c>
      <c r="B160" s="107"/>
      <c r="C160" s="116" t="s">
        <v>44</v>
      </c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09"/>
      <c r="P160" s="109"/>
      <c r="Q160" s="107"/>
      <c r="R160" s="107"/>
      <c r="S160" s="107"/>
      <c r="T160" s="107"/>
      <c r="U160" s="107"/>
      <c r="V160" s="107"/>
      <c r="W160" s="110"/>
      <c r="X160" s="1"/>
    </row>
    <row r="161" spans="1:24" ht="24.95" customHeight="1" x14ac:dyDescent="0.25">
      <c r="A161" s="113" t="s">
        <v>8</v>
      </c>
      <c r="B161" s="114" t="s">
        <v>9</v>
      </c>
      <c r="C161" s="114" t="s">
        <v>10</v>
      </c>
      <c r="D161" s="114" t="s">
        <v>11</v>
      </c>
      <c r="E161" s="114" t="s">
        <v>12</v>
      </c>
      <c r="F161" s="114" t="s">
        <v>13</v>
      </c>
      <c r="G161" s="114" t="s">
        <v>14</v>
      </c>
      <c r="H161" s="114"/>
      <c r="I161" s="114"/>
      <c r="J161" s="114"/>
      <c r="K161" s="114"/>
      <c r="L161" s="114"/>
      <c r="M161" s="114" t="s">
        <v>15</v>
      </c>
      <c r="N161" s="114" t="s">
        <v>16</v>
      </c>
      <c r="O161" s="114" t="s">
        <v>17</v>
      </c>
      <c r="P161" s="114" t="s">
        <v>18</v>
      </c>
      <c r="Q161" s="114" t="s">
        <v>19</v>
      </c>
      <c r="R161" s="114"/>
      <c r="S161" s="114"/>
      <c r="T161" s="114"/>
      <c r="U161" s="114"/>
      <c r="V161" s="114"/>
      <c r="W161" s="115" t="s">
        <v>20</v>
      </c>
      <c r="X161" s="3"/>
    </row>
    <row r="162" spans="1:24" ht="24.95" customHeight="1" x14ac:dyDescent="0.25">
      <c r="A162" s="113"/>
      <c r="B162" s="114"/>
      <c r="C162" s="114"/>
      <c r="D162" s="114"/>
      <c r="E162" s="114"/>
      <c r="F162" s="114"/>
      <c r="G162" s="31" t="s">
        <v>21</v>
      </c>
      <c r="H162" s="31" t="s">
        <v>21</v>
      </c>
      <c r="I162" s="31" t="s">
        <v>21</v>
      </c>
      <c r="J162" s="31" t="s">
        <v>22</v>
      </c>
      <c r="K162" s="31" t="s">
        <v>22</v>
      </c>
      <c r="L162" s="31" t="s">
        <v>22</v>
      </c>
      <c r="M162" s="114"/>
      <c r="N162" s="114"/>
      <c r="O162" s="114"/>
      <c r="P162" s="114"/>
      <c r="Q162" s="31" t="s">
        <v>21</v>
      </c>
      <c r="R162" s="31" t="s">
        <v>21</v>
      </c>
      <c r="S162" s="31" t="s">
        <v>21</v>
      </c>
      <c r="T162" s="31" t="s">
        <v>22</v>
      </c>
      <c r="U162" s="31" t="s">
        <v>22</v>
      </c>
      <c r="V162" s="31" t="s">
        <v>22</v>
      </c>
      <c r="W162" s="115"/>
      <c r="X162" s="3"/>
    </row>
    <row r="163" spans="1:24" ht="15" customHeight="1" x14ac:dyDescent="0.25">
      <c r="A163" s="5">
        <v>1</v>
      </c>
      <c r="B163" s="21" t="s">
        <v>235</v>
      </c>
      <c r="C163" s="13">
        <v>45738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</row>
    <row r="164" spans="1:24" ht="15" customHeight="1" x14ac:dyDescent="0.25">
      <c r="A164" s="5">
        <v>2</v>
      </c>
      <c r="B164" s="21" t="s">
        <v>233</v>
      </c>
      <c r="C164" s="13">
        <v>45884</v>
      </c>
      <c r="D164" s="13">
        <v>45964</v>
      </c>
      <c r="E164" s="21">
        <v>3</v>
      </c>
      <c r="F164" s="8">
        <v>0</v>
      </c>
      <c r="G164" s="8">
        <v>103</v>
      </c>
      <c r="H164" s="8">
        <v>138</v>
      </c>
      <c r="I164" s="8"/>
      <c r="J164" s="8">
        <v>136</v>
      </c>
      <c r="K164" s="8"/>
      <c r="L164" s="8"/>
      <c r="M164" s="33">
        <f>AVERAGE(G164:L164)</f>
        <v>125.66666666666667</v>
      </c>
      <c r="N164" s="13">
        <v>45986</v>
      </c>
      <c r="O164" s="8">
        <v>3</v>
      </c>
      <c r="P164" s="8">
        <v>0</v>
      </c>
      <c r="Q164" s="21">
        <v>287</v>
      </c>
      <c r="R164" s="21">
        <v>302</v>
      </c>
      <c r="S164" s="21"/>
      <c r="T164" s="21">
        <v>272</v>
      </c>
      <c r="U164" s="21"/>
      <c r="V164" s="21"/>
      <c r="W164" s="22">
        <f>AVERAGE(Q164:V164)</f>
        <v>287</v>
      </c>
    </row>
    <row r="165" spans="1:24" ht="17.25" customHeight="1" x14ac:dyDescent="0.25">
      <c r="A165" s="5">
        <v>3</v>
      </c>
      <c r="B165" s="21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spans="1:24" ht="15.75" customHeight="1" x14ac:dyDescent="0.25">
      <c r="A166" s="5">
        <v>4</v>
      </c>
      <c r="B166" s="21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</row>
    <row r="167" spans="1:24" ht="15.75" customHeight="1" x14ac:dyDescent="0.25">
      <c r="A167" s="5">
        <v>5</v>
      </c>
      <c r="B167" s="21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</row>
    <row r="168" spans="1:24" ht="15.75" customHeight="1" thickBot="1" x14ac:dyDescent="0.3">
      <c r="A168" s="7">
        <v>6</v>
      </c>
      <c r="B168" s="37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4" ht="20.100000000000001" customHeight="1" x14ac:dyDescent="0.25"/>
    <row r="170" spans="1:24" ht="20.100000000000001" customHeight="1" thickBot="1" x14ac:dyDescent="0.3"/>
    <row r="171" spans="1:24" ht="20.100000000000001" customHeight="1" x14ac:dyDescent="0.25">
      <c r="A171" s="100" t="s">
        <v>2</v>
      </c>
      <c r="B171" s="101"/>
      <c r="C171" s="178" t="s">
        <v>108</v>
      </c>
      <c r="D171" s="179"/>
      <c r="E171" s="111" t="s">
        <v>388</v>
      </c>
      <c r="F171" s="112"/>
      <c r="G171" s="101" t="s">
        <v>4</v>
      </c>
      <c r="H171" s="101"/>
      <c r="I171" s="102" t="s">
        <v>135</v>
      </c>
      <c r="J171" s="102"/>
      <c r="K171" s="102"/>
      <c r="L171" s="102"/>
      <c r="M171" s="102"/>
      <c r="N171" s="102"/>
      <c r="O171" s="101" t="s">
        <v>6</v>
      </c>
      <c r="P171" s="101"/>
      <c r="Q171" s="103"/>
      <c r="R171" s="104"/>
      <c r="S171" s="104"/>
      <c r="T171" s="104"/>
      <c r="U171" s="104"/>
      <c r="V171" s="104"/>
      <c r="W171" s="105"/>
      <c r="X171" s="1"/>
    </row>
    <row r="172" spans="1:24" ht="20.100000000000001" customHeight="1" x14ac:dyDescent="0.25">
      <c r="A172" s="106" t="s">
        <v>7</v>
      </c>
      <c r="B172" s="107"/>
      <c r="C172" s="116" t="s">
        <v>44</v>
      </c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09"/>
      <c r="P172" s="109"/>
      <c r="Q172" s="107"/>
      <c r="R172" s="107"/>
      <c r="S172" s="107"/>
      <c r="T172" s="107"/>
      <c r="U172" s="107"/>
      <c r="V172" s="107"/>
      <c r="W172" s="110"/>
      <c r="X172" s="1"/>
    </row>
    <row r="173" spans="1:24" ht="24.95" customHeight="1" x14ac:dyDescent="0.25">
      <c r="A173" s="113" t="s">
        <v>8</v>
      </c>
      <c r="B173" s="114" t="s">
        <v>9</v>
      </c>
      <c r="C173" s="114" t="s">
        <v>10</v>
      </c>
      <c r="D173" s="114" t="s">
        <v>11</v>
      </c>
      <c r="E173" s="114" t="s">
        <v>12</v>
      </c>
      <c r="F173" s="114" t="s">
        <v>13</v>
      </c>
      <c r="G173" s="114" t="s">
        <v>14</v>
      </c>
      <c r="H173" s="114"/>
      <c r="I173" s="114"/>
      <c r="J173" s="114"/>
      <c r="K173" s="114"/>
      <c r="L173" s="114"/>
      <c r="M173" s="114" t="s">
        <v>15</v>
      </c>
      <c r="N173" s="114" t="s">
        <v>16</v>
      </c>
      <c r="O173" s="114" t="s">
        <v>17</v>
      </c>
      <c r="P173" s="114" t="s">
        <v>18</v>
      </c>
      <c r="Q173" s="114" t="s">
        <v>19</v>
      </c>
      <c r="R173" s="114"/>
      <c r="S173" s="114"/>
      <c r="T173" s="114"/>
      <c r="U173" s="114"/>
      <c r="V173" s="114"/>
      <c r="W173" s="115" t="s">
        <v>20</v>
      </c>
      <c r="X173" s="3"/>
    </row>
    <row r="174" spans="1:24" ht="24.95" customHeight="1" x14ac:dyDescent="0.25">
      <c r="A174" s="113"/>
      <c r="B174" s="114"/>
      <c r="C174" s="114"/>
      <c r="D174" s="114"/>
      <c r="E174" s="114"/>
      <c r="F174" s="114"/>
      <c r="G174" s="31" t="s">
        <v>21</v>
      </c>
      <c r="H174" s="31" t="s">
        <v>21</v>
      </c>
      <c r="I174" s="31" t="s">
        <v>21</v>
      </c>
      <c r="J174" s="31" t="s">
        <v>22</v>
      </c>
      <c r="K174" s="31" t="s">
        <v>22</v>
      </c>
      <c r="L174" s="31" t="s">
        <v>22</v>
      </c>
      <c r="M174" s="114"/>
      <c r="N174" s="114"/>
      <c r="O174" s="114"/>
      <c r="P174" s="114"/>
      <c r="Q174" s="31" t="s">
        <v>21</v>
      </c>
      <c r="R174" s="31" t="s">
        <v>21</v>
      </c>
      <c r="S174" s="31" t="s">
        <v>21</v>
      </c>
      <c r="T174" s="31" t="s">
        <v>22</v>
      </c>
      <c r="U174" s="31" t="s">
        <v>22</v>
      </c>
      <c r="V174" s="31" t="s">
        <v>22</v>
      </c>
      <c r="W174" s="115"/>
      <c r="X174" s="3"/>
    </row>
    <row r="175" spans="1:24" ht="15" customHeight="1" x14ac:dyDescent="0.25">
      <c r="A175" s="5">
        <v>1</v>
      </c>
      <c r="B175" s="21" t="s">
        <v>235</v>
      </c>
      <c r="C175" s="13">
        <v>45738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9"/>
    </row>
    <row r="176" spans="1:24" ht="15" customHeight="1" x14ac:dyDescent="0.25">
      <c r="A176" s="6">
        <v>2</v>
      </c>
      <c r="B176" s="21" t="s">
        <v>357</v>
      </c>
      <c r="C176" s="13">
        <v>45851</v>
      </c>
      <c r="D176" s="13">
        <v>45923</v>
      </c>
      <c r="E176" s="21">
        <v>2</v>
      </c>
      <c r="F176" s="21">
        <v>0</v>
      </c>
      <c r="G176" s="21">
        <v>161</v>
      </c>
      <c r="H176" s="21"/>
      <c r="I176" s="21"/>
      <c r="J176" s="21">
        <v>169</v>
      </c>
      <c r="K176" s="21"/>
      <c r="L176" s="21"/>
      <c r="M176" s="21">
        <f>AVERAGE(G176:L176)</f>
        <v>165</v>
      </c>
      <c r="N176" s="20">
        <v>45944</v>
      </c>
      <c r="O176" s="21">
        <v>2</v>
      </c>
      <c r="P176" s="21">
        <v>0</v>
      </c>
      <c r="Q176" s="21">
        <v>259</v>
      </c>
      <c r="R176" s="21"/>
      <c r="S176" s="21"/>
      <c r="T176" s="21">
        <v>310</v>
      </c>
      <c r="U176" s="21"/>
      <c r="V176" s="21"/>
      <c r="W176" s="22">
        <f>AVERAGE(Q176:V176)</f>
        <v>284.5</v>
      </c>
    </row>
    <row r="177" spans="1:24" ht="17.25" customHeight="1" x14ac:dyDescent="0.25">
      <c r="A177" s="6">
        <v>3</v>
      </c>
      <c r="B177" s="21" t="s">
        <v>97</v>
      </c>
      <c r="C177" s="13">
        <v>45950</v>
      </c>
      <c r="D177" s="8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2"/>
    </row>
    <row r="178" spans="1:24" ht="14.25" customHeight="1" x14ac:dyDescent="0.25">
      <c r="A178" s="5">
        <v>4</v>
      </c>
      <c r="B178" s="21"/>
      <c r="C178" s="8"/>
      <c r="D178" s="8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2"/>
    </row>
    <row r="179" spans="1:24" ht="15" customHeight="1" x14ac:dyDescent="0.25">
      <c r="A179" s="5">
        <v>5</v>
      </c>
      <c r="B179" s="21"/>
      <c r="C179" s="8"/>
      <c r="D179" s="8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2"/>
    </row>
    <row r="180" spans="1:24" ht="15.75" customHeight="1" thickBot="1" x14ac:dyDescent="0.3">
      <c r="A180" s="7">
        <v>6</v>
      </c>
      <c r="B180" s="37"/>
      <c r="C180" s="10"/>
      <c r="D180" s="10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9"/>
    </row>
    <row r="181" spans="1:24" ht="20.100000000000001" customHeight="1" x14ac:dyDescent="0.25"/>
    <row r="182" spans="1:24" ht="20.100000000000001" customHeight="1" thickBot="1" x14ac:dyDescent="0.3"/>
    <row r="183" spans="1:24" ht="20.100000000000001" customHeight="1" x14ac:dyDescent="0.25">
      <c r="A183" s="100" t="s">
        <v>2</v>
      </c>
      <c r="B183" s="101"/>
      <c r="C183" s="184" t="s">
        <v>109</v>
      </c>
      <c r="D183" s="185"/>
      <c r="E183" s="111" t="s">
        <v>388</v>
      </c>
      <c r="F183" s="112"/>
      <c r="G183" s="101" t="s">
        <v>4</v>
      </c>
      <c r="H183" s="101"/>
      <c r="I183" s="102" t="s">
        <v>135</v>
      </c>
      <c r="J183" s="102"/>
      <c r="K183" s="102"/>
      <c r="L183" s="102"/>
      <c r="M183" s="102"/>
      <c r="N183" s="102"/>
      <c r="O183" s="101" t="s">
        <v>6</v>
      </c>
      <c r="P183" s="101"/>
      <c r="Q183" s="103"/>
      <c r="R183" s="104"/>
      <c r="S183" s="104"/>
      <c r="T183" s="104"/>
      <c r="U183" s="104"/>
      <c r="V183" s="104"/>
      <c r="W183" s="105"/>
      <c r="X183" s="1"/>
    </row>
    <row r="184" spans="1:24" ht="20.100000000000001" customHeight="1" x14ac:dyDescent="0.25">
      <c r="A184" s="106" t="s">
        <v>7</v>
      </c>
      <c r="B184" s="107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7"/>
      <c r="R184" s="107"/>
      <c r="S184" s="107"/>
      <c r="T184" s="107"/>
      <c r="U184" s="107"/>
      <c r="V184" s="107"/>
      <c r="W184" s="110"/>
      <c r="X184" s="1"/>
    </row>
    <row r="185" spans="1:24" ht="24.95" customHeight="1" x14ac:dyDescent="0.25">
      <c r="A185" s="113" t="s">
        <v>8</v>
      </c>
      <c r="B185" s="114" t="s">
        <v>9</v>
      </c>
      <c r="C185" s="114" t="s">
        <v>10</v>
      </c>
      <c r="D185" s="114" t="s">
        <v>11</v>
      </c>
      <c r="E185" s="114" t="s">
        <v>12</v>
      </c>
      <c r="F185" s="114" t="s">
        <v>13</v>
      </c>
      <c r="G185" s="114" t="s">
        <v>14</v>
      </c>
      <c r="H185" s="114"/>
      <c r="I185" s="114"/>
      <c r="J185" s="114"/>
      <c r="K185" s="114"/>
      <c r="L185" s="114"/>
      <c r="M185" s="114" t="s">
        <v>15</v>
      </c>
      <c r="N185" s="114" t="s">
        <v>16</v>
      </c>
      <c r="O185" s="114" t="s">
        <v>17</v>
      </c>
      <c r="P185" s="114" t="s">
        <v>18</v>
      </c>
      <c r="Q185" s="114" t="s">
        <v>19</v>
      </c>
      <c r="R185" s="114"/>
      <c r="S185" s="114"/>
      <c r="T185" s="114"/>
      <c r="U185" s="114"/>
      <c r="V185" s="114"/>
      <c r="W185" s="115" t="s">
        <v>20</v>
      </c>
      <c r="X185" s="3"/>
    </row>
    <row r="186" spans="1:24" ht="24.95" customHeight="1" x14ac:dyDescent="0.25">
      <c r="A186" s="113"/>
      <c r="B186" s="114"/>
      <c r="C186" s="114"/>
      <c r="D186" s="114"/>
      <c r="E186" s="114"/>
      <c r="F186" s="114"/>
      <c r="G186" s="31" t="s">
        <v>21</v>
      </c>
      <c r="H186" s="31" t="s">
        <v>21</v>
      </c>
      <c r="I186" s="31" t="s">
        <v>21</v>
      </c>
      <c r="J186" s="31" t="s">
        <v>22</v>
      </c>
      <c r="K186" s="31" t="s">
        <v>22</v>
      </c>
      <c r="L186" s="31" t="s">
        <v>22</v>
      </c>
      <c r="M186" s="114"/>
      <c r="N186" s="114"/>
      <c r="O186" s="114"/>
      <c r="P186" s="114"/>
      <c r="Q186" s="31" t="s">
        <v>21</v>
      </c>
      <c r="R186" s="31" t="s">
        <v>21</v>
      </c>
      <c r="S186" s="31" t="s">
        <v>21</v>
      </c>
      <c r="T186" s="31" t="s">
        <v>22</v>
      </c>
      <c r="U186" s="31" t="s">
        <v>22</v>
      </c>
      <c r="V186" s="31" t="s">
        <v>22</v>
      </c>
      <c r="W186" s="115"/>
      <c r="X186" s="3"/>
    </row>
    <row r="187" spans="1:24" ht="16.5" customHeight="1" x14ac:dyDescent="0.25">
      <c r="A187" s="5">
        <v>1</v>
      </c>
      <c r="B187" s="21" t="s">
        <v>235</v>
      </c>
      <c r="C187" s="13">
        <v>45738</v>
      </c>
      <c r="D187" s="8" t="s">
        <v>371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</row>
    <row r="188" spans="1:24" ht="14.25" customHeight="1" x14ac:dyDescent="0.25">
      <c r="A188" s="5">
        <v>2</v>
      </c>
      <c r="B188" s="21" t="s">
        <v>357</v>
      </c>
      <c r="C188" s="13">
        <v>45851</v>
      </c>
      <c r="D188" s="13">
        <v>45921</v>
      </c>
      <c r="E188" s="21">
        <v>4</v>
      </c>
      <c r="F188" s="21">
        <v>2</v>
      </c>
      <c r="G188" s="21">
        <v>111</v>
      </c>
      <c r="H188" s="21"/>
      <c r="I188" s="21"/>
      <c r="J188" s="21">
        <v>106</v>
      </c>
      <c r="K188" s="21"/>
      <c r="L188" s="21"/>
      <c r="M188" s="21">
        <f>AVERAGE(G188:L188)</f>
        <v>108.5</v>
      </c>
      <c r="N188" s="20">
        <v>45944</v>
      </c>
      <c r="O188" s="21">
        <v>1</v>
      </c>
      <c r="P188" s="21">
        <v>1</v>
      </c>
      <c r="Q188" s="21">
        <v>251</v>
      </c>
      <c r="R188" s="21"/>
      <c r="S188" s="21"/>
      <c r="T188" s="21"/>
      <c r="U188" s="21"/>
      <c r="V188" s="21"/>
      <c r="W188" s="22">
        <v>251</v>
      </c>
    </row>
    <row r="189" spans="1:24" ht="14.25" customHeight="1" x14ac:dyDescent="0.25">
      <c r="A189" s="5">
        <v>3</v>
      </c>
      <c r="B189" s="21" t="s">
        <v>97</v>
      </c>
      <c r="C189" s="13">
        <v>45950</v>
      </c>
      <c r="D189" s="13">
        <v>46020</v>
      </c>
      <c r="E189" s="21">
        <v>3</v>
      </c>
      <c r="F189" s="21">
        <v>1</v>
      </c>
      <c r="G189" s="21">
        <v>115</v>
      </c>
      <c r="H189" s="21">
        <v>120</v>
      </c>
      <c r="I189" s="21"/>
      <c r="J189" s="21"/>
      <c r="K189" s="21"/>
      <c r="L189" s="21"/>
      <c r="M189" s="21">
        <f>AVERAGE(G189:L189)</f>
        <v>117.5</v>
      </c>
      <c r="N189" s="20">
        <v>46039</v>
      </c>
      <c r="O189" s="21">
        <v>2</v>
      </c>
      <c r="P189" s="21">
        <v>0</v>
      </c>
      <c r="Q189" s="21">
        <v>368</v>
      </c>
      <c r="R189" s="21">
        <v>373</v>
      </c>
      <c r="S189" s="21"/>
      <c r="T189" s="21"/>
      <c r="U189" s="21"/>
      <c r="V189" s="21"/>
      <c r="W189" s="22">
        <f>AVERAGE(Q189:V189)</f>
        <v>370.5</v>
      </c>
    </row>
    <row r="190" spans="1:24" ht="17.25" customHeight="1" x14ac:dyDescent="0.25">
      <c r="A190" s="5">
        <v>4</v>
      </c>
      <c r="B190" s="21" t="s">
        <v>78</v>
      </c>
      <c r="C190" s="13">
        <v>46039</v>
      </c>
      <c r="D190" s="13">
        <v>46117</v>
      </c>
      <c r="E190" s="21">
        <v>3</v>
      </c>
      <c r="F190" s="21">
        <v>0</v>
      </c>
      <c r="G190" s="21">
        <v>137</v>
      </c>
      <c r="H190" s="21"/>
      <c r="I190" s="21"/>
      <c r="J190" s="21">
        <v>120</v>
      </c>
      <c r="K190" s="21">
        <v>125</v>
      </c>
      <c r="L190" s="21"/>
      <c r="M190" s="80">
        <f>AVERAGE(G190:L190)</f>
        <v>127.33333333333333</v>
      </c>
      <c r="N190" s="20">
        <v>46139</v>
      </c>
      <c r="O190" s="21">
        <v>3</v>
      </c>
      <c r="P190" s="21">
        <v>0</v>
      </c>
      <c r="Q190" s="21">
        <v>261</v>
      </c>
      <c r="R190" s="21"/>
      <c r="S190" s="21"/>
      <c r="T190" s="21">
        <v>232</v>
      </c>
      <c r="U190" s="21">
        <v>200</v>
      </c>
      <c r="V190" s="21"/>
      <c r="W190" s="22">
        <f>AVERAGE(Q190:V190)</f>
        <v>231</v>
      </c>
    </row>
    <row r="191" spans="1:24" ht="17.25" customHeight="1" x14ac:dyDescent="0.25">
      <c r="A191" s="5">
        <v>5</v>
      </c>
      <c r="B191" s="21" t="s">
        <v>78</v>
      </c>
      <c r="C191" s="13">
        <v>46148</v>
      </c>
      <c r="D191" s="8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2"/>
    </row>
    <row r="192" spans="1:24" ht="14.25" customHeight="1" thickBot="1" x14ac:dyDescent="0.3">
      <c r="A192" s="7">
        <v>6</v>
      </c>
      <c r="B192" s="37"/>
      <c r="C192" s="10"/>
      <c r="D192" s="10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9"/>
    </row>
    <row r="193" spans="1:24" ht="20.100000000000001" customHeight="1" x14ac:dyDescent="0.25"/>
    <row r="194" spans="1:24" ht="20.100000000000001" customHeight="1" thickBot="1" x14ac:dyDescent="0.3"/>
    <row r="195" spans="1:24" ht="20.100000000000001" customHeight="1" x14ac:dyDescent="0.25">
      <c r="A195" s="100" t="s">
        <v>2</v>
      </c>
      <c r="B195" s="101"/>
      <c r="C195" s="111" t="s">
        <v>110</v>
      </c>
      <c r="D195" s="112"/>
      <c r="E195" s="111" t="s">
        <v>388</v>
      </c>
      <c r="F195" s="112"/>
      <c r="G195" s="101" t="s">
        <v>4</v>
      </c>
      <c r="H195" s="101"/>
      <c r="I195" s="102" t="s">
        <v>135</v>
      </c>
      <c r="J195" s="102"/>
      <c r="K195" s="102"/>
      <c r="L195" s="102"/>
      <c r="M195" s="102"/>
      <c r="N195" s="102"/>
      <c r="O195" s="101" t="s">
        <v>6</v>
      </c>
      <c r="P195" s="101"/>
      <c r="Q195" s="103"/>
      <c r="R195" s="104"/>
      <c r="S195" s="104"/>
      <c r="T195" s="104"/>
      <c r="U195" s="104"/>
      <c r="V195" s="104"/>
      <c r="W195" s="105"/>
      <c r="X195" s="1"/>
    </row>
    <row r="196" spans="1:24" ht="20.100000000000001" customHeight="1" x14ac:dyDescent="0.25">
      <c r="A196" s="106" t="s">
        <v>7</v>
      </c>
      <c r="B196" s="107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7"/>
      <c r="R196" s="107"/>
      <c r="S196" s="107"/>
      <c r="T196" s="107"/>
      <c r="U196" s="107"/>
      <c r="V196" s="107"/>
      <c r="W196" s="110"/>
      <c r="X196" s="1"/>
    </row>
    <row r="197" spans="1:24" ht="24.95" customHeight="1" x14ac:dyDescent="0.25">
      <c r="A197" s="113" t="s">
        <v>8</v>
      </c>
      <c r="B197" s="114" t="s">
        <v>9</v>
      </c>
      <c r="C197" s="114" t="s">
        <v>10</v>
      </c>
      <c r="D197" s="114" t="s">
        <v>11</v>
      </c>
      <c r="E197" s="114" t="s">
        <v>12</v>
      </c>
      <c r="F197" s="114" t="s">
        <v>13</v>
      </c>
      <c r="G197" s="114" t="s">
        <v>14</v>
      </c>
      <c r="H197" s="114"/>
      <c r="I197" s="114"/>
      <c r="J197" s="114"/>
      <c r="K197" s="114"/>
      <c r="L197" s="114"/>
      <c r="M197" s="114" t="s">
        <v>15</v>
      </c>
      <c r="N197" s="114" t="s">
        <v>16</v>
      </c>
      <c r="O197" s="114" t="s">
        <v>17</v>
      </c>
      <c r="P197" s="114" t="s">
        <v>18</v>
      </c>
      <c r="Q197" s="114" t="s">
        <v>19</v>
      </c>
      <c r="R197" s="114"/>
      <c r="S197" s="114"/>
      <c r="T197" s="114"/>
      <c r="U197" s="114"/>
      <c r="V197" s="114"/>
      <c r="W197" s="115" t="s">
        <v>20</v>
      </c>
      <c r="X197" s="3"/>
    </row>
    <row r="198" spans="1:24" ht="24.95" customHeight="1" x14ac:dyDescent="0.25">
      <c r="A198" s="113"/>
      <c r="B198" s="114"/>
      <c r="C198" s="114"/>
      <c r="D198" s="114"/>
      <c r="E198" s="114"/>
      <c r="F198" s="114"/>
      <c r="G198" s="31" t="s">
        <v>21</v>
      </c>
      <c r="H198" s="31" t="s">
        <v>21</v>
      </c>
      <c r="I198" s="31" t="s">
        <v>21</v>
      </c>
      <c r="J198" s="31" t="s">
        <v>22</v>
      </c>
      <c r="K198" s="31" t="s">
        <v>22</v>
      </c>
      <c r="L198" s="31" t="s">
        <v>22</v>
      </c>
      <c r="M198" s="114"/>
      <c r="N198" s="114"/>
      <c r="O198" s="114"/>
      <c r="P198" s="114"/>
      <c r="Q198" s="31" t="s">
        <v>21</v>
      </c>
      <c r="R198" s="31" t="s">
        <v>21</v>
      </c>
      <c r="S198" s="31" t="s">
        <v>21</v>
      </c>
      <c r="T198" s="31" t="s">
        <v>22</v>
      </c>
      <c r="U198" s="31" t="s">
        <v>22</v>
      </c>
      <c r="V198" s="31" t="s">
        <v>22</v>
      </c>
      <c r="W198" s="115"/>
      <c r="X198" s="3"/>
    </row>
    <row r="199" spans="1:24" ht="16.5" customHeight="1" x14ac:dyDescent="0.25">
      <c r="A199" s="5">
        <v>1</v>
      </c>
      <c r="B199" s="21" t="s">
        <v>235</v>
      </c>
      <c r="C199" s="13">
        <v>45738</v>
      </c>
      <c r="D199" s="8" t="s">
        <v>428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</row>
    <row r="200" spans="1:24" ht="15.75" customHeight="1" x14ac:dyDescent="0.25">
      <c r="A200" s="5">
        <v>2</v>
      </c>
      <c r="B200" s="21" t="s">
        <v>357</v>
      </c>
      <c r="C200" s="13">
        <v>45851</v>
      </c>
      <c r="D200" s="13">
        <v>45919</v>
      </c>
      <c r="E200" s="21">
        <v>2</v>
      </c>
      <c r="F200" s="21">
        <v>0</v>
      </c>
      <c r="G200" s="21">
        <v>151</v>
      </c>
      <c r="H200" s="21"/>
      <c r="I200" s="21"/>
      <c r="J200" s="21">
        <v>150</v>
      </c>
      <c r="K200" s="21"/>
      <c r="L200" s="21"/>
      <c r="M200" s="21">
        <f>AVERAGE(G200:L200)</f>
        <v>150.5</v>
      </c>
      <c r="N200" s="20">
        <v>45944</v>
      </c>
      <c r="O200" s="21">
        <v>2</v>
      </c>
      <c r="P200" s="21">
        <v>0</v>
      </c>
      <c r="Q200" s="21">
        <v>305</v>
      </c>
      <c r="R200" s="21"/>
      <c r="S200" s="21"/>
      <c r="T200" s="21">
        <v>291</v>
      </c>
      <c r="U200" s="21"/>
      <c r="V200" s="21"/>
      <c r="W200" s="22">
        <f>AVERAGE(Q200:V200)</f>
        <v>298</v>
      </c>
    </row>
    <row r="201" spans="1:24" ht="15" customHeight="1" x14ac:dyDescent="0.25">
      <c r="A201" s="5">
        <v>3</v>
      </c>
      <c r="B201" s="21" t="s">
        <v>97</v>
      </c>
      <c r="C201" s="13">
        <v>45950</v>
      </c>
      <c r="D201" s="13">
        <v>46023</v>
      </c>
      <c r="E201" s="21">
        <v>2</v>
      </c>
      <c r="F201" s="21">
        <v>0</v>
      </c>
      <c r="G201" s="21">
        <v>132</v>
      </c>
      <c r="H201" s="21"/>
      <c r="I201" s="21"/>
      <c r="J201" s="21">
        <v>135</v>
      </c>
      <c r="K201" s="21"/>
      <c r="L201" s="21"/>
      <c r="M201" s="21">
        <f>AVERAGE(G201:L201)</f>
        <v>133.5</v>
      </c>
      <c r="N201" s="20">
        <v>46039</v>
      </c>
      <c r="O201" s="21">
        <v>2</v>
      </c>
      <c r="P201" s="21">
        <v>0</v>
      </c>
      <c r="Q201" s="21">
        <v>307</v>
      </c>
      <c r="R201" s="21"/>
      <c r="S201" s="21"/>
      <c r="T201" s="21">
        <v>337</v>
      </c>
      <c r="U201" s="21"/>
      <c r="V201" s="21"/>
      <c r="W201" s="22">
        <f>AVERAGE(Q201:V201)</f>
        <v>322</v>
      </c>
    </row>
    <row r="202" spans="1:24" ht="15" customHeight="1" x14ac:dyDescent="0.25">
      <c r="A202" s="5">
        <v>4</v>
      </c>
      <c r="B202" s="21" t="s">
        <v>78</v>
      </c>
      <c r="C202" s="13">
        <v>46039</v>
      </c>
      <c r="D202" s="13">
        <v>46103</v>
      </c>
      <c r="E202" s="21">
        <v>2</v>
      </c>
      <c r="F202" s="21">
        <v>2</v>
      </c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2"/>
    </row>
    <row r="203" spans="1:24" ht="16.5" customHeight="1" x14ac:dyDescent="0.25">
      <c r="A203" s="5">
        <v>5</v>
      </c>
      <c r="B203" s="21" t="s">
        <v>78</v>
      </c>
      <c r="C203" s="13">
        <v>46148</v>
      </c>
      <c r="D203" s="8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2"/>
    </row>
    <row r="204" spans="1:24" ht="15" customHeight="1" thickBot="1" x14ac:dyDescent="0.3">
      <c r="A204" s="7">
        <v>6</v>
      </c>
      <c r="B204" s="37"/>
      <c r="C204" s="10"/>
      <c r="D204" s="10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9"/>
    </row>
    <row r="205" spans="1:24" ht="20.100000000000001" customHeight="1" x14ac:dyDescent="0.25"/>
    <row r="206" spans="1:24" ht="20.100000000000001" customHeight="1" thickBot="1" x14ac:dyDescent="0.3"/>
    <row r="207" spans="1:24" ht="20.100000000000001" customHeight="1" x14ac:dyDescent="0.25">
      <c r="A207" s="100" t="s">
        <v>2</v>
      </c>
      <c r="B207" s="101"/>
      <c r="C207" s="178" t="s">
        <v>111</v>
      </c>
      <c r="D207" s="179"/>
      <c r="E207" s="111" t="s">
        <v>388</v>
      </c>
      <c r="F207" s="112"/>
      <c r="G207" s="101" t="s">
        <v>4</v>
      </c>
      <c r="H207" s="101"/>
      <c r="I207" s="102" t="s">
        <v>135</v>
      </c>
      <c r="J207" s="102"/>
      <c r="K207" s="102"/>
      <c r="L207" s="102"/>
      <c r="M207" s="102"/>
      <c r="N207" s="102"/>
      <c r="O207" s="101" t="s">
        <v>6</v>
      </c>
      <c r="P207" s="101"/>
      <c r="Q207" s="103"/>
      <c r="R207" s="104"/>
      <c r="S207" s="104"/>
      <c r="T207" s="104"/>
      <c r="U207" s="104"/>
      <c r="V207" s="104"/>
      <c r="W207" s="105"/>
      <c r="X207" s="1"/>
    </row>
    <row r="208" spans="1:24" ht="20.100000000000001" customHeight="1" x14ac:dyDescent="0.25">
      <c r="A208" s="106" t="s">
        <v>7</v>
      </c>
      <c r="B208" s="107"/>
      <c r="C208" s="116" t="s">
        <v>44</v>
      </c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09"/>
      <c r="P208" s="109"/>
      <c r="Q208" s="107"/>
      <c r="R208" s="107"/>
      <c r="S208" s="107"/>
      <c r="T208" s="107"/>
      <c r="U208" s="107"/>
      <c r="V208" s="107"/>
      <c r="W208" s="110"/>
      <c r="X208" s="1"/>
    </row>
    <row r="209" spans="1:24" ht="24.95" customHeight="1" x14ac:dyDescent="0.25">
      <c r="A209" s="113" t="s">
        <v>8</v>
      </c>
      <c r="B209" s="114" t="s">
        <v>9</v>
      </c>
      <c r="C209" s="114" t="s">
        <v>10</v>
      </c>
      <c r="D209" s="114" t="s">
        <v>11</v>
      </c>
      <c r="E209" s="114" t="s">
        <v>12</v>
      </c>
      <c r="F209" s="114" t="s">
        <v>13</v>
      </c>
      <c r="G209" s="114" t="s">
        <v>14</v>
      </c>
      <c r="H209" s="114"/>
      <c r="I209" s="114"/>
      <c r="J209" s="114"/>
      <c r="K209" s="114"/>
      <c r="L209" s="114"/>
      <c r="M209" s="114" t="s">
        <v>15</v>
      </c>
      <c r="N209" s="114" t="s">
        <v>16</v>
      </c>
      <c r="O209" s="114" t="s">
        <v>17</v>
      </c>
      <c r="P209" s="114" t="s">
        <v>18</v>
      </c>
      <c r="Q209" s="114" t="s">
        <v>19</v>
      </c>
      <c r="R209" s="114"/>
      <c r="S209" s="114"/>
      <c r="T209" s="114"/>
      <c r="U209" s="114"/>
      <c r="V209" s="114"/>
      <c r="W209" s="115" t="s">
        <v>20</v>
      </c>
      <c r="X209" s="3"/>
    </row>
    <row r="210" spans="1:24" ht="24.95" customHeight="1" x14ac:dyDescent="0.25">
      <c r="A210" s="113"/>
      <c r="B210" s="114"/>
      <c r="C210" s="114"/>
      <c r="D210" s="114"/>
      <c r="E210" s="114"/>
      <c r="F210" s="114"/>
      <c r="G210" s="31" t="s">
        <v>21</v>
      </c>
      <c r="H210" s="31" t="s">
        <v>21</v>
      </c>
      <c r="I210" s="31" t="s">
        <v>21</v>
      </c>
      <c r="J210" s="31" t="s">
        <v>22</v>
      </c>
      <c r="K210" s="31" t="s">
        <v>22</v>
      </c>
      <c r="L210" s="31" t="s">
        <v>22</v>
      </c>
      <c r="M210" s="114"/>
      <c r="N210" s="114"/>
      <c r="O210" s="114"/>
      <c r="P210" s="114"/>
      <c r="Q210" s="31" t="s">
        <v>21</v>
      </c>
      <c r="R210" s="31" t="s">
        <v>21</v>
      </c>
      <c r="S210" s="31" t="s">
        <v>21</v>
      </c>
      <c r="T210" s="31" t="s">
        <v>22</v>
      </c>
      <c r="U210" s="31" t="s">
        <v>22</v>
      </c>
      <c r="V210" s="31" t="s">
        <v>22</v>
      </c>
      <c r="W210" s="115"/>
      <c r="X210" s="3"/>
    </row>
    <row r="211" spans="1:24" ht="15.75" customHeight="1" x14ac:dyDescent="0.25">
      <c r="A211" s="5">
        <v>1</v>
      </c>
      <c r="B211" s="21" t="s">
        <v>235</v>
      </c>
      <c r="C211" s="13">
        <v>45738</v>
      </c>
      <c r="D211" s="8" t="s">
        <v>428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</row>
    <row r="212" spans="1:24" ht="16.5" customHeight="1" x14ac:dyDescent="0.25">
      <c r="A212" s="5">
        <v>2</v>
      </c>
      <c r="B212" s="21" t="s">
        <v>357</v>
      </c>
      <c r="C212" s="13">
        <v>45851</v>
      </c>
      <c r="D212" s="20">
        <v>45932</v>
      </c>
      <c r="E212" s="21">
        <v>3</v>
      </c>
      <c r="F212" s="21">
        <v>0</v>
      </c>
      <c r="G212" s="21">
        <v>107</v>
      </c>
      <c r="H212" s="21"/>
      <c r="I212" s="21"/>
      <c r="J212" s="21">
        <v>119</v>
      </c>
      <c r="K212" s="21">
        <v>109</v>
      </c>
      <c r="L212" s="21"/>
      <c r="M212" s="41">
        <f>AVERAGE(G212:L212)</f>
        <v>111.66666666666667</v>
      </c>
      <c r="N212" s="20">
        <v>45944</v>
      </c>
      <c r="O212" s="21">
        <v>2</v>
      </c>
      <c r="P212" s="21">
        <v>1</v>
      </c>
      <c r="Q212" s="21">
        <v>146</v>
      </c>
      <c r="R212" s="21"/>
      <c r="S212" s="21"/>
      <c r="T212" s="21">
        <v>128</v>
      </c>
      <c r="U212" s="21"/>
      <c r="V212" s="21"/>
      <c r="W212" s="22">
        <f>AVERAGE(Q212:V212)</f>
        <v>137</v>
      </c>
    </row>
    <row r="213" spans="1:24" ht="16.5" customHeight="1" x14ac:dyDescent="0.25">
      <c r="A213" s="5">
        <v>3</v>
      </c>
      <c r="B213" s="21" t="s">
        <v>97</v>
      </c>
      <c r="C213" s="13">
        <v>45950</v>
      </c>
      <c r="D213" s="20">
        <v>46028</v>
      </c>
      <c r="E213" s="21">
        <v>3</v>
      </c>
      <c r="F213" s="21">
        <v>0</v>
      </c>
      <c r="G213" s="21">
        <v>144</v>
      </c>
      <c r="H213" s="21"/>
      <c r="I213" s="21"/>
      <c r="J213" s="21">
        <v>154</v>
      </c>
      <c r="K213" s="21">
        <v>181</v>
      </c>
      <c r="L213" s="21"/>
      <c r="M213" s="41">
        <f>AVERAGE(G213:L213)</f>
        <v>159.66666666666666</v>
      </c>
      <c r="N213" s="20">
        <v>46039</v>
      </c>
      <c r="O213" s="21">
        <v>3</v>
      </c>
      <c r="P213" s="21">
        <v>0</v>
      </c>
      <c r="Q213" s="21">
        <v>236</v>
      </c>
      <c r="R213" s="21"/>
      <c r="S213" s="21"/>
      <c r="T213" s="21">
        <v>207</v>
      </c>
      <c r="U213" s="21">
        <v>206</v>
      </c>
      <c r="V213" s="21"/>
      <c r="W213" s="40">
        <f>AVERAGE(Q213:V213)</f>
        <v>216.33333333333334</v>
      </c>
    </row>
    <row r="214" spans="1:24" ht="15.75" customHeight="1" x14ac:dyDescent="0.25">
      <c r="A214" s="5">
        <v>4</v>
      </c>
      <c r="B214" s="21"/>
      <c r="C214" s="8"/>
      <c r="D214" s="21"/>
      <c r="E214" s="21"/>
      <c r="F214" s="21"/>
      <c r="G214" s="21"/>
      <c r="H214" s="21"/>
      <c r="I214" s="21"/>
      <c r="J214" s="21"/>
      <c r="K214" s="21"/>
      <c r="L214" s="21"/>
      <c r="M214" s="41"/>
      <c r="N214" s="21"/>
      <c r="O214" s="21"/>
      <c r="P214" s="21"/>
      <c r="Q214" s="21"/>
      <c r="R214" s="21"/>
      <c r="S214" s="21"/>
      <c r="T214" s="21"/>
      <c r="U214" s="21"/>
      <c r="V214" s="21"/>
      <c r="W214" s="22"/>
    </row>
    <row r="215" spans="1:24" ht="15" customHeight="1" x14ac:dyDescent="0.25">
      <c r="A215" s="5">
        <v>5</v>
      </c>
      <c r="B215" s="21"/>
      <c r="C215" s="8"/>
      <c r="D215" s="21"/>
      <c r="E215" s="21"/>
      <c r="F215" s="21"/>
      <c r="G215" s="21"/>
      <c r="H215" s="21"/>
      <c r="I215" s="21"/>
      <c r="J215" s="21"/>
      <c r="K215" s="21"/>
      <c r="L215" s="21"/>
      <c r="M215" s="41"/>
      <c r="N215" s="21"/>
      <c r="O215" s="21"/>
      <c r="P215" s="21"/>
      <c r="Q215" s="21"/>
      <c r="R215" s="21"/>
      <c r="S215" s="21"/>
      <c r="T215" s="21"/>
      <c r="U215" s="21"/>
      <c r="V215" s="21"/>
      <c r="W215" s="22"/>
    </row>
    <row r="216" spans="1:24" ht="14.25" customHeight="1" thickBot="1" x14ac:dyDescent="0.3">
      <c r="A216" s="7">
        <v>6</v>
      </c>
      <c r="B216" s="37"/>
      <c r="C216" s="10"/>
      <c r="D216" s="37"/>
      <c r="E216" s="37"/>
      <c r="F216" s="37"/>
      <c r="G216" s="37"/>
      <c r="H216" s="37"/>
      <c r="I216" s="37"/>
      <c r="J216" s="37"/>
      <c r="K216" s="37"/>
      <c r="L216" s="37"/>
      <c r="M216" s="42"/>
      <c r="N216" s="37"/>
      <c r="O216" s="37"/>
      <c r="P216" s="37"/>
      <c r="Q216" s="37"/>
      <c r="R216" s="37"/>
      <c r="S216" s="37"/>
      <c r="T216" s="37"/>
      <c r="U216" s="37"/>
      <c r="V216" s="37"/>
      <c r="W216" s="39"/>
    </row>
    <row r="217" spans="1:24" ht="20.100000000000001" customHeight="1" x14ac:dyDescent="0.25"/>
    <row r="218" spans="1:24" ht="20.100000000000001" customHeight="1" thickBot="1" x14ac:dyDescent="0.3"/>
    <row r="219" spans="1:24" ht="20.100000000000001" customHeight="1" x14ac:dyDescent="0.25">
      <c r="A219" s="100" t="s">
        <v>2</v>
      </c>
      <c r="B219" s="101"/>
      <c r="C219" s="178" t="s">
        <v>112</v>
      </c>
      <c r="D219" s="179"/>
      <c r="E219" s="111" t="s">
        <v>390</v>
      </c>
      <c r="F219" s="112"/>
      <c r="G219" s="101" t="s">
        <v>4</v>
      </c>
      <c r="H219" s="101"/>
      <c r="I219" s="102" t="s">
        <v>135</v>
      </c>
      <c r="J219" s="102"/>
      <c r="K219" s="102"/>
      <c r="L219" s="102"/>
      <c r="M219" s="102"/>
      <c r="N219" s="102"/>
      <c r="O219" s="101" t="s">
        <v>6</v>
      </c>
      <c r="P219" s="101"/>
      <c r="Q219" s="103"/>
      <c r="R219" s="104"/>
      <c r="S219" s="104"/>
      <c r="T219" s="104"/>
      <c r="U219" s="104"/>
      <c r="V219" s="104"/>
      <c r="W219" s="105"/>
      <c r="X219" s="1"/>
    </row>
    <row r="220" spans="1:24" ht="20.100000000000001" customHeight="1" x14ac:dyDescent="0.25">
      <c r="A220" s="106" t="s">
        <v>7</v>
      </c>
      <c r="B220" s="107"/>
      <c r="C220" s="116" t="s">
        <v>44</v>
      </c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09"/>
      <c r="P220" s="109"/>
      <c r="Q220" s="107"/>
      <c r="R220" s="107"/>
      <c r="S220" s="107"/>
      <c r="T220" s="107"/>
      <c r="U220" s="107"/>
      <c r="V220" s="107"/>
      <c r="W220" s="110"/>
      <c r="X220" s="1"/>
    </row>
    <row r="221" spans="1:24" ht="24.95" customHeight="1" x14ac:dyDescent="0.25">
      <c r="A221" s="113" t="s">
        <v>8</v>
      </c>
      <c r="B221" s="114" t="s">
        <v>9</v>
      </c>
      <c r="C221" s="114" t="s">
        <v>10</v>
      </c>
      <c r="D221" s="114" t="s">
        <v>11</v>
      </c>
      <c r="E221" s="114" t="s">
        <v>12</v>
      </c>
      <c r="F221" s="114" t="s">
        <v>13</v>
      </c>
      <c r="G221" s="114" t="s">
        <v>14</v>
      </c>
      <c r="H221" s="114"/>
      <c r="I221" s="114"/>
      <c r="J221" s="114"/>
      <c r="K221" s="114"/>
      <c r="L221" s="114"/>
      <c r="M221" s="114" t="s">
        <v>15</v>
      </c>
      <c r="N221" s="114" t="s">
        <v>16</v>
      </c>
      <c r="O221" s="114" t="s">
        <v>17</v>
      </c>
      <c r="P221" s="114" t="s">
        <v>18</v>
      </c>
      <c r="Q221" s="114" t="s">
        <v>19</v>
      </c>
      <c r="R221" s="114"/>
      <c r="S221" s="114"/>
      <c r="T221" s="114"/>
      <c r="U221" s="114"/>
      <c r="V221" s="114"/>
      <c r="W221" s="115" t="s">
        <v>20</v>
      </c>
      <c r="X221" s="3"/>
    </row>
    <row r="222" spans="1:24" ht="24.95" customHeight="1" x14ac:dyDescent="0.25">
      <c r="A222" s="113"/>
      <c r="B222" s="114"/>
      <c r="C222" s="114"/>
      <c r="D222" s="114"/>
      <c r="E222" s="114"/>
      <c r="F222" s="114"/>
      <c r="G222" s="31" t="s">
        <v>21</v>
      </c>
      <c r="H222" s="31" t="s">
        <v>21</v>
      </c>
      <c r="I222" s="31" t="s">
        <v>21</v>
      </c>
      <c r="J222" s="31" t="s">
        <v>22</v>
      </c>
      <c r="K222" s="31" t="s">
        <v>22</v>
      </c>
      <c r="L222" s="31" t="s">
        <v>22</v>
      </c>
      <c r="M222" s="114"/>
      <c r="N222" s="114"/>
      <c r="O222" s="114"/>
      <c r="P222" s="114"/>
      <c r="Q222" s="31" t="s">
        <v>21</v>
      </c>
      <c r="R222" s="31" t="s">
        <v>21</v>
      </c>
      <c r="S222" s="31" t="s">
        <v>21</v>
      </c>
      <c r="T222" s="31" t="s">
        <v>22</v>
      </c>
      <c r="U222" s="31" t="s">
        <v>22</v>
      </c>
      <c r="V222" s="31" t="s">
        <v>22</v>
      </c>
      <c r="W222" s="115"/>
      <c r="X222" s="3"/>
    </row>
    <row r="223" spans="1:24" ht="18" customHeight="1" x14ac:dyDescent="0.25">
      <c r="A223" s="5">
        <v>1</v>
      </c>
      <c r="B223" s="21" t="s">
        <v>238</v>
      </c>
      <c r="C223" s="13">
        <v>45738</v>
      </c>
      <c r="D223" s="8" t="s">
        <v>371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</row>
    <row r="224" spans="1:24" ht="14.25" customHeight="1" x14ac:dyDescent="0.25">
      <c r="A224" s="5">
        <v>2</v>
      </c>
      <c r="B224" s="21" t="s">
        <v>357</v>
      </c>
      <c r="C224" s="13">
        <v>45884</v>
      </c>
      <c r="D224" s="13">
        <v>45964</v>
      </c>
      <c r="E224" s="8">
        <v>3</v>
      </c>
      <c r="F224" s="8">
        <v>0</v>
      </c>
      <c r="G224" s="8">
        <v>81</v>
      </c>
      <c r="H224" s="8"/>
      <c r="I224" s="8"/>
      <c r="J224" s="8">
        <v>94</v>
      </c>
      <c r="K224" s="8">
        <v>93</v>
      </c>
      <c r="L224" s="8"/>
      <c r="M224" s="33">
        <f>AVERAGE(G224:L224)</f>
        <v>89.333333333333329</v>
      </c>
      <c r="N224" s="8"/>
      <c r="O224" s="8">
        <v>0</v>
      </c>
      <c r="P224" s="8"/>
      <c r="Q224" s="8"/>
      <c r="R224" s="8"/>
      <c r="S224" s="8"/>
      <c r="T224" s="8"/>
      <c r="U224" s="8"/>
      <c r="V224" s="8"/>
      <c r="W224" s="9"/>
    </row>
    <row r="225" spans="1:24" ht="14.25" customHeight="1" x14ac:dyDescent="0.25">
      <c r="A225" s="5">
        <v>3</v>
      </c>
      <c r="B225" s="21"/>
      <c r="C225" s="13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</row>
    <row r="226" spans="1:24" ht="17.25" customHeight="1" x14ac:dyDescent="0.25">
      <c r="A226" s="5">
        <v>4</v>
      </c>
      <c r="B226" s="21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</row>
    <row r="227" spans="1:24" ht="14.25" customHeight="1" x14ac:dyDescent="0.25">
      <c r="A227" s="5">
        <v>5</v>
      </c>
      <c r="B227" s="21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</row>
    <row r="228" spans="1:24" ht="15.75" customHeight="1" thickBot="1" x14ac:dyDescent="0.3">
      <c r="A228" s="7">
        <v>6</v>
      </c>
      <c r="B228" s="37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4" ht="20.100000000000001" customHeight="1" x14ac:dyDescent="0.25"/>
    <row r="230" spans="1:24" ht="20.100000000000001" customHeight="1" thickBot="1" x14ac:dyDescent="0.3"/>
    <row r="231" spans="1:24" ht="20.100000000000001" customHeight="1" x14ac:dyDescent="0.25">
      <c r="A231" s="100" t="s">
        <v>2</v>
      </c>
      <c r="B231" s="101"/>
      <c r="C231" s="178" t="s">
        <v>113</v>
      </c>
      <c r="D231" s="179"/>
      <c r="E231" s="111" t="s">
        <v>391</v>
      </c>
      <c r="F231" s="112"/>
      <c r="G231" s="101" t="s">
        <v>4</v>
      </c>
      <c r="H231" s="101"/>
      <c r="I231" s="102" t="s">
        <v>135</v>
      </c>
      <c r="J231" s="102"/>
      <c r="K231" s="102"/>
      <c r="L231" s="102"/>
      <c r="M231" s="102"/>
      <c r="N231" s="102"/>
      <c r="O231" s="101" t="s">
        <v>6</v>
      </c>
      <c r="P231" s="101"/>
      <c r="Q231" s="103"/>
      <c r="R231" s="104"/>
      <c r="S231" s="104"/>
      <c r="T231" s="104"/>
      <c r="U231" s="104"/>
      <c r="V231" s="104"/>
      <c r="W231" s="105"/>
      <c r="X231" s="1"/>
    </row>
    <row r="232" spans="1:24" ht="20.100000000000001" customHeight="1" x14ac:dyDescent="0.25">
      <c r="A232" s="106" t="s">
        <v>7</v>
      </c>
      <c r="B232" s="107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7"/>
      <c r="R232" s="107"/>
      <c r="S232" s="107"/>
      <c r="T232" s="107"/>
      <c r="U232" s="107"/>
      <c r="V232" s="107"/>
      <c r="W232" s="110"/>
      <c r="X232" s="1"/>
    </row>
    <row r="233" spans="1:24" ht="24.95" customHeight="1" x14ac:dyDescent="0.25">
      <c r="A233" s="113" t="s">
        <v>8</v>
      </c>
      <c r="B233" s="114" t="s">
        <v>9</v>
      </c>
      <c r="C233" s="114" t="s">
        <v>10</v>
      </c>
      <c r="D233" s="114" t="s">
        <v>11</v>
      </c>
      <c r="E233" s="114" t="s">
        <v>12</v>
      </c>
      <c r="F233" s="114" t="s">
        <v>13</v>
      </c>
      <c r="G233" s="114" t="s">
        <v>14</v>
      </c>
      <c r="H233" s="114"/>
      <c r="I233" s="114"/>
      <c r="J233" s="114"/>
      <c r="K233" s="114"/>
      <c r="L233" s="114"/>
      <c r="M233" s="114" t="s">
        <v>15</v>
      </c>
      <c r="N233" s="114" t="s">
        <v>16</v>
      </c>
      <c r="O233" s="114" t="s">
        <v>17</v>
      </c>
      <c r="P233" s="114" t="s">
        <v>18</v>
      </c>
      <c r="Q233" s="114" t="s">
        <v>19</v>
      </c>
      <c r="R233" s="114"/>
      <c r="S233" s="114"/>
      <c r="T233" s="114"/>
      <c r="U233" s="114"/>
      <c r="V233" s="114"/>
      <c r="W233" s="115" t="s">
        <v>20</v>
      </c>
      <c r="X233" s="3"/>
    </row>
    <row r="234" spans="1:24" ht="24.95" customHeight="1" x14ac:dyDescent="0.25">
      <c r="A234" s="113"/>
      <c r="B234" s="114"/>
      <c r="C234" s="114"/>
      <c r="D234" s="114"/>
      <c r="E234" s="114"/>
      <c r="F234" s="114"/>
      <c r="G234" s="31" t="s">
        <v>21</v>
      </c>
      <c r="H234" s="31" t="s">
        <v>21</v>
      </c>
      <c r="I234" s="31" t="s">
        <v>21</v>
      </c>
      <c r="J234" s="31" t="s">
        <v>22</v>
      </c>
      <c r="K234" s="31" t="s">
        <v>22</v>
      </c>
      <c r="L234" s="31" t="s">
        <v>22</v>
      </c>
      <c r="M234" s="114"/>
      <c r="N234" s="114"/>
      <c r="O234" s="114"/>
      <c r="P234" s="114"/>
      <c r="Q234" s="31" t="s">
        <v>21</v>
      </c>
      <c r="R234" s="31" t="s">
        <v>21</v>
      </c>
      <c r="S234" s="31" t="s">
        <v>21</v>
      </c>
      <c r="T234" s="31" t="s">
        <v>22</v>
      </c>
      <c r="U234" s="31" t="s">
        <v>22</v>
      </c>
      <c r="V234" s="31" t="s">
        <v>22</v>
      </c>
      <c r="W234" s="115"/>
      <c r="X234" s="3"/>
    </row>
    <row r="235" spans="1:24" ht="17.25" customHeight="1" x14ac:dyDescent="0.25">
      <c r="A235" s="5">
        <v>1</v>
      </c>
      <c r="B235" s="21" t="s">
        <v>238</v>
      </c>
      <c r="C235" s="13">
        <v>45738</v>
      </c>
      <c r="D235" s="8" t="s">
        <v>371</v>
      </c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2"/>
    </row>
    <row r="236" spans="1:24" ht="15.75" customHeight="1" x14ac:dyDescent="0.25">
      <c r="A236" s="5">
        <v>2</v>
      </c>
      <c r="B236" s="21" t="s">
        <v>357</v>
      </c>
      <c r="C236" s="13">
        <v>45884</v>
      </c>
      <c r="D236" s="8" t="s">
        <v>371</v>
      </c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2"/>
    </row>
    <row r="237" spans="1:24" ht="15" customHeight="1" x14ac:dyDescent="0.25">
      <c r="A237" s="5">
        <v>3</v>
      </c>
      <c r="B237" s="21" t="s">
        <v>97</v>
      </c>
      <c r="C237" s="13">
        <v>46039</v>
      </c>
      <c r="D237" s="13">
        <v>46111</v>
      </c>
      <c r="E237" s="21">
        <v>3</v>
      </c>
      <c r="F237" s="21">
        <v>0</v>
      </c>
      <c r="G237" s="21">
        <v>125</v>
      </c>
      <c r="H237" s="21"/>
      <c r="I237" s="21"/>
      <c r="J237" s="21">
        <v>139</v>
      </c>
      <c r="K237" s="21">
        <v>144</v>
      </c>
      <c r="L237" s="21"/>
      <c r="M237" s="21">
        <f>AVERAGE(G237:L237)</f>
        <v>136</v>
      </c>
      <c r="N237" s="20">
        <v>46133</v>
      </c>
      <c r="O237" s="21">
        <v>2</v>
      </c>
      <c r="P237" s="21">
        <v>1</v>
      </c>
      <c r="Q237" s="21"/>
      <c r="R237" s="21"/>
      <c r="S237" s="21"/>
      <c r="T237" s="21">
        <v>315</v>
      </c>
      <c r="U237" s="21">
        <v>294</v>
      </c>
      <c r="V237" s="21"/>
      <c r="W237" s="22">
        <f>AVERAGE(Q237:V237)</f>
        <v>304.5</v>
      </c>
    </row>
    <row r="238" spans="1:24" ht="15.75" customHeight="1" x14ac:dyDescent="0.25">
      <c r="A238" s="5">
        <v>4</v>
      </c>
      <c r="B238" s="21" t="s">
        <v>97</v>
      </c>
      <c r="C238" s="13">
        <v>46148</v>
      </c>
      <c r="D238" s="8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2"/>
    </row>
    <row r="239" spans="1:24" ht="14.25" customHeight="1" x14ac:dyDescent="0.25">
      <c r="A239" s="5">
        <v>5</v>
      </c>
      <c r="B239" s="21"/>
      <c r="C239" s="8"/>
      <c r="D239" s="8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2"/>
    </row>
    <row r="240" spans="1:24" ht="13.5" customHeight="1" thickBot="1" x14ac:dyDescent="0.3">
      <c r="A240" s="7">
        <v>6</v>
      </c>
      <c r="B240" s="37"/>
      <c r="C240" s="10"/>
      <c r="D240" s="10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9"/>
    </row>
  </sheetData>
  <mergeCells count="482">
    <mergeCell ref="W233:W234"/>
    <mergeCell ref="G233:L233"/>
    <mergeCell ref="M233:M234"/>
    <mergeCell ref="N233:N234"/>
    <mergeCell ref="O233:O234"/>
    <mergeCell ref="P233:P234"/>
    <mergeCell ref="Q233:V233"/>
    <mergeCell ref="A232:B232"/>
    <mergeCell ref="C232:N232"/>
    <mergeCell ref="O232:P232"/>
    <mergeCell ref="Q232:W232"/>
    <mergeCell ref="A233:A234"/>
    <mergeCell ref="B233:B234"/>
    <mergeCell ref="C233:C234"/>
    <mergeCell ref="D233:D234"/>
    <mergeCell ref="E233:E234"/>
    <mergeCell ref="F233:F234"/>
    <mergeCell ref="A231:B231"/>
    <mergeCell ref="G231:H231"/>
    <mergeCell ref="I231:N231"/>
    <mergeCell ref="O231:P231"/>
    <mergeCell ref="Q231:W231"/>
    <mergeCell ref="G221:L221"/>
    <mergeCell ref="M221:M222"/>
    <mergeCell ref="N221:N222"/>
    <mergeCell ref="O221:O222"/>
    <mergeCell ref="P221:P222"/>
    <mergeCell ref="Q221:V221"/>
    <mergeCell ref="C231:D231"/>
    <mergeCell ref="E231:F231"/>
    <mergeCell ref="A220:B220"/>
    <mergeCell ref="C220:N220"/>
    <mergeCell ref="O220:P220"/>
    <mergeCell ref="Q220:W220"/>
    <mergeCell ref="A221:A222"/>
    <mergeCell ref="B221:B222"/>
    <mergeCell ref="C221:C222"/>
    <mergeCell ref="D221:D222"/>
    <mergeCell ref="E221:E222"/>
    <mergeCell ref="F221:F222"/>
    <mergeCell ref="W221:W222"/>
    <mergeCell ref="A219:B219"/>
    <mergeCell ref="G219:H219"/>
    <mergeCell ref="I219:N219"/>
    <mergeCell ref="O219:P219"/>
    <mergeCell ref="Q219:W219"/>
    <mergeCell ref="G209:L209"/>
    <mergeCell ref="M209:M210"/>
    <mergeCell ref="N209:N210"/>
    <mergeCell ref="O209:O210"/>
    <mergeCell ref="P209:P210"/>
    <mergeCell ref="Q209:V209"/>
    <mergeCell ref="C219:D219"/>
    <mergeCell ref="E219:F219"/>
    <mergeCell ref="A208:B208"/>
    <mergeCell ref="C208:N208"/>
    <mergeCell ref="O208:P208"/>
    <mergeCell ref="Q208:W208"/>
    <mergeCell ref="A209:A210"/>
    <mergeCell ref="B209:B210"/>
    <mergeCell ref="C209:C210"/>
    <mergeCell ref="D209:D210"/>
    <mergeCell ref="E209:E210"/>
    <mergeCell ref="F209:F210"/>
    <mergeCell ref="W209:W210"/>
    <mergeCell ref="A207:B207"/>
    <mergeCell ref="G207:H207"/>
    <mergeCell ref="I207:N207"/>
    <mergeCell ref="O207:P207"/>
    <mergeCell ref="Q207:W207"/>
    <mergeCell ref="G197:L197"/>
    <mergeCell ref="M197:M198"/>
    <mergeCell ref="N197:N198"/>
    <mergeCell ref="O197:O198"/>
    <mergeCell ref="P197:P198"/>
    <mergeCell ref="Q197:V197"/>
    <mergeCell ref="C207:D207"/>
    <mergeCell ref="E207:F207"/>
    <mergeCell ref="A196:B196"/>
    <mergeCell ref="C196:N196"/>
    <mergeCell ref="O196:P196"/>
    <mergeCell ref="Q196:W196"/>
    <mergeCell ref="A197:A198"/>
    <mergeCell ref="B197:B198"/>
    <mergeCell ref="C197:C198"/>
    <mergeCell ref="D197:D198"/>
    <mergeCell ref="E197:E198"/>
    <mergeCell ref="F197:F198"/>
    <mergeCell ref="W197:W198"/>
    <mergeCell ref="A195:B195"/>
    <mergeCell ref="G195:H195"/>
    <mergeCell ref="I195:N195"/>
    <mergeCell ref="O195:P195"/>
    <mergeCell ref="Q195:W195"/>
    <mergeCell ref="G185:L185"/>
    <mergeCell ref="M185:M186"/>
    <mergeCell ref="N185:N186"/>
    <mergeCell ref="O185:O186"/>
    <mergeCell ref="P185:P186"/>
    <mergeCell ref="Q185:V185"/>
    <mergeCell ref="C195:D195"/>
    <mergeCell ref="E195:F195"/>
    <mergeCell ref="A184:B184"/>
    <mergeCell ref="C184:N184"/>
    <mergeCell ref="O184:P184"/>
    <mergeCell ref="Q184:W184"/>
    <mergeCell ref="A185:A186"/>
    <mergeCell ref="B185:B186"/>
    <mergeCell ref="C185:C186"/>
    <mergeCell ref="D185:D186"/>
    <mergeCell ref="E185:E186"/>
    <mergeCell ref="F185:F186"/>
    <mergeCell ref="W185:W186"/>
    <mergeCell ref="A183:B183"/>
    <mergeCell ref="G183:H183"/>
    <mergeCell ref="I183:N183"/>
    <mergeCell ref="O183:P183"/>
    <mergeCell ref="Q183:W183"/>
    <mergeCell ref="G173:L173"/>
    <mergeCell ref="M173:M174"/>
    <mergeCell ref="N173:N174"/>
    <mergeCell ref="O173:O174"/>
    <mergeCell ref="P173:P174"/>
    <mergeCell ref="Q173:V173"/>
    <mergeCell ref="C183:D183"/>
    <mergeCell ref="E183:F183"/>
    <mergeCell ref="A172:B172"/>
    <mergeCell ref="C172:N172"/>
    <mergeCell ref="O172:P172"/>
    <mergeCell ref="Q172:W172"/>
    <mergeCell ref="A173:A174"/>
    <mergeCell ref="B173:B174"/>
    <mergeCell ref="C173:C174"/>
    <mergeCell ref="D173:D174"/>
    <mergeCell ref="E173:E174"/>
    <mergeCell ref="F173:F174"/>
    <mergeCell ref="W173:W174"/>
    <mergeCell ref="A171:B171"/>
    <mergeCell ref="G171:H171"/>
    <mergeCell ref="I171:N171"/>
    <mergeCell ref="O171:P171"/>
    <mergeCell ref="Q171:W171"/>
    <mergeCell ref="G161:L161"/>
    <mergeCell ref="M161:M162"/>
    <mergeCell ref="N161:N162"/>
    <mergeCell ref="O161:O162"/>
    <mergeCell ref="P161:P162"/>
    <mergeCell ref="Q161:V161"/>
    <mergeCell ref="C171:D171"/>
    <mergeCell ref="E171:F171"/>
    <mergeCell ref="A160:B160"/>
    <mergeCell ref="C160:N160"/>
    <mergeCell ref="O160:P160"/>
    <mergeCell ref="Q160:W160"/>
    <mergeCell ref="A161:A162"/>
    <mergeCell ref="B161:B162"/>
    <mergeCell ref="C161:C162"/>
    <mergeCell ref="D161:D162"/>
    <mergeCell ref="E161:E162"/>
    <mergeCell ref="F161:F162"/>
    <mergeCell ref="W161:W162"/>
    <mergeCell ref="A159:B159"/>
    <mergeCell ref="G159:H159"/>
    <mergeCell ref="I159:N159"/>
    <mergeCell ref="O159:P159"/>
    <mergeCell ref="Q159:W159"/>
    <mergeCell ref="G149:L149"/>
    <mergeCell ref="M149:M150"/>
    <mergeCell ref="N149:N150"/>
    <mergeCell ref="O149:O150"/>
    <mergeCell ref="P149:P150"/>
    <mergeCell ref="Q149:V149"/>
    <mergeCell ref="C159:D159"/>
    <mergeCell ref="E159:F159"/>
    <mergeCell ref="A148:B148"/>
    <mergeCell ref="C148:N148"/>
    <mergeCell ref="O148:P148"/>
    <mergeCell ref="Q148:W148"/>
    <mergeCell ref="A149:A150"/>
    <mergeCell ref="B149:B150"/>
    <mergeCell ref="C149:C150"/>
    <mergeCell ref="D149:D150"/>
    <mergeCell ref="E149:E150"/>
    <mergeCell ref="F149:F150"/>
    <mergeCell ref="W149:W150"/>
    <mergeCell ref="A147:B147"/>
    <mergeCell ref="G147:H147"/>
    <mergeCell ref="I147:N147"/>
    <mergeCell ref="O147:P147"/>
    <mergeCell ref="Q147:W147"/>
    <mergeCell ref="G137:L137"/>
    <mergeCell ref="M137:M138"/>
    <mergeCell ref="N137:N138"/>
    <mergeCell ref="O137:O138"/>
    <mergeCell ref="P137:P138"/>
    <mergeCell ref="Q137:V137"/>
    <mergeCell ref="C147:D147"/>
    <mergeCell ref="E147:F147"/>
    <mergeCell ref="A136:B136"/>
    <mergeCell ref="C136:N136"/>
    <mergeCell ref="O136:P136"/>
    <mergeCell ref="Q136:W136"/>
    <mergeCell ref="A137:A138"/>
    <mergeCell ref="B137:B138"/>
    <mergeCell ref="C137:C138"/>
    <mergeCell ref="D137:D138"/>
    <mergeCell ref="E137:E138"/>
    <mergeCell ref="F137:F138"/>
    <mergeCell ref="W137:W138"/>
    <mergeCell ref="A135:B135"/>
    <mergeCell ref="G135:H135"/>
    <mergeCell ref="I135:N135"/>
    <mergeCell ref="O135:P135"/>
    <mergeCell ref="Q135:W135"/>
    <mergeCell ref="G125:L125"/>
    <mergeCell ref="M125:M126"/>
    <mergeCell ref="N125:N126"/>
    <mergeCell ref="O125:O126"/>
    <mergeCell ref="P125:P126"/>
    <mergeCell ref="Q125:V125"/>
    <mergeCell ref="C135:D135"/>
    <mergeCell ref="E135:F135"/>
    <mergeCell ref="A124:B124"/>
    <mergeCell ref="C124:N124"/>
    <mergeCell ref="O124:P124"/>
    <mergeCell ref="Q124:W124"/>
    <mergeCell ref="A125:A126"/>
    <mergeCell ref="B125:B126"/>
    <mergeCell ref="C125:C126"/>
    <mergeCell ref="D125:D126"/>
    <mergeCell ref="E125:E126"/>
    <mergeCell ref="F125:F126"/>
    <mergeCell ref="W125:W126"/>
    <mergeCell ref="A123:B123"/>
    <mergeCell ref="G123:H123"/>
    <mergeCell ref="I123:N123"/>
    <mergeCell ref="O123:P123"/>
    <mergeCell ref="Q123:W123"/>
    <mergeCell ref="G113:L113"/>
    <mergeCell ref="M113:M114"/>
    <mergeCell ref="N113:N114"/>
    <mergeCell ref="O113:O114"/>
    <mergeCell ref="P113:P114"/>
    <mergeCell ref="Q113:V113"/>
    <mergeCell ref="C123:D123"/>
    <mergeCell ref="E123:F123"/>
    <mergeCell ref="A112:B112"/>
    <mergeCell ref="C112:N112"/>
    <mergeCell ref="O112:P112"/>
    <mergeCell ref="Q112:W112"/>
    <mergeCell ref="A113:A114"/>
    <mergeCell ref="B113:B114"/>
    <mergeCell ref="C113:C114"/>
    <mergeCell ref="D113:D114"/>
    <mergeCell ref="E113:E114"/>
    <mergeCell ref="F113:F114"/>
    <mergeCell ref="W113:W114"/>
    <mergeCell ref="A111:B111"/>
    <mergeCell ref="G111:H111"/>
    <mergeCell ref="I111:N111"/>
    <mergeCell ref="O111:P111"/>
    <mergeCell ref="Q111:W111"/>
    <mergeCell ref="G101:L101"/>
    <mergeCell ref="M101:M102"/>
    <mergeCell ref="N101:N102"/>
    <mergeCell ref="O101:O102"/>
    <mergeCell ref="P101:P102"/>
    <mergeCell ref="Q101:V101"/>
    <mergeCell ref="C111:D111"/>
    <mergeCell ref="E111:F111"/>
    <mergeCell ref="A100:B100"/>
    <mergeCell ref="C100:N100"/>
    <mergeCell ref="O100:P100"/>
    <mergeCell ref="Q100:W100"/>
    <mergeCell ref="A101:A102"/>
    <mergeCell ref="B101:B102"/>
    <mergeCell ref="C101:C102"/>
    <mergeCell ref="D101:D102"/>
    <mergeCell ref="E101:E102"/>
    <mergeCell ref="F101:F102"/>
    <mergeCell ref="W101:W102"/>
    <mergeCell ref="A99:B99"/>
    <mergeCell ref="G99:H99"/>
    <mergeCell ref="I99:N99"/>
    <mergeCell ref="O99:P99"/>
    <mergeCell ref="Q99:W99"/>
    <mergeCell ref="G89:L89"/>
    <mergeCell ref="M89:M90"/>
    <mergeCell ref="N89:N90"/>
    <mergeCell ref="O89:O90"/>
    <mergeCell ref="P89:P90"/>
    <mergeCell ref="Q89:V89"/>
    <mergeCell ref="C99:D99"/>
    <mergeCell ref="E99:F99"/>
    <mergeCell ref="A88:B88"/>
    <mergeCell ref="C88:N88"/>
    <mergeCell ref="O88:P88"/>
    <mergeCell ref="Q88:W88"/>
    <mergeCell ref="A89:A90"/>
    <mergeCell ref="B89:B90"/>
    <mergeCell ref="C89:C90"/>
    <mergeCell ref="D89:D90"/>
    <mergeCell ref="E89:E90"/>
    <mergeCell ref="F89:F90"/>
    <mergeCell ref="W89:W90"/>
    <mergeCell ref="A87:B87"/>
    <mergeCell ref="G87:H87"/>
    <mergeCell ref="I87:N87"/>
    <mergeCell ref="O87:P87"/>
    <mergeCell ref="Q87:W87"/>
    <mergeCell ref="G77:L77"/>
    <mergeCell ref="M77:M78"/>
    <mergeCell ref="N77:N78"/>
    <mergeCell ref="O77:O78"/>
    <mergeCell ref="P77:P78"/>
    <mergeCell ref="Q77:V77"/>
    <mergeCell ref="C87:D87"/>
    <mergeCell ref="E87:F87"/>
    <mergeCell ref="A76:B76"/>
    <mergeCell ref="C76:N76"/>
    <mergeCell ref="O76:P76"/>
    <mergeCell ref="Q76:W76"/>
    <mergeCell ref="A77:A78"/>
    <mergeCell ref="B77:B78"/>
    <mergeCell ref="C77:C78"/>
    <mergeCell ref="D77:D78"/>
    <mergeCell ref="E77:E78"/>
    <mergeCell ref="F77:F78"/>
    <mergeCell ref="W77:W78"/>
    <mergeCell ref="A75:B75"/>
    <mergeCell ref="G75:H75"/>
    <mergeCell ref="I75:N75"/>
    <mergeCell ref="O75:P75"/>
    <mergeCell ref="Q75:W75"/>
    <mergeCell ref="G65:L65"/>
    <mergeCell ref="M65:M66"/>
    <mergeCell ref="N65:N66"/>
    <mergeCell ref="O65:O66"/>
    <mergeCell ref="P65:P66"/>
    <mergeCell ref="Q65:V65"/>
    <mergeCell ref="C75:D75"/>
    <mergeCell ref="E75:F75"/>
    <mergeCell ref="A64:B64"/>
    <mergeCell ref="C64:N64"/>
    <mergeCell ref="O64:P64"/>
    <mergeCell ref="Q64:W64"/>
    <mergeCell ref="A65:A66"/>
    <mergeCell ref="B65:B66"/>
    <mergeCell ref="C65:C66"/>
    <mergeCell ref="D65:D66"/>
    <mergeCell ref="E65:E66"/>
    <mergeCell ref="F65:F66"/>
    <mergeCell ref="W65:W66"/>
    <mergeCell ref="A63:B63"/>
    <mergeCell ref="G63:H63"/>
    <mergeCell ref="I63:N63"/>
    <mergeCell ref="O63:P63"/>
    <mergeCell ref="Q63:W63"/>
    <mergeCell ref="G53:L53"/>
    <mergeCell ref="M53:M54"/>
    <mergeCell ref="N53:N54"/>
    <mergeCell ref="O53:O54"/>
    <mergeCell ref="P53:P54"/>
    <mergeCell ref="Q53:V53"/>
    <mergeCell ref="C63:D63"/>
    <mergeCell ref="E63:F63"/>
    <mergeCell ref="A52:B52"/>
    <mergeCell ref="C52:N52"/>
    <mergeCell ref="O52:P52"/>
    <mergeCell ref="Q52:W52"/>
    <mergeCell ref="A53:A54"/>
    <mergeCell ref="B53:B54"/>
    <mergeCell ref="C53:C54"/>
    <mergeCell ref="D53:D54"/>
    <mergeCell ref="E53:E54"/>
    <mergeCell ref="F53:F54"/>
    <mergeCell ref="W53:W54"/>
    <mergeCell ref="A51:B51"/>
    <mergeCell ref="G51:H51"/>
    <mergeCell ref="I51:N51"/>
    <mergeCell ref="O51:P51"/>
    <mergeCell ref="Q51:W51"/>
    <mergeCell ref="G41:L41"/>
    <mergeCell ref="M41:M42"/>
    <mergeCell ref="N41:N42"/>
    <mergeCell ref="O41:O42"/>
    <mergeCell ref="P41:P42"/>
    <mergeCell ref="Q41:V41"/>
    <mergeCell ref="C51:D51"/>
    <mergeCell ref="E51:F51"/>
    <mergeCell ref="A40:B40"/>
    <mergeCell ref="C40:N40"/>
    <mergeCell ref="O40:P40"/>
    <mergeCell ref="Q40:W40"/>
    <mergeCell ref="A41:A42"/>
    <mergeCell ref="B41:B42"/>
    <mergeCell ref="C41:C42"/>
    <mergeCell ref="D41:D42"/>
    <mergeCell ref="E41:E42"/>
    <mergeCell ref="F41:F42"/>
    <mergeCell ref="W41:W42"/>
    <mergeCell ref="A39:B39"/>
    <mergeCell ref="G39:H39"/>
    <mergeCell ref="I39:N39"/>
    <mergeCell ref="O39:P39"/>
    <mergeCell ref="Q39:W39"/>
    <mergeCell ref="G29:L29"/>
    <mergeCell ref="M29:M30"/>
    <mergeCell ref="N29:N30"/>
    <mergeCell ref="O29:O30"/>
    <mergeCell ref="P29:P30"/>
    <mergeCell ref="Q29:V29"/>
    <mergeCell ref="C39:D39"/>
    <mergeCell ref="E39:F39"/>
    <mergeCell ref="A28:B28"/>
    <mergeCell ref="C28:N28"/>
    <mergeCell ref="O28:P28"/>
    <mergeCell ref="Q28:W28"/>
    <mergeCell ref="A29:A30"/>
    <mergeCell ref="B29:B30"/>
    <mergeCell ref="C29:C30"/>
    <mergeCell ref="D29:D30"/>
    <mergeCell ref="E29:E30"/>
    <mergeCell ref="F29:F30"/>
    <mergeCell ref="W29:W30"/>
    <mergeCell ref="A27:B27"/>
    <mergeCell ref="G27:H27"/>
    <mergeCell ref="I27:N27"/>
    <mergeCell ref="O27:P27"/>
    <mergeCell ref="Q27:W27"/>
    <mergeCell ref="G17:L17"/>
    <mergeCell ref="M17:M18"/>
    <mergeCell ref="N17:N18"/>
    <mergeCell ref="O17:O18"/>
    <mergeCell ref="P17:P18"/>
    <mergeCell ref="Q17:V17"/>
    <mergeCell ref="C27:D27"/>
    <mergeCell ref="E27:F27"/>
    <mergeCell ref="A16:B16"/>
    <mergeCell ref="C16:N16"/>
    <mergeCell ref="O16:P16"/>
    <mergeCell ref="Q16:W16"/>
    <mergeCell ref="A17:A18"/>
    <mergeCell ref="B17:B18"/>
    <mergeCell ref="C17:C18"/>
    <mergeCell ref="D17:D18"/>
    <mergeCell ref="E17:E18"/>
    <mergeCell ref="F17:F18"/>
    <mergeCell ref="W17:W18"/>
    <mergeCell ref="A5:A6"/>
    <mergeCell ref="B5:B6"/>
    <mergeCell ref="C5:C6"/>
    <mergeCell ref="D5:D6"/>
    <mergeCell ref="E5:E6"/>
    <mergeCell ref="F5:F6"/>
    <mergeCell ref="W5:W6"/>
    <mergeCell ref="A15:B15"/>
    <mergeCell ref="G15:H15"/>
    <mergeCell ref="I15:N15"/>
    <mergeCell ref="O15:P15"/>
    <mergeCell ref="Q15:W15"/>
    <mergeCell ref="G5:L5"/>
    <mergeCell ref="M5:M6"/>
    <mergeCell ref="N5:N6"/>
    <mergeCell ref="O5:O6"/>
    <mergeCell ref="P5:P6"/>
    <mergeCell ref="Q5:V5"/>
    <mergeCell ref="C15:D15"/>
    <mergeCell ref="E15:F15"/>
    <mergeCell ref="A1:W1"/>
    <mergeCell ref="A2:W2"/>
    <mergeCell ref="A3:B3"/>
    <mergeCell ref="G3:H3"/>
    <mergeCell ref="I3:N3"/>
    <mergeCell ref="O3:P3"/>
    <mergeCell ref="Q3:W3"/>
    <mergeCell ref="A4:B4"/>
    <mergeCell ref="C4:N4"/>
    <mergeCell ref="O4:P4"/>
    <mergeCell ref="Q4:W4"/>
    <mergeCell ref="C3:D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21BD-1D24-489D-9DFA-24CBC9A25952}">
  <dimension ref="A1:X240"/>
  <sheetViews>
    <sheetView topLeftCell="A223" workbookViewId="0">
      <selection activeCell="C231" sqref="C231:D231"/>
    </sheetView>
  </sheetViews>
  <sheetFormatPr baseColWidth="10" defaultColWidth="11.42578125" defaultRowHeight="15" x14ac:dyDescent="0.25"/>
  <cols>
    <col min="1" max="1" width="7.5703125" customWidth="1"/>
    <col min="2" max="2" width="12.28515625" customWidth="1"/>
    <col min="3" max="4" width="12.5703125" bestFit="1" customWidth="1"/>
    <col min="7" max="7" width="5.140625" customWidth="1"/>
    <col min="8" max="9" width="5.28515625" customWidth="1"/>
    <col min="10" max="10" width="5.5703125" customWidth="1"/>
    <col min="11" max="11" width="5.140625" customWidth="1"/>
    <col min="12" max="12" width="5.5703125" customWidth="1"/>
    <col min="13" max="13" width="10" customWidth="1"/>
    <col min="14" max="14" width="14" customWidth="1"/>
    <col min="15" max="15" width="9.5703125" customWidth="1"/>
    <col min="16" max="16" width="10.7109375" customWidth="1"/>
    <col min="17" max="17" width="5.140625" customWidth="1"/>
    <col min="18" max="18" width="5" customWidth="1"/>
    <col min="19" max="19" width="5.140625" customWidth="1"/>
    <col min="20" max="20" width="5.5703125" customWidth="1"/>
    <col min="21" max="21" width="5" customWidth="1"/>
    <col min="22" max="22" width="5.5703125" customWidth="1"/>
  </cols>
  <sheetData>
    <row r="1" spans="1:24" s="4" customFormat="1" ht="20.100000000000001" customHeight="1" x14ac:dyDescent="0.3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s="2" customFormat="1" ht="30" customHeight="1" thickBot="1" x14ac:dyDescent="0.3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4" ht="20.100000000000001" customHeight="1" x14ac:dyDescent="0.25">
      <c r="A3" s="100" t="s">
        <v>2</v>
      </c>
      <c r="B3" s="101"/>
      <c r="C3" s="178" t="s">
        <v>114</v>
      </c>
      <c r="D3" s="179"/>
      <c r="E3" s="111" t="s">
        <v>390</v>
      </c>
      <c r="F3" s="112"/>
      <c r="G3" s="101" t="s">
        <v>4</v>
      </c>
      <c r="H3" s="101"/>
      <c r="I3" s="102" t="s">
        <v>135</v>
      </c>
      <c r="J3" s="102"/>
      <c r="K3" s="102"/>
      <c r="L3" s="102"/>
      <c r="M3" s="102"/>
      <c r="N3" s="102"/>
      <c r="O3" s="101" t="s">
        <v>6</v>
      </c>
      <c r="P3" s="101"/>
      <c r="Q3" s="103"/>
      <c r="R3" s="104"/>
      <c r="S3" s="104"/>
      <c r="T3" s="104"/>
      <c r="U3" s="104"/>
      <c r="V3" s="104"/>
      <c r="W3" s="105"/>
      <c r="X3" s="1"/>
    </row>
    <row r="4" spans="1:24" ht="20.100000000000001" customHeight="1" x14ac:dyDescent="0.25">
      <c r="A4" s="106" t="s">
        <v>7</v>
      </c>
      <c r="B4" s="107"/>
      <c r="C4" s="116" t="s">
        <v>44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09"/>
      <c r="P4" s="109"/>
      <c r="Q4" s="107"/>
      <c r="R4" s="107"/>
      <c r="S4" s="107"/>
      <c r="T4" s="107"/>
      <c r="U4" s="107"/>
      <c r="V4" s="107"/>
      <c r="W4" s="110"/>
      <c r="X4" s="1"/>
    </row>
    <row r="5" spans="1:24" ht="24.95" customHeight="1" x14ac:dyDescent="0.25">
      <c r="A5" s="113" t="s">
        <v>8</v>
      </c>
      <c r="B5" s="114" t="s">
        <v>9</v>
      </c>
      <c r="C5" s="114" t="s">
        <v>10</v>
      </c>
      <c r="D5" s="114" t="s">
        <v>11</v>
      </c>
      <c r="E5" s="114" t="s">
        <v>12</v>
      </c>
      <c r="F5" s="114" t="s">
        <v>13</v>
      </c>
      <c r="G5" s="114" t="s">
        <v>14</v>
      </c>
      <c r="H5" s="114"/>
      <c r="I5" s="114"/>
      <c r="J5" s="114"/>
      <c r="K5" s="114"/>
      <c r="L5" s="114"/>
      <c r="M5" s="114" t="s">
        <v>15</v>
      </c>
      <c r="N5" s="114" t="s">
        <v>16</v>
      </c>
      <c r="O5" s="114" t="s">
        <v>17</v>
      </c>
      <c r="P5" s="114" t="s">
        <v>18</v>
      </c>
      <c r="Q5" s="114" t="s">
        <v>19</v>
      </c>
      <c r="R5" s="114"/>
      <c r="S5" s="114"/>
      <c r="T5" s="114"/>
      <c r="U5" s="114"/>
      <c r="V5" s="114"/>
      <c r="W5" s="115" t="s">
        <v>20</v>
      </c>
      <c r="X5" s="3"/>
    </row>
    <row r="6" spans="1:24" ht="24.95" customHeight="1" x14ac:dyDescent="0.25">
      <c r="A6" s="113"/>
      <c r="B6" s="114"/>
      <c r="C6" s="114"/>
      <c r="D6" s="114"/>
      <c r="E6" s="114"/>
      <c r="F6" s="114"/>
      <c r="G6" s="31" t="s">
        <v>21</v>
      </c>
      <c r="H6" s="31" t="s">
        <v>21</v>
      </c>
      <c r="I6" s="31" t="s">
        <v>21</v>
      </c>
      <c r="J6" s="31" t="s">
        <v>22</v>
      </c>
      <c r="K6" s="31" t="s">
        <v>22</v>
      </c>
      <c r="L6" s="31" t="s">
        <v>22</v>
      </c>
      <c r="M6" s="114"/>
      <c r="N6" s="114"/>
      <c r="O6" s="114"/>
      <c r="P6" s="114"/>
      <c r="Q6" s="31" t="s">
        <v>21</v>
      </c>
      <c r="R6" s="31" t="s">
        <v>21</v>
      </c>
      <c r="S6" s="31" t="s">
        <v>21</v>
      </c>
      <c r="T6" s="31" t="s">
        <v>22</v>
      </c>
      <c r="U6" s="31" t="s">
        <v>22</v>
      </c>
      <c r="V6" s="31" t="s">
        <v>22</v>
      </c>
      <c r="W6" s="115"/>
      <c r="X6" s="3"/>
    </row>
    <row r="7" spans="1:24" ht="16.5" customHeight="1" x14ac:dyDescent="0.25">
      <c r="A7" s="5">
        <v>1</v>
      </c>
      <c r="B7" s="21" t="s">
        <v>238</v>
      </c>
      <c r="C7" s="13">
        <v>45738</v>
      </c>
      <c r="D7" s="20">
        <v>45863</v>
      </c>
      <c r="E7" s="21">
        <v>2</v>
      </c>
      <c r="F7" s="21">
        <v>0</v>
      </c>
      <c r="G7" s="21">
        <v>170</v>
      </c>
      <c r="H7" s="21">
        <v>173</v>
      </c>
      <c r="I7" s="21"/>
      <c r="J7" s="21"/>
      <c r="K7" s="21"/>
      <c r="L7" s="21"/>
      <c r="M7" s="21">
        <f>AVERAGE(G7:L7)</f>
        <v>171.5</v>
      </c>
      <c r="N7" s="20"/>
      <c r="O7" s="21"/>
      <c r="P7" s="21">
        <v>2</v>
      </c>
      <c r="Q7" s="21"/>
      <c r="R7" s="21"/>
      <c r="S7" s="21"/>
      <c r="T7" s="21"/>
      <c r="U7" s="21"/>
      <c r="V7" s="21"/>
      <c r="W7" s="22"/>
    </row>
    <row r="8" spans="1:24" ht="18" customHeight="1" x14ac:dyDescent="0.25">
      <c r="A8" s="6">
        <v>2</v>
      </c>
      <c r="B8" s="21" t="s">
        <v>357</v>
      </c>
      <c r="C8" s="13">
        <v>45884</v>
      </c>
      <c r="D8" s="20">
        <v>45965</v>
      </c>
      <c r="E8" s="21">
        <v>4</v>
      </c>
      <c r="F8" s="21">
        <v>0</v>
      </c>
      <c r="G8" s="21">
        <v>87</v>
      </c>
      <c r="H8" s="21">
        <v>79</v>
      </c>
      <c r="I8" s="21">
        <v>71</v>
      </c>
      <c r="J8" s="21">
        <v>90</v>
      </c>
      <c r="K8" s="21"/>
      <c r="L8" s="21"/>
      <c r="M8" s="41">
        <f>AVERAGE(G8:L8)</f>
        <v>81.75</v>
      </c>
      <c r="N8" s="21"/>
      <c r="O8" s="21">
        <v>0</v>
      </c>
      <c r="P8" s="21">
        <v>4</v>
      </c>
      <c r="Q8" s="21"/>
      <c r="R8" s="21"/>
      <c r="S8" s="21"/>
      <c r="T8" s="21"/>
      <c r="U8" s="21"/>
      <c r="V8" s="21"/>
      <c r="W8" s="22"/>
    </row>
    <row r="9" spans="1:24" ht="16.5" customHeight="1" x14ac:dyDescent="0.25">
      <c r="A9" s="6">
        <v>3</v>
      </c>
      <c r="B9" s="21" t="s">
        <v>357</v>
      </c>
      <c r="C9" s="13">
        <v>46039</v>
      </c>
      <c r="D9" s="20">
        <v>46109</v>
      </c>
      <c r="E9" s="21">
        <v>3</v>
      </c>
      <c r="F9" s="21">
        <v>0</v>
      </c>
      <c r="G9" s="21">
        <v>157</v>
      </c>
      <c r="H9" s="21"/>
      <c r="I9" s="21"/>
      <c r="J9" s="21">
        <v>112</v>
      </c>
      <c r="K9" s="21">
        <v>142</v>
      </c>
      <c r="L9" s="21"/>
      <c r="M9" s="21">
        <f>AVERAGE(G9:L9)</f>
        <v>137</v>
      </c>
      <c r="N9" s="20">
        <v>46133</v>
      </c>
      <c r="O9" s="21">
        <v>3</v>
      </c>
      <c r="P9" s="21">
        <v>0</v>
      </c>
      <c r="Q9" s="21">
        <v>276</v>
      </c>
      <c r="R9" s="21"/>
      <c r="S9" s="21"/>
      <c r="T9" s="21">
        <v>231</v>
      </c>
      <c r="U9" s="21">
        <v>277</v>
      </c>
      <c r="V9" s="21"/>
      <c r="W9" s="68">
        <f>AVERAGE(Q9:V9)</f>
        <v>261.33333333333331</v>
      </c>
    </row>
    <row r="10" spans="1:24" ht="16.5" customHeight="1" x14ac:dyDescent="0.25">
      <c r="A10" s="5">
        <v>4</v>
      </c>
      <c r="B10" s="21" t="s">
        <v>357</v>
      </c>
      <c r="C10" s="13">
        <v>46148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2"/>
    </row>
    <row r="11" spans="1:24" ht="15.75" customHeight="1" x14ac:dyDescent="0.25">
      <c r="A11" s="5">
        <v>5</v>
      </c>
      <c r="B11" s="21"/>
      <c r="C11" s="8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2"/>
    </row>
    <row r="12" spans="1:24" ht="15" customHeight="1" thickBot="1" x14ac:dyDescent="0.3">
      <c r="A12" s="7">
        <v>6</v>
      </c>
      <c r="B12" s="37"/>
      <c r="C12" s="10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9"/>
    </row>
    <row r="13" spans="1:24" ht="20.100000000000001" customHeight="1" x14ac:dyDescent="0.25">
      <c r="A13" s="38"/>
      <c r="B13" s="38"/>
    </row>
    <row r="14" spans="1:24" ht="20.100000000000001" customHeight="1" thickBot="1" x14ac:dyDescent="0.3">
      <c r="A14" s="38"/>
      <c r="B14" s="38"/>
    </row>
    <row r="15" spans="1:24" ht="20.100000000000001" customHeight="1" x14ac:dyDescent="0.25">
      <c r="A15" s="100" t="s">
        <v>2</v>
      </c>
      <c r="B15" s="101"/>
      <c r="C15" s="188" t="s">
        <v>115</v>
      </c>
      <c r="D15" s="189"/>
      <c r="E15" s="111" t="s">
        <v>390</v>
      </c>
      <c r="F15" s="112"/>
      <c r="G15" s="101" t="s">
        <v>4</v>
      </c>
      <c r="H15" s="101"/>
      <c r="I15" s="102" t="s">
        <v>135</v>
      </c>
      <c r="J15" s="102"/>
      <c r="K15" s="102"/>
      <c r="L15" s="102"/>
      <c r="M15" s="102"/>
      <c r="N15" s="102"/>
      <c r="O15" s="101" t="s">
        <v>6</v>
      </c>
      <c r="P15" s="101"/>
      <c r="Q15" s="103"/>
      <c r="R15" s="104"/>
      <c r="S15" s="104"/>
      <c r="T15" s="104"/>
      <c r="U15" s="104"/>
      <c r="V15" s="104"/>
      <c r="W15" s="105"/>
      <c r="X15" s="1"/>
    </row>
    <row r="16" spans="1:24" ht="20.100000000000001" customHeight="1" x14ac:dyDescent="0.25">
      <c r="A16" s="106" t="s">
        <v>7</v>
      </c>
      <c r="B16" s="107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7"/>
      <c r="R16" s="107"/>
      <c r="S16" s="107"/>
      <c r="T16" s="107"/>
      <c r="U16" s="107"/>
      <c r="V16" s="107"/>
      <c r="W16" s="110"/>
      <c r="X16" s="1"/>
    </row>
    <row r="17" spans="1:24" ht="24.95" customHeight="1" x14ac:dyDescent="0.25">
      <c r="A17" s="113" t="s">
        <v>8</v>
      </c>
      <c r="B17" s="114" t="s">
        <v>9</v>
      </c>
      <c r="C17" s="114" t="s">
        <v>10</v>
      </c>
      <c r="D17" s="114" t="s">
        <v>11</v>
      </c>
      <c r="E17" s="114" t="s">
        <v>12</v>
      </c>
      <c r="F17" s="114" t="s">
        <v>13</v>
      </c>
      <c r="G17" s="114" t="s">
        <v>14</v>
      </c>
      <c r="H17" s="114"/>
      <c r="I17" s="114"/>
      <c r="J17" s="114"/>
      <c r="K17" s="114"/>
      <c r="L17" s="114"/>
      <c r="M17" s="114" t="s">
        <v>15</v>
      </c>
      <c r="N17" s="114" t="s">
        <v>16</v>
      </c>
      <c r="O17" s="114" t="s">
        <v>17</v>
      </c>
      <c r="P17" s="114" t="s">
        <v>18</v>
      </c>
      <c r="Q17" s="114" t="s">
        <v>19</v>
      </c>
      <c r="R17" s="114"/>
      <c r="S17" s="114"/>
      <c r="T17" s="114"/>
      <c r="U17" s="114"/>
      <c r="V17" s="114"/>
      <c r="W17" s="115" t="s">
        <v>20</v>
      </c>
      <c r="X17" s="3"/>
    </row>
    <row r="18" spans="1:24" ht="24.95" customHeight="1" x14ac:dyDescent="0.25">
      <c r="A18" s="113"/>
      <c r="B18" s="114"/>
      <c r="C18" s="114"/>
      <c r="D18" s="114"/>
      <c r="E18" s="114"/>
      <c r="F18" s="114"/>
      <c r="G18" s="31" t="s">
        <v>21</v>
      </c>
      <c r="H18" s="31" t="s">
        <v>21</v>
      </c>
      <c r="I18" s="31" t="s">
        <v>21</v>
      </c>
      <c r="J18" s="31" t="s">
        <v>22</v>
      </c>
      <c r="K18" s="31" t="s">
        <v>22</v>
      </c>
      <c r="L18" s="31" t="s">
        <v>22</v>
      </c>
      <c r="M18" s="114"/>
      <c r="N18" s="114"/>
      <c r="O18" s="114"/>
      <c r="P18" s="114"/>
      <c r="Q18" s="31" t="s">
        <v>21</v>
      </c>
      <c r="R18" s="31" t="s">
        <v>21</v>
      </c>
      <c r="S18" s="31" t="s">
        <v>21</v>
      </c>
      <c r="T18" s="31" t="s">
        <v>22</v>
      </c>
      <c r="U18" s="31" t="s">
        <v>22</v>
      </c>
      <c r="V18" s="31" t="s">
        <v>22</v>
      </c>
      <c r="W18" s="115"/>
      <c r="X18" s="3"/>
    </row>
    <row r="19" spans="1:24" ht="15.75" customHeight="1" x14ac:dyDescent="0.25">
      <c r="A19" s="5">
        <v>1</v>
      </c>
      <c r="B19" s="21" t="s">
        <v>238</v>
      </c>
      <c r="C19" s="13">
        <v>45738</v>
      </c>
      <c r="D19" s="20">
        <v>45810</v>
      </c>
      <c r="E19" s="21">
        <v>2</v>
      </c>
      <c r="F19" s="21">
        <v>0</v>
      </c>
      <c r="G19" s="21">
        <v>182</v>
      </c>
      <c r="H19" s="21"/>
      <c r="I19" s="21"/>
      <c r="J19" s="21">
        <v>191</v>
      </c>
      <c r="K19" s="21"/>
      <c r="L19" s="21"/>
      <c r="M19" s="21">
        <f>AVERAGE(G19,J19)</f>
        <v>186.5</v>
      </c>
      <c r="N19" s="20">
        <v>45833</v>
      </c>
      <c r="O19" s="21">
        <v>2</v>
      </c>
      <c r="P19" s="21">
        <v>0</v>
      </c>
      <c r="Q19" s="21">
        <v>392</v>
      </c>
      <c r="R19" s="21"/>
      <c r="S19" s="21"/>
      <c r="T19" s="21">
        <v>420</v>
      </c>
      <c r="U19" s="21"/>
      <c r="V19" s="21"/>
      <c r="W19" s="22">
        <f>AVERAGE(Q19,T19)</f>
        <v>406</v>
      </c>
    </row>
    <row r="20" spans="1:24" ht="16.5" customHeight="1" x14ac:dyDescent="0.25">
      <c r="A20" s="6">
        <v>2</v>
      </c>
      <c r="B20" s="21" t="s">
        <v>357</v>
      </c>
      <c r="C20" s="13">
        <v>45884</v>
      </c>
      <c r="D20" s="20">
        <v>45957</v>
      </c>
      <c r="E20" s="21">
        <v>4</v>
      </c>
      <c r="F20" s="21">
        <v>0</v>
      </c>
      <c r="G20" s="21">
        <v>113</v>
      </c>
      <c r="H20" s="21">
        <v>103</v>
      </c>
      <c r="I20" s="21">
        <v>85</v>
      </c>
      <c r="J20" s="21">
        <v>95</v>
      </c>
      <c r="K20" s="21"/>
      <c r="L20" s="21"/>
      <c r="M20" s="21">
        <f>AVERAGE(G20:L20)</f>
        <v>99</v>
      </c>
      <c r="N20" s="20">
        <v>45973</v>
      </c>
      <c r="O20" s="21">
        <v>4</v>
      </c>
      <c r="P20" s="21">
        <v>0</v>
      </c>
      <c r="Q20" s="21">
        <v>180</v>
      </c>
      <c r="R20" s="21">
        <v>178</v>
      </c>
      <c r="S20" s="21">
        <v>158</v>
      </c>
      <c r="T20" s="21">
        <v>157</v>
      </c>
      <c r="U20" s="21"/>
      <c r="V20" s="21"/>
      <c r="W20" s="40">
        <f>AVERAGE(Q20:V20)</f>
        <v>168.25</v>
      </c>
    </row>
    <row r="21" spans="1:24" ht="16.5" customHeight="1" x14ac:dyDescent="0.25">
      <c r="A21" s="6">
        <v>3</v>
      </c>
      <c r="B21" s="21" t="s">
        <v>357</v>
      </c>
      <c r="C21" s="13">
        <v>46039</v>
      </c>
      <c r="D21" s="20">
        <v>46113</v>
      </c>
      <c r="E21" s="21">
        <v>3</v>
      </c>
      <c r="F21" s="21">
        <v>0</v>
      </c>
      <c r="G21" s="21">
        <v>115</v>
      </c>
      <c r="H21" s="21">
        <v>120</v>
      </c>
      <c r="I21" s="21"/>
      <c r="J21" s="21">
        <v>128</v>
      </c>
      <c r="K21" s="21"/>
      <c r="L21" s="21"/>
      <c r="M21" s="21">
        <f>AVERAGE(G21:L21)</f>
        <v>121</v>
      </c>
      <c r="N21" s="20">
        <v>46139</v>
      </c>
      <c r="O21" s="21">
        <v>3</v>
      </c>
      <c r="P21" s="21">
        <v>0</v>
      </c>
      <c r="Q21" s="21">
        <v>226</v>
      </c>
      <c r="R21" s="21">
        <v>225</v>
      </c>
      <c r="S21" s="21"/>
      <c r="T21" s="21">
        <v>208</v>
      </c>
      <c r="U21" s="21"/>
      <c r="V21" s="21"/>
      <c r="W21" s="68">
        <f>AVERAGE(Q21:V21)</f>
        <v>219.66666666666666</v>
      </c>
    </row>
    <row r="22" spans="1:24" ht="15.75" customHeight="1" x14ac:dyDescent="0.25">
      <c r="A22" s="5">
        <v>4</v>
      </c>
      <c r="B22" s="21" t="s">
        <v>357</v>
      </c>
      <c r="C22" s="13">
        <v>46148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4" ht="16.5" customHeight="1" x14ac:dyDescent="0.25">
      <c r="A23" s="5">
        <v>5</v>
      </c>
      <c r="B23" s="21"/>
      <c r="C23" s="8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4" ht="15.75" customHeight="1" thickBot="1" x14ac:dyDescent="0.3">
      <c r="A24" s="7">
        <v>6</v>
      </c>
      <c r="B24" s="37"/>
      <c r="C24" s="10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9"/>
    </row>
    <row r="25" spans="1:24" ht="20.100000000000001" customHeight="1" x14ac:dyDescent="0.25">
      <c r="A25" s="38"/>
      <c r="B25" s="38"/>
    </row>
    <row r="26" spans="1:24" ht="20.100000000000001" customHeight="1" thickBot="1" x14ac:dyDescent="0.3">
      <c r="A26" s="38"/>
      <c r="B26" s="38"/>
    </row>
    <row r="27" spans="1:24" ht="20.100000000000001" customHeight="1" x14ac:dyDescent="0.25">
      <c r="A27" s="100" t="s">
        <v>2</v>
      </c>
      <c r="B27" s="101"/>
      <c r="C27" s="188" t="s">
        <v>116</v>
      </c>
      <c r="D27" s="189"/>
      <c r="E27" s="111" t="s">
        <v>390</v>
      </c>
      <c r="F27" s="112"/>
      <c r="G27" s="101" t="s">
        <v>4</v>
      </c>
      <c r="H27" s="101"/>
      <c r="I27" s="102" t="s">
        <v>135</v>
      </c>
      <c r="J27" s="102"/>
      <c r="K27" s="102"/>
      <c r="L27" s="102"/>
      <c r="M27" s="102"/>
      <c r="N27" s="102"/>
      <c r="O27" s="101" t="s">
        <v>6</v>
      </c>
      <c r="P27" s="101"/>
      <c r="Q27" s="103"/>
      <c r="R27" s="104"/>
      <c r="S27" s="104"/>
      <c r="T27" s="104"/>
      <c r="U27" s="104"/>
      <c r="V27" s="104"/>
      <c r="W27" s="105"/>
      <c r="X27" s="1"/>
    </row>
    <row r="28" spans="1:24" ht="20.100000000000001" customHeight="1" x14ac:dyDescent="0.25">
      <c r="A28" s="106" t="s">
        <v>7</v>
      </c>
      <c r="B28" s="107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7"/>
      <c r="R28" s="107"/>
      <c r="S28" s="107"/>
      <c r="T28" s="107"/>
      <c r="U28" s="107"/>
      <c r="V28" s="107"/>
      <c r="W28" s="110"/>
      <c r="X28" s="1"/>
    </row>
    <row r="29" spans="1:24" ht="24.95" customHeight="1" x14ac:dyDescent="0.25">
      <c r="A29" s="113" t="s">
        <v>8</v>
      </c>
      <c r="B29" s="114" t="s">
        <v>9</v>
      </c>
      <c r="C29" s="114" t="s">
        <v>10</v>
      </c>
      <c r="D29" s="114" t="s">
        <v>11</v>
      </c>
      <c r="E29" s="114" t="s">
        <v>12</v>
      </c>
      <c r="F29" s="114" t="s">
        <v>13</v>
      </c>
      <c r="G29" s="114" t="s">
        <v>14</v>
      </c>
      <c r="H29" s="114"/>
      <c r="I29" s="114"/>
      <c r="J29" s="114"/>
      <c r="K29" s="114"/>
      <c r="L29" s="114"/>
      <c r="M29" s="114" t="s">
        <v>15</v>
      </c>
      <c r="N29" s="114" t="s">
        <v>16</v>
      </c>
      <c r="O29" s="114" t="s">
        <v>17</v>
      </c>
      <c r="P29" s="114" t="s">
        <v>18</v>
      </c>
      <c r="Q29" s="114" t="s">
        <v>19</v>
      </c>
      <c r="R29" s="114"/>
      <c r="S29" s="114"/>
      <c r="T29" s="114"/>
      <c r="U29" s="114"/>
      <c r="V29" s="114"/>
      <c r="W29" s="115" t="s">
        <v>20</v>
      </c>
      <c r="X29" s="3"/>
    </row>
    <row r="30" spans="1:24" ht="24.95" customHeight="1" x14ac:dyDescent="0.25">
      <c r="A30" s="113"/>
      <c r="B30" s="114"/>
      <c r="C30" s="114"/>
      <c r="D30" s="114"/>
      <c r="E30" s="114"/>
      <c r="F30" s="114"/>
      <c r="G30" s="31" t="s">
        <v>21</v>
      </c>
      <c r="H30" s="31" t="s">
        <v>21</v>
      </c>
      <c r="I30" s="31" t="s">
        <v>21</v>
      </c>
      <c r="J30" s="31" t="s">
        <v>22</v>
      </c>
      <c r="K30" s="31" t="s">
        <v>22</v>
      </c>
      <c r="L30" s="31" t="s">
        <v>22</v>
      </c>
      <c r="M30" s="114"/>
      <c r="N30" s="114"/>
      <c r="O30" s="114"/>
      <c r="P30" s="114"/>
      <c r="Q30" s="31" t="s">
        <v>21</v>
      </c>
      <c r="R30" s="31" t="s">
        <v>21</v>
      </c>
      <c r="S30" s="31" t="s">
        <v>21</v>
      </c>
      <c r="T30" s="31" t="s">
        <v>22</v>
      </c>
      <c r="U30" s="31" t="s">
        <v>22</v>
      </c>
      <c r="V30" s="31" t="s">
        <v>22</v>
      </c>
      <c r="W30" s="115"/>
      <c r="X30" s="3"/>
    </row>
    <row r="31" spans="1:24" ht="14.25" customHeight="1" x14ac:dyDescent="0.25">
      <c r="A31" s="5">
        <v>1</v>
      </c>
      <c r="B31" s="21" t="s">
        <v>238</v>
      </c>
      <c r="C31" s="13">
        <v>45738</v>
      </c>
      <c r="D31" s="20">
        <v>45841</v>
      </c>
      <c r="E31" s="21">
        <v>2</v>
      </c>
      <c r="F31" s="21">
        <v>0</v>
      </c>
      <c r="G31" s="21">
        <v>130</v>
      </c>
      <c r="H31" s="21">
        <v>130</v>
      </c>
      <c r="I31" s="21"/>
      <c r="J31" s="21"/>
      <c r="K31" s="21"/>
      <c r="L31" s="21"/>
      <c r="M31" s="21">
        <f>AVERAGE(G31:L31)</f>
        <v>130</v>
      </c>
      <c r="N31" s="21"/>
      <c r="O31" s="21">
        <v>2</v>
      </c>
      <c r="P31" s="21">
        <v>2</v>
      </c>
      <c r="Q31" s="21"/>
      <c r="R31" s="21"/>
      <c r="S31" s="21"/>
      <c r="T31" s="21"/>
      <c r="U31" s="21"/>
      <c r="V31" s="21"/>
      <c r="W31" s="22"/>
    </row>
    <row r="32" spans="1:24" ht="15.75" customHeight="1" x14ac:dyDescent="0.25">
      <c r="A32" s="6">
        <v>2</v>
      </c>
      <c r="B32" s="21" t="s">
        <v>357</v>
      </c>
      <c r="C32" s="20">
        <v>45884</v>
      </c>
      <c r="D32" s="20">
        <v>45952</v>
      </c>
      <c r="E32" s="21">
        <v>4</v>
      </c>
      <c r="F32" s="21">
        <v>0</v>
      </c>
      <c r="G32" s="21">
        <v>123</v>
      </c>
      <c r="H32" s="21"/>
      <c r="I32" s="21"/>
      <c r="J32" s="21">
        <v>95</v>
      </c>
      <c r="K32" s="21">
        <v>88</v>
      </c>
      <c r="L32" s="21">
        <v>84</v>
      </c>
      <c r="M32" s="21">
        <f>AVERAGE(G32:L32)</f>
        <v>97.5</v>
      </c>
      <c r="N32" s="20">
        <v>45973</v>
      </c>
      <c r="O32" s="21">
        <v>2</v>
      </c>
      <c r="P32" s="21">
        <v>2</v>
      </c>
      <c r="Q32" s="21">
        <v>246</v>
      </c>
      <c r="R32" s="21"/>
      <c r="S32" s="21"/>
      <c r="T32" s="21">
        <v>200</v>
      </c>
      <c r="U32" s="21"/>
      <c r="V32" s="21"/>
      <c r="W32" s="22">
        <f>AVERAGE(Q32:V32)</f>
        <v>223</v>
      </c>
    </row>
    <row r="33" spans="1:24" ht="17.25" customHeight="1" x14ac:dyDescent="0.25">
      <c r="A33" s="6">
        <v>3</v>
      </c>
      <c r="B33" s="21" t="s">
        <v>357</v>
      </c>
      <c r="C33" s="13">
        <v>46039</v>
      </c>
      <c r="D33" s="20">
        <v>46112</v>
      </c>
      <c r="E33" s="21">
        <v>2</v>
      </c>
      <c r="F33" s="21">
        <v>0</v>
      </c>
      <c r="G33" s="21">
        <v>159</v>
      </c>
      <c r="H33" s="21">
        <v>172</v>
      </c>
      <c r="I33" s="21"/>
      <c r="J33" s="21"/>
      <c r="K33" s="21"/>
      <c r="L33" s="21"/>
      <c r="M33" s="80">
        <f>AVERAGE(G33:L33)</f>
        <v>165.5</v>
      </c>
      <c r="N33" s="20">
        <v>46133</v>
      </c>
      <c r="O33" s="21">
        <v>2</v>
      </c>
      <c r="P33" s="21">
        <v>0</v>
      </c>
      <c r="Q33" s="21">
        <v>258</v>
      </c>
      <c r="R33" s="21">
        <v>221</v>
      </c>
      <c r="S33" s="21"/>
      <c r="T33" s="21"/>
      <c r="U33" s="21"/>
      <c r="V33" s="21"/>
      <c r="W33" s="68">
        <f>AVERAGE(Q33:V33)</f>
        <v>239.5</v>
      </c>
    </row>
    <row r="34" spans="1:24" ht="16.5" customHeight="1" x14ac:dyDescent="0.25">
      <c r="A34" s="5">
        <v>4</v>
      </c>
      <c r="B34" s="21" t="s">
        <v>357</v>
      </c>
      <c r="C34" s="13">
        <v>46148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2"/>
    </row>
    <row r="35" spans="1:24" ht="16.5" customHeight="1" x14ac:dyDescent="0.25">
      <c r="A35" s="5">
        <v>5</v>
      </c>
      <c r="B35" s="21"/>
      <c r="C35" s="8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</row>
    <row r="36" spans="1:24" ht="16.5" customHeight="1" thickBot="1" x14ac:dyDescent="0.3">
      <c r="A36" s="7">
        <v>6</v>
      </c>
      <c r="B36" s="37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4" ht="20.100000000000001" customHeight="1" x14ac:dyDescent="0.25">
      <c r="A37" s="38"/>
      <c r="B37" s="38"/>
    </row>
    <row r="38" spans="1:24" ht="20.100000000000001" customHeight="1" thickBot="1" x14ac:dyDescent="0.3">
      <c r="A38" s="38"/>
      <c r="B38" s="38"/>
    </row>
    <row r="39" spans="1:24" ht="20.100000000000001" customHeight="1" x14ac:dyDescent="0.25">
      <c r="A39" s="100" t="s">
        <v>2</v>
      </c>
      <c r="B39" s="101"/>
      <c r="C39" s="188" t="s">
        <v>117</v>
      </c>
      <c r="D39" s="189"/>
      <c r="E39" s="111" t="s">
        <v>390</v>
      </c>
      <c r="F39" s="112"/>
      <c r="G39" s="101" t="s">
        <v>4</v>
      </c>
      <c r="H39" s="101"/>
      <c r="I39" s="102" t="s">
        <v>135</v>
      </c>
      <c r="J39" s="102"/>
      <c r="K39" s="102"/>
      <c r="L39" s="102"/>
      <c r="M39" s="102"/>
      <c r="N39" s="102"/>
      <c r="O39" s="101" t="s">
        <v>6</v>
      </c>
      <c r="P39" s="101"/>
      <c r="Q39" s="103"/>
      <c r="R39" s="104"/>
      <c r="S39" s="104"/>
      <c r="T39" s="104"/>
      <c r="U39" s="104"/>
      <c r="V39" s="104"/>
      <c r="W39" s="105"/>
      <c r="X39" s="1"/>
    </row>
    <row r="40" spans="1:24" ht="20.100000000000001" customHeight="1" x14ac:dyDescent="0.25">
      <c r="A40" s="106" t="s">
        <v>7</v>
      </c>
      <c r="B40" s="107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7"/>
      <c r="R40" s="107"/>
      <c r="S40" s="107"/>
      <c r="T40" s="107"/>
      <c r="U40" s="107"/>
      <c r="V40" s="107"/>
      <c r="W40" s="110"/>
      <c r="X40" s="1"/>
    </row>
    <row r="41" spans="1:24" ht="24.95" customHeight="1" x14ac:dyDescent="0.25">
      <c r="A41" s="113" t="s">
        <v>8</v>
      </c>
      <c r="B41" s="114" t="s">
        <v>9</v>
      </c>
      <c r="C41" s="114" t="s">
        <v>10</v>
      </c>
      <c r="D41" s="114" t="s">
        <v>11</v>
      </c>
      <c r="E41" s="114" t="s">
        <v>12</v>
      </c>
      <c r="F41" s="114" t="s">
        <v>13</v>
      </c>
      <c r="G41" s="114" t="s">
        <v>14</v>
      </c>
      <c r="H41" s="114"/>
      <c r="I41" s="114"/>
      <c r="J41" s="114"/>
      <c r="K41" s="114"/>
      <c r="L41" s="114"/>
      <c r="M41" s="114" t="s">
        <v>15</v>
      </c>
      <c r="N41" s="114" t="s">
        <v>16</v>
      </c>
      <c r="O41" s="114" t="s">
        <v>17</v>
      </c>
      <c r="P41" s="114" t="s">
        <v>18</v>
      </c>
      <c r="Q41" s="114" t="s">
        <v>19</v>
      </c>
      <c r="R41" s="114"/>
      <c r="S41" s="114"/>
      <c r="T41" s="114"/>
      <c r="U41" s="114"/>
      <c r="V41" s="114"/>
      <c r="W41" s="115" t="s">
        <v>20</v>
      </c>
      <c r="X41" s="3"/>
    </row>
    <row r="42" spans="1:24" ht="24.95" customHeight="1" x14ac:dyDescent="0.25">
      <c r="A42" s="113"/>
      <c r="B42" s="114"/>
      <c r="C42" s="114"/>
      <c r="D42" s="114"/>
      <c r="E42" s="114"/>
      <c r="F42" s="114"/>
      <c r="G42" s="31" t="s">
        <v>21</v>
      </c>
      <c r="H42" s="31" t="s">
        <v>21</v>
      </c>
      <c r="I42" s="31" t="s">
        <v>21</v>
      </c>
      <c r="J42" s="31" t="s">
        <v>22</v>
      </c>
      <c r="K42" s="31" t="s">
        <v>22</v>
      </c>
      <c r="L42" s="31" t="s">
        <v>22</v>
      </c>
      <c r="M42" s="114"/>
      <c r="N42" s="114"/>
      <c r="O42" s="114"/>
      <c r="P42" s="114"/>
      <c r="Q42" s="31" t="s">
        <v>21</v>
      </c>
      <c r="R42" s="31" t="s">
        <v>21</v>
      </c>
      <c r="S42" s="31" t="s">
        <v>21</v>
      </c>
      <c r="T42" s="31" t="s">
        <v>22</v>
      </c>
      <c r="U42" s="31" t="s">
        <v>22</v>
      </c>
      <c r="V42" s="31" t="s">
        <v>22</v>
      </c>
      <c r="W42" s="115"/>
      <c r="X42" s="3"/>
    </row>
    <row r="43" spans="1:24" ht="15.75" customHeight="1" x14ac:dyDescent="0.25">
      <c r="A43" s="5">
        <v>1</v>
      </c>
      <c r="B43" s="21" t="s">
        <v>238</v>
      </c>
      <c r="C43" s="13">
        <v>45738</v>
      </c>
      <c r="D43" s="13" t="s">
        <v>428</v>
      </c>
      <c r="E43" s="8"/>
      <c r="F43" s="8"/>
      <c r="G43" s="8"/>
      <c r="H43" s="8"/>
      <c r="I43" s="8"/>
      <c r="J43" s="8"/>
      <c r="K43" s="8"/>
      <c r="L43" s="8"/>
      <c r="M43" s="8"/>
      <c r="N43" s="13"/>
      <c r="O43" s="8"/>
      <c r="P43" s="8"/>
      <c r="Q43" s="8"/>
      <c r="R43" s="8"/>
      <c r="S43" s="8"/>
      <c r="T43" s="8"/>
      <c r="U43" s="8"/>
      <c r="V43" s="8"/>
      <c r="W43" s="9"/>
    </row>
    <row r="44" spans="1:24" ht="15" customHeight="1" x14ac:dyDescent="0.25">
      <c r="A44" s="6">
        <v>2</v>
      </c>
      <c r="B44" s="21" t="s">
        <v>357</v>
      </c>
      <c r="C44" s="13">
        <v>45884</v>
      </c>
      <c r="D44" s="13">
        <v>45952</v>
      </c>
      <c r="E44" s="21">
        <v>3</v>
      </c>
      <c r="F44" s="21">
        <v>0</v>
      </c>
      <c r="G44" s="21">
        <v>101</v>
      </c>
      <c r="H44" s="21">
        <v>140</v>
      </c>
      <c r="I44" s="21"/>
      <c r="J44" s="21">
        <v>86</v>
      </c>
      <c r="K44" s="21"/>
      <c r="L44" s="21"/>
      <c r="M44" s="21">
        <f>AVERAGE(G44:L44)</f>
        <v>109</v>
      </c>
      <c r="N44" s="20">
        <v>45973</v>
      </c>
      <c r="O44" s="21">
        <v>3</v>
      </c>
      <c r="P44" s="21">
        <v>0</v>
      </c>
      <c r="Q44" s="21">
        <v>182</v>
      </c>
      <c r="R44" s="21">
        <v>210</v>
      </c>
      <c r="S44" s="21"/>
      <c r="T44" s="21">
        <v>198</v>
      </c>
      <c r="U44" s="21"/>
      <c r="V44" s="21"/>
      <c r="W44" s="40">
        <f>AVERAGE(Q44:V44)</f>
        <v>196.66666666666666</v>
      </c>
    </row>
    <row r="45" spans="1:24" ht="15.75" customHeight="1" x14ac:dyDescent="0.25">
      <c r="A45" s="6">
        <v>3</v>
      </c>
      <c r="B45" s="21" t="s">
        <v>357</v>
      </c>
      <c r="C45" s="13">
        <v>46039</v>
      </c>
      <c r="D45" s="13">
        <v>46109</v>
      </c>
      <c r="E45" s="21">
        <v>3</v>
      </c>
      <c r="F45" s="21">
        <v>0</v>
      </c>
      <c r="G45" s="21">
        <v>137</v>
      </c>
      <c r="H45" s="21">
        <v>118</v>
      </c>
      <c r="I45" s="21"/>
      <c r="J45" s="21">
        <v>123</v>
      </c>
      <c r="K45" s="21"/>
      <c r="L45" s="21"/>
      <c r="M45" s="21">
        <f>AVERAGE(G45:L45)</f>
        <v>126</v>
      </c>
      <c r="N45" s="20">
        <v>46133</v>
      </c>
      <c r="O45" s="21">
        <v>3</v>
      </c>
      <c r="P45" s="21">
        <v>0</v>
      </c>
      <c r="Q45" s="21">
        <v>232</v>
      </c>
      <c r="R45" s="21">
        <v>282</v>
      </c>
      <c r="S45" s="21"/>
      <c r="T45" s="21">
        <v>232</v>
      </c>
      <c r="U45" s="21"/>
      <c r="V45" s="21"/>
      <c r="W45" s="68">
        <f>AVERAGE(Q45:V45)</f>
        <v>248.66666666666666</v>
      </c>
    </row>
    <row r="46" spans="1:24" ht="16.5" customHeight="1" x14ac:dyDescent="0.25">
      <c r="A46" s="5">
        <v>4</v>
      </c>
      <c r="B46" s="21" t="s">
        <v>357</v>
      </c>
      <c r="C46" s="13">
        <v>46148</v>
      </c>
      <c r="D46" s="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2"/>
    </row>
    <row r="47" spans="1:24" ht="15" customHeight="1" x14ac:dyDescent="0.25">
      <c r="A47" s="5">
        <v>5</v>
      </c>
      <c r="B47" s="21"/>
      <c r="C47" s="8"/>
      <c r="D47" s="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</row>
    <row r="48" spans="1:24" ht="16.5" customHeight="1" thickBot="1" x14ac:dyDescent="0.3">
      <c r="A48" s="7">
        <v>6</v>
      </c>
      <c r="B48" s="37"/>
      <c r="C48" s="10"/>
      <c r="D48" s="10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9"/>
    </row>
    <row r="49" spans="1:24" ht="20.100000000000001" customHeight="1" x14ac:dyDescent="0.25">
      <c r="A49" s="38"/>
      <c r="B49" s="38"/>
    </row>
    <row r="50" spans="1:24" ht="20.100000000000001" customHeight="1" thickBot="1" x14ac:dyDescent="0.3">
      <c r="A50" s="38"/>
      <c r="B50" s="38"/>
    </row>
    <row r="51" spans="1:24" ht="20.100000000000001" customHeight="1" x14ac:dyDescent="0.25">
      <c r="A51" s="100" t="s">
        <v>2</v>
      </c>
      <c r="B51" s="101"/>
      <c r="C51" s="111" t="s">
        <v>118</v>
      </c>
      <c r="D51" s="112"/>
      <c r="E51" s="111" t="s">
        <v>390</v>
      </c>
      <c r="F51" s="112"/>
      <c r="G51" s="101" t="s">
        <v>4</v>
      </c>
      <c r="H51" s="101"/>
      <c r="I51" s="102" t="s">
        <v>135</v>
      </c>
      <c r="J51" s="102"/>
      <c r="K51" s="102"/>
      <c r="L51" s="102"/>
      <c r="M51" s="102"/>
      <c r="N51" s="102"/>
      <c r="O51" s="101" t="s">
        <v>6</v>
      </c>
      <c r="P51" s="101"/>
      <c r="Q51" s="103"/>
      <c r="R51" s="104"/>
      <c r="S51" s="104"/>
      <c r="T51" s="104"/>
      <c r="U51" s="104"/>
      <c r="V51" s="104"/>
      <c r="W51" s="105"/>
      <c r="X51" s="1"/>
    </row>
    <row r="52" spans="1:24" ht="20.100000000000001" customHeight="1" x14ac:dyDescent="0.25">
      <c r="A52" s="106" t="s">
        <v>7</v>
      </c>
      <c r="B52" s="107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7"/>
      <c r="R52" s="107"/>
      <c r="S52" s="107"/>
      <c r="T52" s="107"/>
      <c r="U52" s="107"/>
      <c r="V52" s="107"/>
      <c r="W52" s="110"/>
      <c r="X52" s="1"/>
    </row>
    <row r="53" spans="1:24" ht="24.95" customHeight="1" x14ac:dyDescent="0.25">
      <c r="A53" s="113" t="s">
        <v>8</v>
      </c>
      <c r="B53" s="114" t="s">
        <v>9</v>
      </c>
      <c r="C53" s="114" t="s">
        <v>10</v>
      </c>
      <c r="D53" s="114" t="s">
        <v>11</v>
      </c>
      <c r="E53" s="114" t="s">
        <v>12</v>
      </c>
      <c r="F53" s="114" t="s">
        <v>13</v>
      </c>
      <c r="G53" s="114" t="s">
        <v>14</v>
      </c>
      <c r="H53" s="114"/>
      <c r="I53" s="114"/>
      <c r="J53" s="114"/>
      <c r="K53" s="114"/>
      <c r="L53" s="114"/>
      <c r="M53" s="114" t="s">
        <v>15</v>
      </c>
      <c r="N53" s="114" t="s">
        <v>16</v>
      </c>
      <c r="O53" s="114" t="s">
        <v>17</v>
      </c>
      <c r="P53" s="114" t="s">
        <v>18</v>
      </c>
      <c r="Q53" s="114" t="s">
        <v>19</v>
      </c>
      <c r="R53" s="114"/>
      <c r="S53" s="114"/>
      <c r="T53" s="114"/>
      <c r="U53" s="114"/>
      <c r="V53" s="114"/>
      <c r="W53" s="115" t="s">
        <v>20</v>
      </c>
      <c r="X53" s="3"/>
    </row>
    <row r="54" spans="1:24" ht="24.95" customHeight="1" x14ac:dyDescent="0.25">
      <c r="A54" s="113"/>
      <c r="B54" s="114"/>
      <c r="C54" s="114"/>
      <c r="D54" s="114"/>
      <c r="E54" s="114"/>
      <c r="F54" s="114"/>
      <c r="G54" s="31" t="s">
        <v>21</v>
      </c>
      <c r="H54" s="31" t="s">
        <v>21</v>
      </c>
      <c r="I54" s="31" t="s">
        <v>21</v>
      </c>
      <c r="J54" s="31" t="s">
        <v>22</v>
      </c>
      <c r="K54" s="31" t="s">
        <v>22</v>
      </c>
      <c r="L54" s="31" t="s">
        <v>22</v>
      </c>
      <c r="M54" s="114"/>
      <c r="N54" s="114"/>
      <c r="O54" s="114"/>
      <c r="P54" s="114"/>
      <c r="Q54" s="31" t="s">
        <v>21</v>
      </c>
      <c r="R54" s="31" t="s">
        <v>21</v>
      </c>
      <c r="S54" s="31" t="s">
        <v>21</v>
      </c>
      <c r="T54" s="31" t="s">
        <v>22</v>
      </c>
      <c r="U54" s="31" t="s">
        <v>22</v>
      </c>
      <c r="V54" s="31" t="s">
        <v>22</v>
      </c>
      <c r="W54" s="115"/>
      <c r="X54" s="3"/>
    </row>
    <row r="55" spans="1:24" ht="14.25" customHeight="1" x14ac:dyDescent="0.25">
      <c r="A55" s="5">
        <v>1</v>
      </c>
      <c r="B55" s="21" t="s">
        <v>238</v>
      </c>
      <c r="C55" s="13">
        <v>45738</v>
      </c>
      <c r="D55" s="20">
        <v>45848</v>
      </c>
      <c r="E55" s="21">
        <v>3</v>
      </c>
      <c r="F55" s="21">
        <v>1</v>
      </c>
      <c r="G55" s="21">
        <v>142</v>
      </c>
      <c r="H55" s="21"/>
      <c r="I55" s="21"/>
      <c r="J55" s="21">
        <v>129</v>
      </c>
      <c r="K55" s="21"/>
      <c r="L55" s="21"/>
      <c r="M55" s="21">
        <f>AVERAGE(G55:L55)</f>
        <v>135.5</v>
      </c>
      <c r="N55" s="20">
        <v>45869</v>
      </c>
      <c r="O55" s="21">
        <v>1</v>
      </c>
      <c r="P55" s="21">
        <v>1</v>
      </c>
      <c r="Q55" s="21"/>
      <c r="R55" s="21"/>
      <c r="S55" s="21"/>
      <c r="T55" s="21">
        <v>272</v>
      </c>
      <c r="U55" s="21"/>
      <c r="V55" s="21"/>
      <c r="W55" s="22">
        <v>272</v>
      </c>
    </row>
    <row r="56" spans="1:24" ht="15.75" customHeight="1" x14ac:dyDescent="0.25">
      <c r="A56" s="6">
        <v>2</v>
      </c>
      <c r="B56" s="21" t="s">
        <v>235</v>
      </c>
      <c r="C56" s="13">
        <v>45884</v>
      </c>
      <c r="D56" s="20">
        <v>45967</v>
      </c>
      <c r="E56" s="21">
        <v>4</v>
      </c>
      <c r="F56" s="21">
        <v>0</v>
      </c>
      <c r="G56" s="21">
        <v>133</v>
      </c>
      <c r="H56" s="21"/>
      <c r="I56" s="21"/>
      <c r="J56" s="21">
        <v>116</v>
      </c>
      <c r="K56" s="21">
        <v>140</v>
      </c>
      <c r="L56" s="21">
        <v>125</v>
      </c>
      <c r="M56" s="21">
        <f>AVERAGE(G56:L56)</f>
        <v>128.5</v>
      </c>
      <c r="N56" s="20">
        <v>45986</v>
      </c>
      <c r="O56" s="21">
        <v>4</v>
      </c>
      <c r="P56" s="21">
        <v>0</v>
      </c>
      <c r="Q56" s="21">
        <v>173</v>
      </c>
      <c r="R56" s="21"/>
      <c r="S56" s="21"/>
      <c r="T56" s="21">
        <v>182</v>
      </c>
      <c r="U56" s="21">
        <v>200</v>
      </c>
      <c r="V56" s="21">
        <v>191</v>
      </c>
      <c r="W56" s="22">
        <f>AVERAGE(Q56:V56)</f>
        <v>186.5</v>
      </c>
    </row>
    <row r="57" spans="1:24" ht="15.75" customHeight="1" x14ac:dyDescent="0.25">
      <c r="A57" s="6">
        <v>3</v>
      </c>
      <c r="B57" s="21" t="s">
        <v>357</v>
      </c>
      <c r="C57" s="13">
        <v>46039</v>
      </c>
      <c r="D57" s="20">
        <v>46109</v>
      </c>
      <c r="E57" s="21">
        <v>3</v>
      </c>
      <c r="F57" s="21">
        <v>0</v>
      </c>
      <c r="G57" s="21">
        <v>144</v>
      </c>
      <c r="H57" s="21">
        <v>135</v>
      </c>
      <c r="I57" s="21">
        <v>129</v>
      </c>
      <c r="J57" s="21"/>
      <c r="K57" s="21"/>
      <c r="L57" s="21"/>
      <c r="M57" s="21">
        <f>AVERAGE(G57:L57)</f>
        <v>136</v>
      </c>
      <c r="N57" s="20">
        <v>46133</v>
      </c>
      <c r="O57" s="21">
        <v>3</v>
      </c>
      <c r="P57" s="21">
        <v>0</v>
      </c>
      <c r="Q57" s="21">
        <v>226</v>
      </c>
      <c r="R57" s="21">
        <v>245</v>
      </c>
      <c r="S57" s="21">
        <v>285</v>
      </c>
      <c r="T57" s="21"/>
      <c r="U57" s="21"/>
      <c r="V57" s="21"/>
      <c r="W57" s="22">
        <f>AVERAGE(Q57:V57)</f>
        <v>252</v>
      </c>
    </row>
    <row r="58" spans="1:24" ht="14.25" customHeight="1" x14ac:dyDescent="0.25">
      <c r="A58" s="5">
        <v>4</v>
      </c>
      <c r="B58" s="21" t="s">
        <v>357</v>
      </c>
      <c r="C58" s="13">
        <v>46148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2"/>
    </row>
    <row r="59" spans="1:24" ht="14.25" customHeight="1" x14ac:dyDescent="0.25">
      <c r="A59" s="5">
        <v>5</v>
      </c>
      <c r="B59" s="21"/>
      <c r="C59" s="8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2"/>
    </row>
    <row r="60" spans="1:24" ht="15" customHeight="1" thickBot="1" x14ac:dyDescent="0.3">
      <c r="A60" s="7">
        <v>6</v>
      </c>
      <c r="B60" s="37"/>
      <c r="C60" s="10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9"/>
    </row>
    <row r="61" spans="1:24" ht="20.100000000000001" customHeight="1" x14ac:dyDescent="0.25">
      <c r="A61" s="38"/>
      <c r="B61" s="38"/>
    </row>
    <row r="62" spans="1:24" ht="20.100000000000001" customHeight="1" thickBot="1" x14ac:dyDescent="0.3">
      <c r="A62" s="38"/>
      <c r="B62" s="38"/>
    </row>
    <row r="63" spans="1:24" ht="20.100000000000001" customHeight="1" x14ac:dyDescent="0.25">
      <c r="A63" s="100" t="s">
        <v>2</v>
      </c>
      <c r="B63" s="101"/>
      <c r="C63" s="111" t="s">
        <v>119</v>
      </c>
      <c r="D63" s="112"/>
      <c r="E63" s="111" t="s">
        <v>361</v>
      </c>
      <c r="F63" s="112"/>
      <c r="G63" s="101" t="s">
        <v>4</v>
      </c>
      <c r="H63" s="101"/>
      <c r="I63" s="102" t="s">
        <v>135</v>
      </c>
      <c r="J63" s="102"/>
      <c r="K63" s="102"/>
      <c r="L63" s="102"/>
      <c r="M63" s="102"/>
      <c r="N63" s="102"/>
      <c r="O63" s="101" t="s">
        <v>6</v>
      </c>
      <c r="P63" s="101"/>
      <c r="Q63" s="103"/>
      <c r="R63" s="104"/>
      <c r="S63" s="104"/>
      <c r="T63" s="104"/>
      <c r="U63" s="104"/>
      <c r="V63" s="104"/>
      <c r="W63" s="105"/>
      <c r="X63" s="1"/>
    </row>
    <row r="64" spans="1:24" ht="20.100000000000001" customHeight="1" x14ac:dyDescent="0.25">
      <c r="A64" s="106" t="s">
        <v>7</v>
      </c>
      <c r="B64" s="107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7"/>
      <c r="R64" s="107"/>
      <c r="S64" s="107"/>
      <c r="T64" s="107"/>
      <c r="U64" s="107"/>
      <c r="V64" s="107"/>
      <c r="W64" s="110"/>
      <c r="X64" s="1"/>
    </row>
    <row r="65" spans="1:24" ht="24.95" customHeight="1" x14ac:dyDescent="0.25">
      <c r="A65" s="113" t="s">
        <v>8</v>
      </c>
      <c r="B65" s="114" t="s">
        <v>9</v>
      </c>
      <c r="C65" s="114" t="s">
        <v>10</v>
      </c>
      <c r="D65" s="114" t="s">
        <v>11</v>
      </c>
      <c r="E65" s="114" t="s">
        <v>12</v>
      </c>
      <c r="F65" s="114" t="s">
        <v>13</v>
      </c>
      <c r="G65" s="114" t="s">
        <v>14</v>
      </c>
      <c r="H65" s="114"/>
      <c r="I65" s="114"/>
      <c r="J65" s="114"/>
      <c r="K65" s="114"/>
      <c r="L65" s="114"/>
      <c r="M65" s="114" t="s">
        <v>15</v>
      </c>
      <c r="N65" s="114" t="s">
        <v>16</v>
      </c>
      <c r="O65" s="114" t="s">
        <v>17</v>
      </c>
      <c r="P65" s="114" t="s">
        <v>18</v>
      </c>
      <c r="Q65" s="114" t="s">
        <v>19</v>
      </c>
      <c r="R65" s="114"/>
      <c r="S65" s="114"/>
      <c r="T65" s="114"/>
      <c r="U65" s="114"/>
      <c r="V65" s="114"/>
      <c r="W65" s="115" t="s">
        <v>20</v>
      </c>
      <c r="X65" s="3"/>
    </row>
    <row r="66" spans="1:24" ht="24.95" customHeight="1" x14ac:dyDescent="0.25">
      <c r="A66" s="113"/>
      <c r="B66" s="114"/>
      <c r="C66" s="114"/>
      <c r="D66" s="114"/>
      <c r="E66" s="114"/>
      <c r="F66" s="114"/>
      <c r="G66" s="31" t="s">
        <v>21</v>
      </c>
      <c r="H66" s="31" t="s">
        <v>21</v>
      </c>
      <c r="I66" s="31" t="s">
        <v>21</v>
      </c>
      <c r="J66" s="31" t="s">
        <v>22</v>
      </c>
      <c r="K66" s="31" t="s">
        <v>22</v>
      </c>
      <c r="L66" s="31" t="s">
        <v>22</v>
      </c>
      <c r="M66" s="114"/>
      <c r="N66" s="114"/>
      <c r="O66" s="114"/>
      <c r="P66" s="114"/>
      <c r="Q66" s="31" t="s">
        <v>21</v>
      </c>
      <c r="R66" s="31" t="s">
        <v>21</v>
      </c>
      <c r="S66" s="31" t="s">
        <v>21</v>
      </c>
      <c r="T66" s="31" t="s">
        <v>22</v>
      </c>
      <c r="U66" s="31" t="s">
        <v>22</v>
      </c>
      <c r="V66" s="31" t="s">
        <v>22</v>
      </c>
      <c r="W66" s="115"/>
      <c r="X66" s="3"/>
    </row>
    <row r="67" spans="1:24" ht="14.25" customHeight="1" x14ac:dyDescent="0.25">
      <c r="A67" s="5">
        <v>1</v>
      </c>
      <c r="B67" s="21" t="s">
        <v>239</v>
      </c>
      <c r="C67" s="13">
        <v>45738</v>
      </c>
      <c r="D67" s="13" t="s">
        <v>428</v>
      </c>
      <c r="E67" s="8"/>
      <c r="F67" s="8"/>
      <c r="G67" s="8"/>
      <c r="H67" s="8"/>
      <c r="I67" s="8"/>
      <c r="J67" s="8"/>
      <c r="K67" s="8"/>
      <c r="L67" s="8"/>
      <c r="M67" s="8"/>
      <c r="N67" s="13"/>
      <c r="O67" s="8"/>
      <c r="P67" s="8"/>
      <c r="Q67" s="8"/>
      <c r="R67" s="8"/>
      <c r="S67" s="8"/>
      <c r="T67" s="8"/>
      <c r="U67" s="8"/>
      <c r="V67" s="8"/>
      <c r="W67" s="9"/>
    </row>
    <row r="68" spans="1:24" ht="15" customHeight="1" x14ac:dyDescent="0.25">
      <c r="A68" s="6">
        <v>2</v>
      </c>
      <c r="B68" s="21" t="s">
        <v>239</v>
      </c>
      <c r="C68" s="13">
        <v>45851</v>
      </c>
      <c r="D68" s="13">
        <v>45921</v>
      </c>
      <c r="E68" s="21">
        <v>3</v>
      </c>
      <c r="F68" s="21">
        <v>0</v>
      </c>
      <c r="G68" s="21">
        <v>143</v>
      </c>
      <c r="H68" s="21"/>
      <c r="I68" s="21"/>
      <c r="J68" s="21">
        <v>160</v>
      </c>
      <c r="K68" s="21">
        <v>143</v>
      </c>
      <c r="L68" s="21"/>
      <c r="M68" s="41">
        <f>AVERAGE(G68:L68)</f>
        <v>148.66666666666666</v>
      </c>
      <c r="N68" s="20">
        <v>45944</v>
      </c>
      <c r="O68" s="21">
        <v>3</v>
      </c>
      <c r="P68" s="21">
        <v>1</v>
      </c>
      <c r="Q68" s="21"/>
      <c r="R68" s="21"/>
      <c r="S68" s="21"/>
      <c r="T68" s="21">
        <v>289</v>
      </c>
      <c r="U68" s="21">
        <v>265</v>
      </c>
      <c r="V68" s="21"/>
      <c r="W68" s="22">
        <f>AVERAGE(Q68:V68)</f>
        <v>277</v>
      </c>
    </row>
    <row r="69" spans="1:24" ht="15.75" customHeight="1" x14ac:dyDescent="0.25">
      <c r="A69" s="6">
        <v>3</v>
      </c>
      <c r="B69" s="21" t="s">
        <v>233</v>
      </c>
      <c r="C69" s="13">
        <v>45950</v>
      </c>
      <c r="D69" s="13">
        <v>46024</v>
      </c>
      <c r="E69" s="21">
        <v>4</v>
      </c>
      <c r="F69" s="21">
        <v>0</v>
      </c>
      <c r="G69" s="21">
        <v>118</v>
      </c>
      <c r="H69" s="21"/>
      <c r="I69" s="21"/>
      <c r="J69" s="21">
        <v>110</v>
      </c>
      <c r="K69" s="21">
        <v>122</v>
      </c>
      <c r="L69" s="21">
        <v>125</v>
      </c>
      <c r="M69" s="41">
        <f>AVERAGE(G69:L69)</f>
        <v>118.75</v>
      </c>
      <c r="N69" s="20">
        <v>46023</v>
      </c>
      <c r="O69" s="21">
        <v>4</v>
      </c>
      <c r="P69" s="21">
        <v>0</v>
      </c>
      <c r="Q69" s="21">
        <v>242</v>
      </c>
      <c r="R69" s="41"/>
      <c r="S69" s="41"/>
      <c r="T69" s="21">
        <v>246</v>
      </c>
      <c r="U69" s="21">
        <v>202</v>
      </c>
      <c r="V69" s="21">
        <v>205</v>
      </c>
      <c r="W69" s="40">
        <f>AVERAGE(Q69:V69)</f>
        <v>223.75</v>
      </c>
    </row>
    <row r="70" spans="1:24" ht="16.5" customHeight="1" x14ac:dyDescent="0.25">
      <c r="A70" s="5">
        <v>4</v>
      </c>
      <c r="B70" s="21" t="s">
        <v>233</v>
      </c>
      <c r="C70" s="13">
        <v>46039</v>
      </c>
      <c r="D70" s="8" t="s">
        <v>428</v>
      </c>
      <c r="E70" s="21"/>
      <c r="F70" s="21"/>
      <c r="G70" s="21"/>
      <c r="H70" s="21"/>
      <c r="I70" s="21"/>
      <c r="J70" s="21"/>
      <c r="K70" s="21"/>
      <c r="L70" s="21"/>
      <c r="M70" s="41"/>
      <c r="N70" s="21"/>
      <c r="O70" s="21"/>
      <c r="P70" s="21"/>
      <c r="Q70" s="21"/>
      <c r="R70" s="21"/>
      <c r="S70" s="21"/>
      <c r="T70" s="21"/>
      <c r="U70" s="21"/>
      <c r="V70" s="21"/>
      <c r="W70" s="22"/>
    </row>
    <row r="71" spans="1:24" ht="17.25" customHeight="1" x14ac:dyDescent="0.25">
      <c r="A71" s="5">
        <v>5</v>
      </c>
      <c r="B71" s="21" t="s">
        <v>233</v>
      </c>
      <c r="C71" s="13">
        <v>46148</v>
      </c>
      <c r="D71" s="8"/>
      <c r="E71" s="21"/>
      <c r="F71" s="21"/>
      <c r="G71" s="21"/>
      <c r="H71" s="21"/>
      <c r="I71" s="21"/>
      <c r="J71" s="21"/>
      <c r="K71" s="21"/>
      <c r="L71" s="21"/>
      <c r="M71" s="41"/>
      <c r="N71" s="21"/>
      <c r="O71" s="21"/>
      <c r="P71" s="21"/>
      <c r="Q71" s="21"/>
      <c r="R71" s="21"/>
      <c r="S71" s="21"/>
      <c r="T71" s="21"/>
      <c r="U71" s="21"/>
      <c r="V71" s="21"/>
      <c r="W71" s="22"/>
    </row>
    <row r="72" spans="1:24" ht="15" customHeight="1" thickBot="1" x14ac:dyDescent="0.3">
      <c r="A72" s="7">
        <v>6</v>
      </c>
      <c r="B72" s="37"/>
      <c r="C72" s="10"/>
      <c r="D72" s="10"/>
      <c r="E72" s="37"/>
      <c r="F72" s="37"/>
      <c r="G72" s="37"/>
      <c r="H72" s="37"/>
      <c r="I72" s="37"/>
      <c r="J72" s="37"/>
      <c r="K72" s="37"/>
      <c r="L72" s="37"/>
      <c r="M72" s="42"/>
      <c r="N72" s="37"/>
      <c r="O72" s="37"/>
      <c r="P72" s="37"/>
      <c r="Q72" s="37"/>
      <c r="R72" s="37"/>
      <c r="S72" s="37"/>
      <c r="T72" s="37"/>
      <c r="U72" s="37"/>
      <c r="V72" s="37"/>
      <c r="W72" s="39"/>
    </row>
    <row r="73" spans="1:24" ht="20.100000000000001" customHeight="1" x14ac:dyDescent="0.25">
      <c r="A73" s="38"/>
      <c r="B73" s="38"/>
    </row>
    <row r="74" spans="1:24" ht="20.100000000000001" customHeight="1" thickBot="1" x14ac:dyDescent="0.3">
      <c r="A74" s="38"/>
      <c r="B74" s="38"/>
    </row>
    <row r="75" spans="1:24" ht="20.100000000000001" customHeight="1" x14ac:dyDescent="0.25">
      <c r="A75" s="100" t="s">
        <v>2</v>
      </c>
      <c r="B75" s="101"/>
      <c r="C75" s="178" t="s">
        <v>120</v>
      </c>
      <c r="D75" s="179"/>
      <c r="E75" s="111" t="s">
        <v>361</v>
      </c>
      <c r="F75" s="112"/>
      <c r="G75" s="101" t="s">
        <v>4</v>
      </c>
      <c r="H75" s="101"/>
      <c r="I75" s="102" t="s">
        <v>135</v>
      </c>
      <c r="J75" s="102"/>
      <c r="K75" s="102"/>
      <c r="L75" s="102"/>
      <c r="M75" s="102"/>
      <c r="N75" s="102"/>
      <c r="O75" s="101" t="s">
        <v>6</v>
      </c>
      <c r="P75" s="101"/>
      <c r="Q75" s="103"/>
      <c r="R75" s="104"/>
      <c r="S75" s="104"/>
      <c r="T75" s="104"/>
      <c r="U75" s="104"/>
      <c r="V75" s="104"/>
      <c r="W75" s="105"/>
      <c r="X75" s="1"/>
    </row>
    <row r="76" spans="1:24" ht="20.100000000000001" customHeight="1" x14ac:dyDescent="0.25">
      <c r="A76" s="106" t="s">
        <v>7</v>
      </c>
      <c r="B76" s="107"/>
      <c r="C76" s="116" t="s">
        <v>44</v>
      </c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09"/>
      <c r="P76" s="109"/>
      <c r="Q76" s="107"/>
      <c r="R76" s="107"/>
      <c r="S76" s="107"/>
      <c r="T76" s="107"/>
      <c r="U76" s="107"/>
      <c r="V76" s="107"/>
      <c r="W76" s="110"/>
      <c r="X76" s="1"/>
    </row>
    <row r="77" spans="1:24" ht="24.95" customHeight="1" x14ac:dyDescent="0.25">
      <c r="A77" s="113" t="s">
        <v>8</v>
      </c>
      <c r="B77" s="114" t="s">
        <v>9</v>
      </c>
      <c r="C77" s="114" t="s">
        <v>10</v>
      </c>
      <c r="D77" s="114" t="s">
        <v>11</v>
      </c>
      <c r="E77" s="114" t="s">
        <v>12</v>
      </c>
      <c r="F77" s="114" t="s">
        <v>13</v>
      </c>
      <c r="G77" s="114" t="s">
        <v>14</v>
      </c>
      <c r="H77" s="114"/>
      <c r="I77" s="114"/>
      <c r="J77" s="114"/>
      <c r="K77" s="114"/>
      <c r="L77" s="114"/>
      <c r="M77" s="114" t="s">
        <v>15</v>
      </c>
      <c r="N77" s="114" t="s">
        <v>16</v>
      </c>
      <c r="O77" s="114" t="s">
        <v>17</v>
      </c>
      <c r="P77" s="114" t="s">
        <v>18</v>
      </c>
      <c r="Q77" s="114" t="s">
        <v>19</v>
      </c>
      <c r="R77" s="114"/>
      <c r="S77" s="114"/>
      <c r="T77" s="114"/>
      <c r="U77" s="114"/>
      <c r="V77" s="114"/>
      <c r="W77" s="115" t="s">
        <v>20</v>
      </c>
      <c r="X77" s="3"/>
    </row>
    <row r="78" spans="1:24" ht="24.95" customHeight="1" x14ac:dyDescent="0.25">
      <c r="A78" s="113"/>
      <c r="B78" s="114"/>
      <c r="C78" s="114"/>
      <c r="D78" s="114"/>
      <c r="E78" s="114"/>
      <c r="F78" s="114"/>
      <c r="G78" s="31" t="s">
        <v>21</v>
      </c>
      <c r="H78" s="31" t="s">
        <v>21</v>
      </c>
      <c r="I78" s="31" t="s">
        <v>21</v>
      </c>
      <c r="J78" s="31" t="s">
        <v>22</v>
      </c>
      <c r="K78" s="31" t="s">
        <v>22</v>
      </c>
      <c r="L78" s="31" t="s">
        <v>22</v>
      </c>
      <c r="M78" s="114"/>
      <c r="N78" s="114"/>
      <c r="O78" s="114"/>
      <c r="P78" s="114"/>
      <c r="Q78" s="31" t="s">
        <v>21</v>
      </c>
      <c r="R78" s="31" t="s">
        <v>21</v>
      </c>
      <c r="S78" s="31" t="s">
        <v>21</v>
      </c>
      <c r="T78" s="31" t="s">
        <v>22</v>
      </c>
      <c r="U78" s="31" t="s">
        <v>22</v>
      </c>
      <c r="V78" s="31" t="s">
        <v>22</v>
      </c>
      <c r="W78" s="115"/>
      <c r="X78" s="3"/>
    </row>
    <row r="79" spans="1:24" ht="16.5" customHeight="1" x14ac:dyDescent="0.25">
      <c r="A79" s="5">
        <v>1</v>
      </c>
      <c r="B79" s="21" t="s">
        <v>239</v>
      </c>
      <c r="C79" s="13">
        <v>45738</v>
      </c>
      <c r="D79" s="20">
        <v>45812</v>
      </c>
      <c r="E79" s="21">
        <v>2</v>
      </c>
      <c r="F79" s="21">
        <v>0</v>
      </c>
      <c r="G79" s="21">
        <v>171</v>
      </c>
      <c r="H79" s="21">
        <v>160</v>
      </c>
      <c r="I79" s="21"/>
      <c r="J79" s="21"/>
      <c r="K79" s="21"/>
      <c r="L79" s="21"/>
      <c r="M79" s="21">
        <f>AVERAGE(G79,H79)</f>
        <v>165.5</v>
      </c>
      <c r="N79" s="20">
        <v>45833</v>
      </c>
      <c r="O79" s="21">
        <v>1</v>
      </c>
      <c r="P79" s="21">
        <v>0</v>
      </c>
      <c r="Q79" s="21">
        <v>297</v>
      </c>
      <c r="R79" s="21"/>
      <c r="S79" s="21"/>
      <c r="T79" s="21"/>
      <c r="U79" s="21"/>
      <c r="V79" s="21"/>
      <c r="W79" s="22">
        <v>297</v>
      </c>
    </row>
    <row r="80" spans="1:24" ht="16.5" customHeight="1" x14ac:dyDescent="0.25">
      <c r="A80" s="6">
        <v>2</v>
      </c>
      <c r="B80" s="21"/>
      <c r="C80" s="8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2"/>
    </row>
    <row r="81" spans="1:24" ht="15.75" customHeight="1" x14ac:dyDescent="0.25">
      <c r="A81" s="6">
        <v>3</v>
      </c>
      <c r="B81" s="21"/>
      <c r="C81" s="8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2"/>
    </row>
    <row r="82" spans="1:24" ht="15.75" customHeight="1" x14ac:dyDescent="0.25">
      <c r="A82" s="5">
        <v>4</v>
      </c>
      <c r="B82" s="21"/>
      <c r="C82" s="8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2"/>
    </row>
    <row r="83" spans="1:24" ht="14.25" customHeight="1" x14ac:dyDescent="0.25">
      <c r="A83" s="5">
        <v>5</v>
      </c>
      <c r="B83" s="21"/>
      <c r="C83" s="8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2"/>
    </row>
    <row r="84" spans="1:24" ht="15.75" customHeight="1" thickBot="1" x14ac:dyDescent="0.3">
      <c r="A84" s="7">
        <v>6</v>
      </c>
      <c r="B84" s="37"/>
      <c r="C84" s="10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9"/>
    </row>
    <row r="85" spans="1:24" ht="20.100000000000001" customHeight="1" x14ac:dyDescent="0.25">
      <c r="A85" s="38"/>
      <c r="B85" s="38"/>
    </row>
    <row r="86" spans="1:24" ht="20.100000000000001" customHeight="1" thickBot="1" x14ac:dyDescent="0.3">
      <c r="A86" s="38"/>
      <c r="B86" s="38"/>
    </row>
    <row r="87" spans="1:24" ht="20.100000000000001" customHeight="1" x14ac:dyDescent="0.25">
      <c r="A87" s="100" t="s">
        <v>2</v>
      </c>
      <c r="B87" s="101"/>
      <c r="C87" s="184" t="s">
        <v>121</v>
      </c>
      <c r="D87" s="185"/>
      <c r="E87" s="111" t="s">
        <v>361</v>
      </c>
      <c r="F87" s="112"/>
      <c r="G87" s="101" t="s">
        <v>4</v>
      </c>
      <c r="H87" s="101"/>
      <c r="I87" s="102" t="s">
        <v>135</v>
      </c>
      <c r="J87" s="102"/>
      <c r="K87" s="102"/>
      <c r="L87" s="102"/>
      <c r="M87" s="102"/>
      <c r="N87" s="102"/>
      <c r="O87" s="101" t="s">
        <v>6</v>
      </c>
      <c r="P87" s="101"/>
      <c r="Q87" s="103"/>
      <c r="R87" s="104"/>
      <c r="S87" s="104"/>
      <c r="T87" s="104"/>
      <c r="U87" s="104"/>
      <c r="V87" s="104"/>
      <c r="W87" s="105"/>
      <c r="X87" s="1"/>
    </row>
    <row r="88" spans="1:24" ht="20.100000000000001" customHeight="1" x14ac:dyDescent="0.25">
      <c r="A88" s="106" t="s">
        <v>7</v>
      </c>
      <c r="B88" s="107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7"/>
      <c r="R88" s="107"/>
      <c r="S88" s="107"/>
      <c r="T88" s="107"/>
      <c r="U88" s="107"/>
      <c r="V88" s="107"/>
      <c r="W88" s="110"/>
      <c r="X88" s="1"/>
    </row>
    <row r="89" spans="1:24" ht="24.95" customHeight="1" x14ac:dyDescent="0.25">
      <c r="A89" s="113" t="s">
        <v>8</v>
      </c>
      <c r="B89" s="114" t="s">
        <v>9</v>
      </c>
      <c r="C89" s="114" t="s">
        <v>10</v>
      </c>
      <c r="D89" s="114" t="s">
        <v>11</v>
      </c>
      <c r="E89" s="114" t="s">
        <v>12</v>
      </c>
      <c r="F89" s="114" t="s">
        <v>13</v>
      </c>
      <c r="G89" s="114" t="s">
        <v>14</v>
      </c>
      <c r="H89" s="114"/>
      <c r="I89" s="114"/>
      <c r="J89" s="114"/>
      <c r="K89" s="114"/>
      <c r="L89" s="114"/>
      <c r="M89" s="114" t="s">
        <v>15</v>
      </c>
      <c r="N89" s="114" t="s">
        <v>16</v>
      </c>
      <c r="O89" s="114" t="s">
        <v>17</v>
      </c>
      <c r="P89" s="114" t="s">
        <v>18</v>
      </c>
      <c r="Q89" s="114" t="s">
        <v>19</v>
      </c>
      <c r="R89" s="114"/>
      <c r="S89" s="114"/>
      <c r="T89" s="114"/>
      <c r="U89" s="114"/>
      <c r="V89" s="114"/>
      <c r="W89" s="115" t="s">
        <v>20</v>
      </c>
      <c r="X89" s="3"/>
    </row>
    <row r="90" spans="1:24" ht="24.95" customHeight="1" x14ac:dyDescent="0.25">
      <c r="A90" s="113"/>
      <c r="B90" s="114"/>
      <c r="C90" s="114"/>
      <c r="D90" s="114"/>
      <c r="E90" s="114"/>
      <c r="F90" s="114"/>
      <c r="G90" s="31" t="s">
        <v>21</v>
      </c>
      <c r="H90" s="31" t="s">
        <v>21</v>
      </c>
      <c r="I90" s="31" t="s">
        <v>21</v>
      </c>
      <c r="J90" s="31" t="s">
        <v>22</v>
      </c>
      <c r="K90" s="31" t="s">
        <v>22</v>
      </c>
      <c r="L90" s="31" t="s">
        <v>22</v>
      </c>
      <c r="M90" s="114"/>
      <c r="N90" s="114"/>
      <c r="O90" s="114"/>
      <c r="P90" s="114"/>
      <c r="Q90" s="31" t="s">
        <v>21</v>
      </c>
      <c r="R90" s="31" t="s">
        <v>21</v>
      </c>
      <c r="S90" s="31" t="s">
        <v>21</v>
      </c>
      <c r="T90" s="31" t="s">
        <v>22</v>
      </c>
      <c r="U90" s="31" t="s">
        <v>22</v>
      </c>
      <c r="V90" s="31" t="s">
        <v>22</v>
      </c>
      <c r="W90" s="115"/>
      <c r="X90" s="3"/>
    </row>
    <row r="91" spans="1:24" ht="17.25" customHeight="1" x14ac:dyDescent="0.25">
      <c r="A91" s="5">
        <v>1</v>
      </c>
      <c r="B91" s="21" t="s">
        <v>239</v>
      </c>
      <c r="C91" s="13">
        <v>45738</v>
      </c>
      <c r="D91" s="8" t="s">
        <v>428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</row>
    <row r="92" spans="1:24" ht="15.75" customHeight="1" x14ac:dyDescent="0.25">
      <c r="A92" s="6">
        <v>2</v>
      </c>
      <c r="B92" s="21" t="s">
        <v>239</v>
      </c>
      <c r="C92" s="13">
        <v>45851</v>
      </c>
      <c r="D92" s="20">
        <v>45921</v>
      </c>
      <c r="E92" s="21">
        <v>4</v>
      </c>
      <c r="F92" s="21">
        <v>0</v>
      </c>
      <c r="G92" s="21">
        <v>119</v>
      </c>
      <c r="H92" s="21">
        <v>137</v>
      </c>
      <c r="I92" s="21">
        <v>107</v>
      </c>
      <c r="J92" s="21">
        <v>98</v>
      </c>
      <c r="K92" s="21"/>
      <c r="L92" s="21"/>
      <c r="M92" s="41">
        <f>AVERAGE(G92:L92)</f>
        <v>115.25</v>
      </c>
      <c r="N92" s="20">
        <v>45944</v>
      </c>
      <c r="O92" s="21">
        <v>3</v>
      </c>
      <c r="P92" s="21">
        <v>1</v>
      </c>
      <c r="Q92" s="21">
        <v>252</v>
      </c>
      <c r="R92" s="21">
        <v>249</v>
      </c>
      <c r="S92" s="21">
        <v>256</v>
      </c>
      <c r="T92" s="21"/>
      <c r="U92" s="21"/>
      <c r="V92" s="21"/>
      <c r="W92" s="40">
        <f>AVERAGE(Q92:V92)</f>
        <v>252.33333333333334</v>
      </c>
    </row>
    <row r="93" spans="1:24" ht="15" customHeight="1" x14ac:dyDescent="0.25">
      <c r="A93" s="6">
        <v>3</v>
      </c>
      <c r="B93" s="21" t="s">
        <v>233</v>
      </c>
      <c r="C93" s="13">
        <v>45950</v>
      </c>
      <c r="D93" s="20">
        <v>46023</v>
      </c>
      <c r="E93" s="21">
        <v>4</v>
      </c>
      <c r="F93" s="21">
        <v>1</v>
      </c>
      <c r="G93" s="21">
        <v>109</v>
      </c>
      <c r="H93" s="21">
        <v>125</v>
      </c>
      <c r="I93" s="21"/>
      <c r="J93" s="21">
        <v>129</v>
      </c>
      <c r="K93" s="21"/>
      <c r="L93" s="21"/>
      <c r="M93" s="41">
        <f>AVERAGE(G93:L93)</f>
        <v>121</v>
      </c>
      <c r="N93" s="21"/>
      <c r="O93" s="21">
        <v>3</v>
      </c>
      <c r="P93" s="21">
        <v>0</v>
      </c>
      <c r="Q93" s="21">
        <v>239</v>
      </c>
      <c r="R93" s="21">
        <v>253</v>
      </c>
      <c r="S93" s="21"/>
      <c r="T93" s="21">
        <v>264</v>
      </c>
      <c r="U93" s="21"/>
      <c r="V93" s="21"/>
      <c r="W93" s="40">
        <f>AVERAGE(Q93:V93)</f>
        <v>252</v>
      </c>
    </row>
    <row r="94" spans="1:24" ht="15.75" customHeight="1" x14ac:dyDescent="0.25">
      <c r="A94" s="5">
        <v>4</v>
      </c>
      <c r="B94" s="21" t="s">
        <v>233</v>
      </c>
      <c r="C94" s="13">
        <v>46039</v>
      </c>
      <c r="D94" s="20">
        <v>46111</v>
      </c>
      <c r="E94" s="21">
        <v>2</v>
      </c>
      <c r="F94" s="21">
        <v>0</v>
      </c>
      <c r="G94" s="21">
        <v>158</v>
      </c>
      <c r="H94" s="21"/>
      <c r="I94" s="21"/>
      <c r="J94" s="21">
        <v>137</v>
      </c>
      <c r="K94" s="21"/>
      <c r="L94" s="21"/>
      <c r="M94" s="41">
        <f>AVERAGE(G94:L94)</f>
        <v>147.5</v>
      </c>
      <c r="N94" s="20">
        <v>46133</v>
      </c>
      <c r="O94" s="21">
        <v>2</v>
      </c>
      <c r="P94" s="21">
        <v>0</v>
      </c>
      <c r="Q94" s="21">
        <v>262</v>
      </c>
      <c r="R94" s="21"/>
      <c r="S94" s="21"/>
      <c r="T94" s="21">
        <v>341</v>
      </c>
      <c r="U94" s="21"/>
      <c r="V94" s="21"/>
      <c r="W94" s="40">
        <f>AVERAGE(Q94:V94)</f>
        <v>301.5</v>
      </c>
    </row>
    <row r="95" spans="1:24" ht="15.75" customHeight="1" x14ac:dyDescent="0.25">
      <c r="A95" s="5">
        <v>5</v>
      </c>
      <c r="B95" s="21" t="s">
        <v>233</v>
      </c>
      <c r="C95" s="13">
        <v>46148</v>
      </c>
      <c r="D95" s="21"/>
      <c r="E95" s="21"/>
      <c r="F95" s="21"/>
      <c r="G95" s="21"/>
      <c r="H95" s="21"/>
      <c r="I95" s="21"/>
      <c r="J95" s="21"/>
      <c r="K95" s="21"/>
      <c r="L95" s="21"/>
      <c r="M95" s="41"/>
      <c r="N95" s="21"/>
      <c r="O95" s="21"/>
      <c r="P95" s="21"/>
      <c r="Q95" s="21"/>
      <c r="R95" s="21"/>
      <c r="S95" s="21"/>
      <c r="T95" s="21"/>
      <c r="U95" s="21"/>
      <c r="V95" s="21"/>
      <c r="W95" s="40"/>
    </row>
    <row r="96" spans="1:24" ht="16.5" customHeight="1" thickBot="1" x14ac:dyDescent="0.3">
      <c r="A96" s="7">
        <v>6</v>
      </c>
      <c r="B96" s="37"/>
      <c r="C96" s="10"/>
      <c r="D96" s="37"/>
      <c r="E96" s="37"/>
      <c r="F96" s="37"/>
      <c r="G96" s="37"/>
      <c r="H96" s="37"/>
      <c r="I96" s="37"/>
      <c r="J96" s="37"/>
      <c r="K96" s="37"/>
      <c r="L96" s="37"/>
      <c r="M96" s="42"/>
      <c r="N96" s="37"/>
      <c r="O96" s="37"/>
      <c r="P96" s="37"/>
      <c r="Q96" s="37"/>
      <c r="R96" s="37"/>
      <c r="S96" s="37"/>
      <c r="T96" s="37"/>
      <c r="U96" s="37"/>
      <c r="V96" s="37"/>
      <c r="W96" s="43"/>
    </row>
    <row r="97" spans="1:24" ht="20.100000000000001" customHeight="1" x14ac:dyDescent="0.25">
      <c r="A97" s="38"/>
      <c r="B97" s="38"/>
    </row>
    <row r="98" spans="1:24" ht="20.100000000000001" customHeight="1" thickBot="1" x14ac:dyDescent="0.3">
      <c r="A98" s="38"/>
      <c r="B98" s="38"/>
    </row>
    <row r="99" spans="1:24" ht="20.100000000000001" customHeight="1" x14ac:dyDescent="0.25">
      <c r="A99" s="100" t="s">
        <v>2</v>
      </c>
      <c r="B99" s="101"/>
      <c r="C99" s="178" t="s">
        <v>122</v>
      </c>
      <c r="D99" s="179"/>
      <c r="E99" s="111" t="s">
        <v>361</v>
      </c>
      <c r="F99" s="112"/>
      <c r="G99" s="101" t="s">
        <v>4</v>
      </c>
      <c r="H99" s="101"/>
      <c r="I99" s="102" t="s">
        <v>135</v>
      </c>
      <c r="J99" s="102"/>
      <c r="K99" s="102"/>
      <c r="L99" s="102"/>
      <c r="M99" s="102"/>
      <c r="N99" s="102"/>
      <c r="O99" s="101" t="s">
        <v>6</v>
      </c>
      <c r="P99" s="101"/>
      <c r="Q99" s="103"/>
      <c r="R99" s="104"/>
      <c r="S99" s="104"/>
      <c r="T99" s="104"/>
      <c r="U99" s="104"/>
      <c r="V99" s="104"/>
      <c r="W99" s="105"/>
      <c r="X99" s="1"/>
    </row>
    <row r="100" spans="1:24" ht="20.100000000000001" customHeight="1" x14ac:dyDescent="0.25">
      <c r="A100" s="106" t="s">
        <v>7</v>
      </c>
      <c r="B100" s="107"/>
      <c r="C100" s="116" t="s">
        <v>44</v>
      </c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09"/>
      <c r="P100" s="109"/>
      <c r="Q100" s="107"/>
      <c r="R100" s="107"/>
      <c r="S100" s="107"/>
      <c r="T100" s="107"/>
      <c r="U100" s="107"/>
      <c r="V100" s="107"/>
      <c r="W100" s="110"/>
      <c r="X100" s="1"/>
    </row>
    <row r="101" spans="1:24" ht="24.95" customHeight="1" x14ac:dyDescent="0.25">
      <c r="A101" s="113" t="s">
        <v>8</v>
      </c>
      <c r="B101" s="114" t="s">
        <v>9</v>
      </c>
      <c r="C101" s="114" t="s">
        <v>10</v>
      </c>
      <c r="D101" s="114" t="s">
        <v>11</v>
      </c>
      <c r="E101" s="114" t="s">
        <v>12</v>
      </c>
      <c r="F101" s="114" t="s">
        <v>13</v>
      </c>
      <c r="G101" s="114" t="s">
        <v>14</v>
      </c>
      <c r="H101" s="114"/>
      <c r="I101" s="114"/>
      <c r="J101" s="114"/>
      <c r="K101" s="114"/>
      <c r="L101" s="114"/>
      <c r="M101" s="114" t="s">
        <v>15</v>
      </c>
      <c r="N101" s="114" t="s">
        <v>16</v>
      </c>
      <c r="O101" s="114" t="s">
        <v>17</v>
      </c>
      <c r="P101" s="114" t="s">
        <v>18</v>
      </c>
      <c r="Q101" s="114" t="s">
        <v>19</v>
      </c>
      <c r="R101" s="114"/>
      <c r="S101" s="114"/>
      <c r="T101" s="114"/>
      <c r="U101" s="114"/>
      <c r="V101" s="114"/>
      <c r="W101" s="115" t="s">
        <v>20</v>
      </c>
      <c r="X101" s="3"/>
    </row>
    <row r="102" spans="1:24" ht="24.95" customHeight="1" x14ac:dyDescent="0.25">
      <c r="A102" s="113"/>
      <c r="B102" s="114"/>
      <c r="C102" s="114"/>
      <c r="D102" s="114"/>
      <c r="E102" s="114"/>
      <c r="F102" s="114"/>
      <c r="G102" s="31" t="s">
        <v>21</v>
      </c>
      <c r="H102" s="31" t="s">
        <v>21</v>
      </c>
      <c r="I102" s="31" t="s">
        <v>21</v>
      </c>
      <c r="J102" s="31" t="s">
        <v>22</v>
      </c>
      <c r="K102" s="31" t="s">
        <v>22</v>
      </c>
      <c r="L102" s="31" t="s">
        <v>22</v>
      </c>
      <c r="M102" s="114"/>
      <c r="N102" s="114"/>
      <c r="O102" s="114"/>
      <c r="P102" s="114"/>
      <c r="Q102" s="31" t="s">
        <v>21</v>
      </c>
      <c r="R102" s="31" t="s">
        <v>21</v>
      </c>
      <c r="S102" s="31" t="s">
        <v>21</v>
      </c>
      <c r="T102" s="31" t="s">
        <v>22</v>
      </c>
      <c r="U102" s="31" t="s">
        <v>22</v>
      </c>
      <c r="V102" s="31" t="s">
        <v>22</v>
      </c>
      <c r="W102" s="115"/>
      <c r="X102" s="3"/>
    </row>
    <row r="103" spans="1:24" ht="15" customHeight="1" x14ac:dyDescent="0.25">
      <c r="A103" s="5">
        <v>1</v>
      </c>
      <c r="B103" s="21" t="s">
        <v>239</v>
      </c>
      <c r="C103" s="13">
        <v>45738</v>
      </c>
      <c r="D103" s="20">
        <v>45813</v>
      </c>
      <c r="E103" s="21">
        <v>2</v>
      </c>
      <c r="F103" s="21">
        <v>0</v>
      </c>
      <c r="G103" s="21"/>
      <c r="H103" s="21"/>
      <c r="I103" s="21"/>
      <c r="J103" s="21">
        <v>162</v>
      </c>
      <c r="K103" s="21">
        <v>159</v>
      </c>
      <c r="L103" s="21"/>
      <c r="M103" s="21">
        <f>AVERAGE(K103,J103)</f>
        <v>160.5</v>
      </c>
      <c r="N103" s="20">
        <v>45833</v>
      </c>
      <c r="O103" s="21">
        <v>2</v>
      </c>
      <c r="P103" s="21">
        <v>0</v>
      </c>
      <c r="Q103" s="21"/>
      <c r="R103" s="21"/>
      <c r="S103" s="21"/>
      <c r="T103" s="21">
        <v>341</v>
      </c>
      <c r="U103" s="21">
        <v>258</v>
      </c>
      <c r="V103" s="21"/>
      <c r="W103" s="22">
        <f>AVERAGE(T103,U103)</f>
        <v>299.5</v>
      </c>
    </row>
    <row r="104" spans="1:24" ht="14.25" customHeight="1" x14ac:dyDescent="0.25">
      <c r="A104" s="6">
        <v>2</v>
      </c>
      <c r="B104" s="21" t="s">
        <v>239</v>
      </c>
      <c r="C104" s="13">
        <v>45851</v>
      </c>
      <c r="D104" s="21" t="s">
        <v>371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2"/>
    </row>
    <row r="105" spans="1:24" ht="15.75" customHeight="1" x14ac:dyDescent="0.25">
      <c r="A105" s="6">
        <v>3</v>
      </c>
      <c r="B105" s="21" t="s">
        <v>233</v>
      </c>
      <c r="C105" s="13">
        <v>45950</v>
      </c>
      <c r="D105" s="20">
        <v>46030</v>
      </c>
      <c r="E105" s="21">
        <v>3</v>
      </c>
      <c r="F105" s="21">
        <v>1</v>
      </c>
      <c r="G105" s="21"/>
      <c r="H105" s="21"/>
      <c r="I105" s="21"/>
      <c r="J105" s="21">
        <v>125</v>
      </c>
      <c r="K105" s="21">
        <v>133</v>
      </c>
      <c r="L105" s="21"/>
      <c r="M105" s="21">
        <f>AVERAGE(G105:L105)</f>
        <v>129</v>
      </c>
      <c r="N105" s="20">
        <v>46055</v>
      </c>
      <c r="O105" s="21">
        <v>2</v>
      </c>
      <c r="P105" s="21">
        <v>0</v>
      </c>
      <c r="Q105" s="21"/>
      <c r="R105" s="21"/>
      <c r="S105" s="21"/>
      <c r="T105" s="21">
        <v>291</v>
      </c>
      <c r="U105" s="21">
        <v>305</v>
      </c>
      <c r="V105" s="21"/>
      <c r="W105" s="22">
        <f>AVERAGE(Q105:V105)</f>
        <v>298</v>
      </c>
    </row>
    <row r="106" spans="1:24" ht="14.25" customHeight="1" x14ac:dyDescent="0.25">
      <c r="A106" s="5">
        <v>4</v>
      </c>
      <c r="B106" s="21" t="s">
        <v>233</v>
      </c>
      <c r="C106" s="13">
        <v>46039</v>
      </c>
      <c r="D106" s="20">
        <v>46117</v>
      </c>
      <c r="E106" s="21">
        <v>1</v>
      </c>
      <c r="F106" s="21">
        <v>0</v>
      </c>
      <c r="G106" s="21"/>
      <c r="H106" s="21"/>
      <c r="I106" s="21"/>
      <c r="J106" s="21">
        <v>206</v>
      </c>
      <c r="K106" s="21"/>
      <c r="L106" s="21"/>
      <c r="M106" s="21">
        <v>206</v>
      </c>
      <c r="N106" s="20">
        <v>46139</v>
      </c>
      <c r="O106" s="21">
        <v>1</v>
      </c>
      <c r="P106" s="21">
        <v>0</v>
      </c>
      <c r="Q106" s="21">
        <v>371</v>
      </c>
      <c r="R106" s="21"/>
      <c r="S106" s="21"/>
      <c r="T106" s="21"/>
      <c r="U106" s="21"/>
      <c r="V106" s="21"/>
      <c r="W106" s="22">
        <v>371</v>
      </c>
    </row>
    <row r="107" spans="1:24" ht="16.5" customHeight="1" x14ac:dyDescent="0.25">
      <c r="A107" s="5">
        <v>5</v>
      </c>
      <c r="B107" s="21"/>
      <c r="C107" s="8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2"/>
    </row>
    <row r="108" spans="1:24" ht="16.5" customHeight="1" thickBot="1" x14ac:dyDescent="0.3">
      <c r="A108" s="7">
        <v>6</v>
      </c>
      <c r="B108" s="37"/>
      <c r="C108" s="10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9"/>
    </row>
    <row r="109" spans="1:24" ht="20.100000000000001" customHeight="1" x14ac:dyDescent="0.25">
      <c r="A109" s="38"/>
      <c r="B109" s="38"/>
    </row>
    <row r="110" spans="1:24" ht="20.100000000000001" customHeight="1" thickBot="1" x14ac:dyDescent="0.3">
      <c r="A110" s="38"/>
      <c r="B110" s="38"/>
    </row>
    <row r="111" spans="1:24" ht="20.100000000000001" customHeight="1" x14ac:dyDescent="0.25">
      <c r="A111" s="100" t="s">
        <v>2</v>
      </c>
      <c r="B111" s="101"/>
      <c r="C111" s="178" t="s">
        <v>123</v>
      </c>
      <c r="D111" s="179"/>
      <c r="E111" s="111" t="s">
        <v>361</v>
      </c>
      <c r="F111" s="112"/>
      <c r="G111" s="101" t="s">
        <v>4</v>
      </c>
      <c r="H111" s="101"/>
      <c r="I111" s="102" t="s">
        <v>135</v>
      </c>
      <c r="J111" s="102"/>
      <c r="K111" s="102"/>
      <c r="L111" s="102"/>
      <c r="M111" s="102"/>
      <c r="N111" s="102"/>
      <c r="O111" s="101" t="s">
        <v>6</v>
      </c>
      <c r="P111" s="101"/>
      <c r="Q111" s="103"/>
      <c r="R111" s="104"/>
      <c r="S111" s="104"/>
      <c r="T111" s="104"/>
      <c r="U111" s="104"/>
      <c r="V111" s="104"/>
      <c r="W111" s="105"/>
      <c r="X111" s="1"/>
    </row>
    <row r="112" spans="1:24" ht="20.100000000000001" customHeight="1" x14ac:dyDescent="0.25">
      <c r="A112" s="106" t="s">
        <v>7</v>
      </c>
      <c r="B112" s="107"/>
      <c r="C112" s="116" t="s">
        <v>44</v>
      </c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09"/>
      <c r="P112" s="109"/>
      <c r="Q112" s="107"/>
      <c r="R112" s="107"/>
      <c r="S112" s="107"/>
      <c r="T112" s="107"/>
      <c r="U112" s="107"/>
      <c r="V112" s="107"/>
      <c r="W112" s="110"/>
      <c r="X112" s="1"/>
    </row>
    <row r="113" spans="1:24" ht="24.95" customHeight="1" x14ac:dyDescent="0.25">
      <c r="A113" s="113" t="s">
        <v>8</v>
      </c>
      <c r="B113" s="114" t="s">
        <v>9</v>
      </c>
      <c r="C113" s="114" t="s">
        <v>10</v>
      </c>
      <c r="D113" s="114" t="s">
        <v>11</v>
      </c>
      <c r="E113" s="114" t="s">
        <v>12</v>
      </c>
      <c r="F113" s="114" t="s">
        <v>13</v>
      </c>
      <c r="G113" s="114" t="s">
        <v>14</v>
      </c>
      <c r="H113" s="114"/>
      <c r="I113" s="114"/>
      <c r="J113" s="114"/>
      <c r="K113" s="114"/>
      <c r="L113" s="114"/>
      <c r="M113" s="114" t="s">
        <v>15</v>
      </c>
      <c r="N113" s="114" t="s">
        <v>16</v>
      </c>
      <c r="O113" s="114" t="s">
        <v>17</v>
      </c>
      <c r="P113" s="114" t="s">
        <v>18</v>
      </c>
      <c r="Q113" s="114" t="s">
        <v>19</v>
      </c>
      <c r="R113" s="114"/>
      <c r="S113" s="114"/>
      <c r="T113" s="114"/>
      <c r="U113" s="114"/>
      <c r="V113" s="114"/>
      <c r="W113" s="115" t="s">
        <v>20</v>
      </c>
      <c r="X113" s="3"/>
    </row>
    <row r="114" spans="1:24" ht="24.95" customHeight="1" x14ac:dyDescent="0.25">
      <c r="A114" s="113"/>
      <c r="B114" s="114"/>
      <c r="C114" s="114"/>
      <c r="D114" s="114"/>
      <c r="E114" s="114"/>
      <c r="F114" s="114"/>
      <c r="G114" s="31" t="s">
        <v>21</v>
      </c>
      <c r="H114" s="31" t="s">
        <v>21</v>
      </c>
      <c r="I114" s="31" t="s">
        <v>21</v>
      </c>
      <c r="J114" s="31" t="s">
        <v>22</v>
      </c>
      <c r="K114" s="31" t="s">
        <v>22</v>
      </c>
      <c r="L114" s="31" t="s">
        <v>22</v>
      </c>
      <c r="M114" s="114"/>
      <c r="N114" s="114"/>
      <c r="O114" s="114"/>
      <c r="P114" s="114"/>
      <c r="Q114" s="31" t="s">
        <v>21</v>
      </c>
      <c r="R114" s="31" t="s">
        <v>21</v>
      </c>
      <c r="S114" s="31" t="s">
        <v>21</v>
      </c>
      <c r="T114" s="31" t="s">
        <v>22</v>
      </c>
      <c r="U114" s="31" t="s">
        <v>22</v>
      </c>
      <c r="V114" s="31" t="s">
        <v>22</v>
      </c>
      <c r="W114" s="115"/>
      <c r="X114" s="3"/>
    </row>
    <row r="115" spans="1:24" ht="16.5" customHeight="1" x14ac:dyDescent="0.25">
      <c r="A115" s="5">
        <v>1</v>
      </c>
      <c r="B115" s="21" t="s">
        <v>239</v>
      </c>
      <c r="C115" s="13">
        <v>45738</v>
      </c>
      <c r="D115" s="20">
        <v>45828</v>
      </c>
      <c r="E115" s="21">
        <v>2</v>
      </c>
      <c r="F115" s="21">
        <v>0</v>
      </c>
      <c r="G115" s="21">
        <v>170</v>
      </c>
      <c r="H115" s="21"/>
      <c r="I115" s="21"/>
      <c r="J115" s="21">
        <v>158</v>
      </c>
      <c r="K115" s="21"/>
      <c r="L115" s="21"/>
      <c r="M115" s="21">
        <f>AVERAGE(G115:L115)</f>
        <v>164</v>
      </c>
      <c r="N115" s="20">
        <v>45848</v>
      </c>
      <c r="O115" s="21">
        <v>2</v>
      </c>
      <c r="P115" s="21">
        <v>0</v>
      </c>
      <c r="Q115" s="21">
        <v>360</v>
      </c>
      <c r="R115" s="21"/>
      <c r="S115" s="21"/>
      <c r="T115" s="21">
        <v>153</v>
      </c>
      <c r="U115" s="21"/>
      <c r="V115" s="21"/>
      <c r="W115" s="22">
        <f>AVERAGE(Q115:V115)</f>
        <v>256.5</v>
      </c>
    </row>
    <row r="116" spans="1:24" ht="14.25" customHeight="1" x14ac:dyDescent="0.25">
      <c r="A116" s="6">
        <v>2</v>
      </c>
      <c r="B116" s="21" t="s">
        <v>239</v>
      </c>
      <c r="C116" s="13">
        <v>45851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2"/>
    </row>
    <row r="117" spans="1:24" ht="15.75" customHeight="1" x14ac:dyDescent="0.25">
      <c r="A117" s="6">
        <v>3</v>
      </c>
      <c r="B117" s="21"/>
      <c r="C117" s="8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2"/>
    </row>
    <row r="118" spans="1:24" ht="15.75" customHeight="1" x14ac:dyDescent="0.25">
      <c r="A118" s="5">
        <v>4</v>
      </c>
      <c r="B118" s="21"/>
      <c r="C118" s="8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2"/>
    </row>
    <row r="119" spans="1:24" ht="15.75" customHeight="1" x14ac:dyDescent="0.25">
      <c r="A119" s="5">
        <v>5</v>
      </c>
      <c r="B119" s="21"/>
      <c r="C119" s="8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2"/>
    </row>
    <row r="120" spans="1:24" ht="14.25" customHeight="1" thickBot="1" x14ac:dyDescent="0.3">
      <c r="A120" s="7">
        <v>6</v>
      </c>
      <c r="B120" s="37"/>
      <c r="C120" s="10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9"/>
    </row>
    <row r="121" spans="1:24" ht="20.100000000000001" customHeight="1" x14ac:dyDescent="0.25">
      <c r="A121" s="38"/>
      <c r="B121" s="38"/>
    </row>
    <row r="122" spans="1:24" ht="20.100000000000001" customHeight="1" thickBot="1" x14ac:dyDescent="0.3">
      <c r="A122" s="38"/>
      <c r="B122" s="38"/>
    </row>
    <row r="123" spans="1:24" ht="20.100000000000001" customHeight="1" x14ac:dyDescent="0.25">
      <c r="A123" s="100" t="s">
        <v>2</v>
      </c>
      <c r="B123" s="101"/>
      <c r="C123" s="111" t="s">
        <v>124</v>
      </c>
      <c r="D123" s="112"/>
      <c r="E123" s="111" t="s">
        <v>361</v>
      </c>
      <c r="F123" s="112"/>
      <c r="G123" s="101" t="s">
        <v>4</v>
      </c>
      <c r="H123" s="101"/>
      <c r="I123" s="102" t="s">
        <v>135</v>
      </c>
      <c r="J123" s="102"/>
      <c r="K123" s="102"/>
      <c r="L123" s="102"/>
      <c r="M123" s="102"/>
      <c r="N123" s="102"/>
      <c r="O123" s="101" t="s">
        <v>6</v>
      </c>
      <c r="P123" s="101"/>
      <c r="Q123" s="103"/>
      <c r="R123" s="104"/>
      <c r="S123" s="104"/>
      <c r="T123" s="104"/>
      <c r="U123" s="104"/>
      <c r="V123" s="104"/>
      <c r="W123" s="105"/>
      <c r="X123" s="1"/>
    </row>
    <row r="124" spans="1:24" ht="20.100000000000001" customHeight="1" x14ac:dyDescent="0.25">
      <c r="A124" s="106" t="s">
        <v>7</v>
      </c>
      <c r="B124" s="107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7"/>
      <c r="R124" s="107"/>
      <c r="S124" s="107"/>
      <c r="T124" s="107"/>
      <c r="U124" s="107"/>
      <c r="V124" s="107"/>
      <c r="W124" s="110"/>
      <c r="X124" s="1"/>
    </row>
    <row r="125" spans="1:24" ht="24.95" customHeight="1" x14ac:dyDescent="0.25">
      <c r="A125" s="113" t="s">
        <v>8</v>
      </c>
      <c r="B125" s="114" t="s">
        <v>9</v>
      </c>
      <c r="C125" s="114" t="s">
        <v>10</v>
      </c>
      <c r="D125" s="114" t="s">
        <v>11</v>
      </c>
      <c r="E125" s="114" t="s">
        <v>12</v>
      </c>
      <c r="F125" s="114" t="s">
        <v>13</v>
      </c>
      <c r="G125" s="114" t="s">
        <v>14</v>
      </c>
      <c r="H125" s="114"/>
      <c r="I125" s="114"/>
      <c r="J125" s="114"/>
      <c r="K125" s="114"/>
      <c r="L125" s="114"/>
      <c r="M125" s="114" t="s">
        <v>15</v>
      </c>
      <c r="N125" s="114" t="s">
        <v>16</v>
      </c>
      <c r="O125" s="114" t="s">
        <v>17</v>
      </c>
      <c r="P125" s="114" t="s">
        <v>18</v>
      </c>
      <c r="Q125" s="114" t="s">
        <v>19</v>
      </c>
      <c r="R125" s="114"/>
      <c r="S125" s="114"/>
      <c r="T125" s="114"/>
      <c r="U125" s="114"/>
      <c r="V125" s="114"/>
      <c r="W125" s="115" t="s">
        <v>20</v>
      </c>
      <c r="X125" s="3"/>
    </row>
    <row r="126" spans="1:24" ht="24.95" customHeight="1" x14ac:dyDescent="0.25">
      <c r="A126" s="113"/>
      <c r="B126" s="114"/>
      <c r="C126" s="114"/>
      <c r="D126" s="114"/>
      <c r="E126" s="114"/>
      <c r="F126" s="114"/>
      <c r="G126" s="31" t="s">
        <v>21</v>
      </c>
      <c r="H126" s="31" t="s">
        <v>21</v>
      </c>
      <c r="I126" s="31" t="s">
        <v>21</v>
      </c>
      <c r="J126" s="31" t="s">
        <v>22</v>
      </c>
      <c r="K126" s="31" t="s">
        <v>22</v>
      </c>
      <c r="L126" s="31" t="s">
        <v>22</v>
      </c>
      <c r="M126" s="114"/>
      <c r="N126" s="114"/>
      <c r="O126" s="114"/>
      <c r="P126" s="114"/>
      <c r="Q126" s="31" t="s">
        <v>21</v>
      </c>
      <c r="R126" s="31" t="s">
        <v>21</v>
      </c>
      <c r="S126" s="31" t="s">
        <v>21</v>
      </c>
      <c r="T126" s="31" t="s">
        <v>22</v>
      </c>
      <c r="U126" s="31" t="s">
        <v>22</v>
      </c>
      <c r="V126" s="31" t="s">
        <v>22</v>
      </c>
      <c r="W126" s="115"/>
      <c r="X126" s="3"/>
    </row>
    <row r="127" spans="1:24" ht="14.25" customHeight="1" x14ac:dyDescent="0.25">
      <c r="A127" s="5">
        <v>1</v>
      </c>
      <c r="B127" s="21" t="s">
        <v>239</v>
      </c>
      <c r="C127" s="13">
        <v>45738</v>
      </c>
      <c r="D127" s="8" t="s">
        <v>428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spans="1:24" ht="14.25" customHeight="1" x14ac:dyDescent="0.25">
      <c r="A128" s="6">
        <v>2</v>
      </c>
      <c r="B128" s="21" t="s">
        <v>239</v>
      </c>
      <c r="C128" s="13">
        <v>45851</v>
      </c>
      <c r="D128" s="20">
        <v>45921</v>
      </c>
      <c r="E128" s="21">
        <v>3</v>
      </c>
      <c r="F128" s="21">
        <v>0</v>
      </c>
      <c r="G128" s="21">
        <v>143</v>
      </c>
      <c r="H128" s="21"/>
      <c r="I128" s="21"/>
      <c r="J128" s="21">
        <v>116</v>
      </c>
      <c r="K128" s="21">
        <v>151</v>
      </c>
      <c r="L128" s="21"/>
      <c r="M128" s="41">
        <f>AVERAGE(G128:L128)</f>
        <v>136.66666666666666</v>
      </c>
      <c r="N128" s="20">
        <v>45944</v>
      </c>
      <c r="O128" s="21">
        <v>3</v>
      </c>
      <c r="P128" s="21">
        <v>0</v>
      </c>
      <c r="Q128" s="21">
        <v>278</v>
      </c>
      <c r="R128" s="21"/>
      <c r="S128" s="21"/>
      <c r="T128" s="21">
        <v>222</v>
      </c>
      <c r="U128" s="21">
        <v>227</v>
      </c>
      <c r="V128" s="21"/>
      <c r="W128" s="40">
        <f>AVERAGE(Q128:V128)</f>
        <v>242.33333333333334</v>
      </c>
    </row>
    <row r="129" spans="1:24" ht="14.25" customHeight="1" x14ac:dyDescent="0.25">
      <c r="A129" s="6">
        <v>3</v>
      </c>
      <c r="B129" s="21" t="s">
        <v>233</v>
      </c>
      <c r="C129" s="13">
        <v>45950</v>
      </c>
      <c r="D129" s="20">
        <v>46020</v>
      </c>
      <c r="E129" s="21">
        <v>3</v>
      </c>
      <c r="F129" s="21">
        <v>0</v>
      </c>
      <c r="G129" s="21">
        <v>110</v>
      </c>
      <c r="H129" s="21">
        <v>120</v>
      </c>
      <c r="I129" s="21"/>
      <c r="J129" s="21">
        <v>95</v>
      </c>
      <c r="K129" s="21"/>
      <c r="L129" s="21"/>
      <c r="M129" s="41">
        <f>AVERAGE(G129:L129)</f>
        <v>108.33333333333333</v>
      </c>
      <c r="N129" s="20">
        <v>46039</v>
      </c>
      <c r="O129" s="21">
        <v>3</v>
      </c>
      <c r="P129" s="21">
        <v>0</v>
      </c>
      <c r="Q129" s="21">
        <v>290</v>
      </c>
      <c r="R129" s="21">
        <v>290</v>
      </c>
      <c r="S129" s="21"/>
      <c r="T129" s="21">
        <v>288</v>
      </c>
      <c r="U129" s="21"/>
      <c r="V129" s="21"/>
      <c r="W129" s="40">
        <f>AVERAGE(Q129:V129)</f>
        <v>289.33333333333331</v>
      </c>
    </row>
    <row r="130" spans="1:24" ht="17.25" customHeight="1" x14ac:dyDescent="0.25">
      <c r="A130" s="5">
        <v>4</v>
      </c>
      <c r="B130" s="21" t="s">
        <v>233</v>
      </c>
      <c r="C130" s="13">
        <v>46039</v>
      </c>
      <c r="D130" s="21" t="s">
        <v>428</v>
      </c>
      <c r="E130" s="21"/>
      <c r="F130" s="21"/>
      <c r="G130" s="21"/>
      <c r="H130" s="21"/>
      <c r="I130" s="21"/>
      <c r="J130" s="21"/>
      <c r="K130" s="21"/>
      <c r="L130" s="21"/>
      <c r="M130" s="41"/>
      <c r="N130" s="21"/>
      <c r="O130" s="21"/>
      <c r="P130" s="21"/>
      <c r="Q130" s="21"/>
      <c r="R130" s="21"/>
      <c r="S130" s="21"/>
      <c r="T130" s="21"/>
      <c r="U130" s="21"/>
      <c r="V130" s="21"/>
      <c r="W130" s="40"/>
    </row>
    <row r="131" spans="1:24" ht="15.75" customHeight="1" x14ac:dyDescent="0.25">
      <c r="A131" s="5">
        <v>5</v>
      </c>
      <c r="B131" s="21" t="s">
        <v>233</v>
      </c>
      <c r="C131" s="13">
        <v>46148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41"/>
      <c r="N131" s="21"/>
      <c r="O131" s="21"/>
      <c r="P131" s="21"/>
      <c r="Q131" s="21"/>
      <c r="R131" s="21"/>
      <c r="S131" s="21"/>
      <c r="T131" s="21"/>
      <c r="U131" s="21"/>
      <c r="V131" s="21"/>
      <c r="W131" s="40"/>
    </row>
    <row r="132" spans="1:24" ht="16.5" customHeight="1" thickBot="1" x14ac:dyDescent="0.3">
      <c r="A132" s="7">
        <v>6</v>
      </c>
      <c r="B132" s="37"/>
      <c r="C132" s="10"/>
      <c r="D132" s="37"/>
      <c r="E132" s="37"/>
      <c r="F132" s="37"/>
      <c r="G132" s="37"/>
      <c r="H132" s="37"/>
      <c r="I132" s="37"/>
      <c r="J132" s="37"/>
      <c r="K132" s="37"/>
      <c r="L132" s="37"/>
      <c r="M132" s="42"/>
      <c r="N132" s="37"/>
      <c r="O132" s="37"/>
      <c r="P132" s="37"/>
      <c r="Q132" s="37"/>
      <c r="R132" s="37"/>
      <c r="S132" s="37"/>
      <c r="T132" s="37"/>
      <c r="U132" s="37"/>
      <c r="V132" s="37"/>
      <c r="W132" s="43"/>
    </row>
    <row r="133" spans="1:24" ht="20.100000000000001" customHeight="1" x14ac:dyDescent="0.25">
      <c r="A133" s="38"/>
      <c r="B133" s="38"/>
    </row>
    <row r="134" spans="1:24" ht="20.100000000000001" customHeight="1" thickBot="1" x14ac:dyDescent="0.3">
      <c r="A134" s="38"/>
      <c r="B134" s="38"/>
    </row>
    <row r="135" spans="1:24" ht="20.100000000000001" customHeight="1" x14ac:dyDescent="0.25">
      <c r="A135" s="100" t="s">
        <v>2</v>
      </c>
      <c r="B135" s="101"/>
      <c r="C135" s="184" t="s">
        <v>125</v>
      </c>
      <c r="D135" s="185"/>
      <c r="E135" s="111" t="s">
        <v>389</v>
      </c>
      <c r="F135" s="112"/>
      <c r="G135" s="101" t="s">
        <v>4</v>
      </c>
      <c r="H135" s="101"/>
      <c r="I135" s="102" t="s">
        <v>135</v>
      </c>
      <c r="J135" s="102"/>
      <c r="K135" s="102"/>
      <c r="L135" s="102"/>
      <c r="M135" s="102"/>
      <c r="N135" s="102"/>
      <c r="O135" s="101" t="s">
        <v>6</v>
      </c>
      <c r="P135" s="101"/>
      <c r="Q135" s="103"/>
      <c r="R135" s="104"/>
      <c r="S135" s="104"/>
      <c r="T135" s="104"/>
      <c r="U135" s="104"/>
      <c r="V135" s="104"/>
      <c r="W135" s="105"/>
      <c r="X135" s="1"/>
    </row>
    <row r="136" spans="1:24" ht="20.100000000000001" customHeight="1" x14ac:dyDescent="0.25">
      <c r="A136" s="106" t="s">
        <v>7</v>
      </c>
      <c r="B136" s="107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7"/>
      <c r="R136" s="107"/>
      <c r="S136" s="107"/>
      <c r="T136" s="107"/>
      <c r="U136" s="107"/>
      <c r="V136" s="107"/>
      <c r="W136" s="110"/>
      <c r="X136" s="1"/>
    </row>
    <row r="137" spans="1:24" ht="24.95" customHeight="1" x14ac:dyDescent="0.25">
      <c r="A137" s="113" t="s">
        <v>8</v>
      </c>
      <c r="B137" s="114" t="s">
        <v>9</v>
      </c>
      <c r="C137" s="114" t="s">
        <v>10</v>
      </c>
      <c r="D137" s="114" t="s">
        <v>11</v>
      </c>
      <c r="E137" s="114" t="s">
        <v>12</v>
      </c>
      <c r="F137" s="114" t="s">
        <v>13</v>
      </c>
      <c r="G137" s="114" t="s">
        <v>14</v>
      </c>
      <c r="H137" s="114"/>
      <c r="I137" s="114"/>
      <c r="J137" s="114"/>
      <c r="K137" s="114"/>
      <c r="L137" s="114"/>
      <c r="M137" s="114" t="s">
        <v>15</v>
      </c>
      <c r="N137" s="114" t="s">
        <v>16</v>
      </c>
      <c r="O137" s="114" t="s">
        <v>17</v>
      </c>
      <c r="P137" s="114" t="s">
        <v>18</v>
      </c>
      <c r="Q137" s="114" t="s">
        <v>19</v>
      </c>
      <c r="R137" s="114"/>
      <c r="S137" s="114"/>
      <c r="T137" s="114"/>
      <c r="U137" s="114"/>
      <c r="V137" s="114"/>
      <c r="W137" s="115" t="s">
        <v>20</v>
      </c>
      <c r="X137" s="3"/>
    </row>
    <row r="138" spans="1:24" ht="24.95" customHeight="1" x14ac:dyDescent="0.25">
      <c r="A138" s="113"/>
      <c r="B138" s="114"/>
      <c r="C138" s="114"/>
      <c r="D138" s="114"/>
      <c r="E138" s="114"/>
      <c r="F138" s="114"/>
      <c r="G138" s="31" t="s">
        <v>21</v>
      </c>
      <c r="H138" s="31" t="s">
        <v>21</v>
      </c>
      <c r="I138" s="31" t="s">
        <v>21</v>
      </c>
      <c r="J138" s="31" t="s">
        <v>22</v>
      </c>
      <c r="K138" s="31" t="s">
        <v>22</v>
      </c>
      <c r="L138" s="31" t="s">
        <v>22</v>
      </c>
      <c r="M138" s="114"/>
      <c r="N138" s="114"/>
      <c r="O138" s="114"/>
      <c r="P138" s="114"/>
      <c r="Q138" s="31" t="s">
        <v>21</v>
      </c>
      <c r="R138" s="31" t="s">
        <v>21</v>
      </c>
      <c r="S138" s="31" t="s">
        <v>21</v>
      </c>
      <c r="T138" s="31" t="s">
        <v>22</v>
      </c>
      <c r="U138" s="31" t="s">
        <v>22</v>
      </c>
      <c r="V138" s="31" t="s">
        <v>22</v>
      </c>
      <c r="W138" s="115"/>
      <c r="X138" s="3"/>
    </row>
    <row r="139" spans="1:24" ht="16.5" customHeight="1" x14ac:dyDescent="0.25">
      <c r="A139" s="5">
        <v>1</v>
      </c>
      <c r="B139" s="21" t="s">
        <v>79</v>
      </c>
      <c r="C139" s="13">
        <v>45770</v>
      </c>
      <c r="D139" s="20">
        <v>45840</v>
      </c>
      <c r="E139" s="21">
        <v>3</v>
      </c>
      <c r="F139" s="21">
        <v>0</v>
      </c>
      <c r="G139" s="21">
        <v>144</v>
      </c>
      <c r="H139" s="21">
        <v>112</v>
      </c>
      <c r="I139" s="21"/>
      <c r="J139" s="21">
        <v>137</v>
      </c>
      <c r="K139" s="21"/>
      <c r="L139" s="21"/>
      <c r="M139" s="21">
        <f>AVERAGE(G139:L139)</f>
        <v>131</v>
      </c>
      <c r="N139" s="20">
        <v>45869</v>
      </c>
      <c r="O139" s="21">
        <v>2</v>
      </c>
      <c r="P139" s="21">
        <v>1</v>
      </c>
      <c r="Q139" s="21">
        <v>367</v>
      </c>
      <c r="R139" s="21"/>
      <c r="S139" s="21"/>
      <c r="T139" s="21">
        <v>363</v>
      </c>
      <c r="U139" s="21"/>
      <c r="V139" s="21"/>
      <c r="W139" s="22">
        <f>AVERAGE(Q139:V139)</f>
        <v>365</v>
      </c>
    </row>
    <row r="140" spans="1:24" ht="15.75" customHeight="1" x14ac:dyDescent="0.25">
      <c r="A140" s="6">
        <v>2</v>
      </c>
      <c r="B140" s="21" t="s">
        <v>233</v>
      </c>
      <c r="C140" s="13">
        <v>45884</v>
      </c>
      <c r="D140" s="20">
        <v>45956</v>
      </c>
      <c r="E140" s="21">
        <v>3</v>
      </c>
      <c r="F140" s="21">
        <v>0</v>
      </c>
      <c r="G140" s="21">
        <v>110</v>
      </c>
      <c r="H140" s="21">
        <v>81</v>
      </c>
      <c r="I140" s="21"/>
      <c r="J140" s="21">
        <v>87</v>
      </c>
      <c r="K140" s="21"/>
      <c r="L140" s="21"/>
      <c r="M140" s="41">
        <f>AVERAGE(G140:L140)</f>
        <v>92.666666666666671</v>
      </c>
      <c r="N140" s="20">
        <v>45973</v>
      </c>
      <c r="O140" s="21">
        <v>1</v>
      </c>
      <c r="P140" s="21">
        <v>2</v>
      </c>
      <c r="Q140" s="21"/>
      <c r="R140" s="21"/>
      <c r="S140" s="21"/>
      <c r="T140" s="21">
        <v>251</v>
      </c>
      <c r="U140" s="21"/>
      <c r="V140" s="21"/>
      <c r="W140" s="22">
        <v>251</v>
      </c>
    </row>
    <row r="141" spans="1:24" ht="17.25" customHeight="1" x14ac:dyDescent="0.25">
      <c r="A141" s="6">
        <v>3</v>
      </c>
      <c r="B141" s="21" t="s">
        <v>295</v>
      </c>
      <c r="C141" s="13">
        <v>46039</v>
      </c>
      <c r="D141" s="20">
        <v>46138</v>
      </c>
      <c r="E141" s="21">
        <v>1</v>
      </c>
      <c r="F141" s="21">
        <v>0</v>
      </c>
      <c r="G141" s="21"/>
      <c r="H141" s="21"/>
      <c r="I141" s="21"/>
      <c r="J141" s="21">
        <v>195</v>
      </c>
      <c r="K141" s="21"/>
      <c r="L141" s="21"/>
      <c r="M141" s="21">
        <v>195</v>
      </c>
      <c r="N141" s="20">
        <v>46150</v>
      </c>
      <c r="O141" s="21">
        <v>1</v>
      </c>
      <c r="P141" s="21">
        <v>0</v>
      </c>
      <c r="Q141" s="21"/>
      <c r="R141" s="21"/>
      <c r="S141" s="21"/>
      <c r="T141" s="21">
        <v>295</v>
      </c>
      <c r="U141" s="21"/>
      <c r="V141" s="21"/>
      <c r="W141" s="22">
        <v>295</v>
      </c>
    </row>
    <row r="142" spans="1:24" ht="15.75" customHeight="1" x14ac:dyDescent="0.25">
      <c r="A142" s="5">
        <v>4</v>
      </c>
      <c r="B142" s="21" t="s">
        <v>233</v>
      </c>
      <c r="C142" s="13">
        <v>46181</v>
      </c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2"/>
    </row>
    <row r="143" spans="1:24" ht="18" customHeight="1" x14ac:dyDescent="0.25">
      <c r="A143" s="5">
        <v>5</v>
      </c>
      <c r="B143" s="21"/>
      <c r="C143" s="8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2"/>
    </row>
    <row r="144" spans="1:24" ht="16.5" customHeight="1" thickBot="1" x14ac:dyDescent="0.3">
      <c r="A144" s="7">
        <v>6</v>
      </c>
      <c r="B144" s="37"/>
      <c r="C144" s="10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9"/>
    </row>
    <row r="145" spans="1:24" ht="20.100000000000001" customHeight="1" x14ac:dyDescent="0.25">
      <c r="A145" s="38"/>
      <c r="B145" s="38"/>
    </row>
    <row r="146" spans="1:24" ht="20.100000000000001" customHeight="1" thickBot="1" x14ac:dyDescent="0.3">
      <c r="A146" s="38"/>
      <c r="B146" s="38"/>
    </row>
    <row r="147" spans="1:24" ht="20.100000000000001" customHeight="1" x14ac:dyDescent="0.25">
      <c r="A147" s="100" t="s">
        <v>2</v>
      </c>
      <c r="B147" s="101"/>
      <c r="C147" s="184" t="s">
        <v>126</v>
      </c>
      <c r="D147" s="185"/>
      <c r="E147" s="111" t="s">
        <v>361</v>
      </c>
      <c r="F147" s="112"/>
      <c r="G147" s="101" t="s">
        <v>4</v>
      </c>
      <c r="H147" s="101"/>
      <c r="I147" s="102" t="s">
        <v>135</v>
      </c>
      <c r="J147" s="102"/>
      <c r="K147" s="102"/>
      <c r="L147" s="102"/>
      <c r="M147" s="102"/>
      <c r="N147" s="102"/>
      <c r="O147" s="101" t="s">
        <v>6</v>
      </c>
      <c r="P147" s="101"/>
      <c r="Q147" s="103"/>
      <c r="R147" s="104"/>
      <c r="S147" s="104"/>
      <c r="T147" s="104"/>
      <c r="U147" s="104"/>
      <c r="V147" s="104"/>
      <c r="W147" s="105"/>
      <c r="X147" s="1"/>
    </row>
    <row r="148" spans="1:24" ht="20.100000000000001" customHeight="1" x14ac:dyDescent="0.25">
      <c r="A148" s="106" t="s">
        <v>7</v>
      </c>
      <c r="B148" s="107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7"/>
      <c r="R148" s="107"/>
      <c r="S148" s="107"/>
      <c r="T148" s="107"/>
      <c r="U148" s="107"/>
      <c r="V148" s="107"/>
      <c r="W148" s="110"/>
      <c r="X148" s="1"/>
    </row>
    <row r="149" spans="1:24" ht="24.95" customHeight="1" x14ac:dyDescent="0.25">
      <c r="A149" s="113" t="s">
        <v>8</v>
      </c>
      <c r="B149" s="114" t="s">
        <v>9</v>
      </c>
      <c r="C149" s="114" t="s">
        <v>10</v>
      </c>
      <c r="D149" s="114" t="s">
        <v>11</v>
      </c>
      <c r="E149" s="114" t="s">
        <v>12</v>
      </c>
      <c r="F149" s="114" t="s">
        <v>13</v>
      </c>
      <c r="G149" s="114" t="s">
        <v>14</v>
      </c>
      <c r="H149" s="114"/>
      <c r="I149" s="114"/>
      <c r="J149" s="114"/>
      <c r="K149" s="114"/>
      <c r="L149" s="114"/>
      <c r="M149" s="114" t="s">
        <v>15</v>
      </c>
      <c r="N149" s="114" t="s">
        <v>16</v>
      </c>
      <c r="O149" s="114" t="s">
        <v>17</v>
      </c>
      <c r="P149" s="114" t="s">
        <v>18</v>
      </c>
      <c r="Q149" s="114" t="s">
        <v>19</v>
      </c>
      <c r="R149" s="114"/>
      <c r="S149" s="114"/>
      <c r="T149" s="114"/>
      <c r="U149" s="114"/>
      <c r="V149" s="114"/>
      <c r="W149" s="115" t="s">
        <v>20</v>
      </c>
      <c r="X149" s="3"/>
    </row>
    <row r="150" spans="1:24" ht="24.95" customHeight="1" x14ac:dyDescent="0.25">
      <c r="A150" s="113"/>
      <c r="B150" s="114"/>
      <c r="C150" s="114"/>
      <c r="D150" s="114"/>
      <c r="E150" s="114"/>
      <c r="F150" s="114"/>
      <c r="G150" s="31" t="s">
        <v>21</v>
      </c>
      <c r="H150" s="31" t="s">
        <v>21</v>
      </c>
      <c r="I150" s="31" t="s">
        <v>21</v>
      </c>
      <c r="J150" s="31" t="s">
        <v>22</v>
      </c>
      <c r="K150" s="31" t="s">
        <v>22</v>
      </c>
      <c r="L150" s="31" t="s">
        <v>22</v>
      </c>
      <c r="M150" s="114"/>
      <c r="N150" s="114"/>
      <c r="O150" s="114"/>
      <c r="P150" s="114"/>
      <c r="Q150" s="31" t="s">
        <v>21</v>
      </c>
      <c r="R150" s="31" t="s">
        <v>21</v>
      </c>
      <c r="S150" s="31" t="s">
        <v>21</v>
      </c>
      <c r="T150" s="31" t="s">
        <v>22</v>
      </c>
      <c r="U150" s="31" t="s">
        <v>22</v>
      </c>
      <c r="V150" s="31" t="s">
        <v>22</v>
      </c>
      <c r="W150" s="115"/>
      <c r="X150" s="3"/>
    </row>
    <row r="151" spans="1:24" ht="16.5" customHeight="1" x14ac:dyDescent="0.25">
      <c r="A151" s="5">
        <v>1</v>
      </c>
      <c r="B151" s="21" t="s">
        <v>239</v>
      </c>
      <c r="C151" s="13">
        <v>45738</v>
      </c>
      <c r="D151" s="20">
        <v>45810</v>
      </c>
      <c r="E151" s="21">
        <v>3</v>
      </c>
      <c r="F151" s="21">
        <v>0</v>
      </c>
      <c r="G151" s="21"/>
      <c r="H151" s="21"/>
      <c r="I151" s="21"/>
      <c r="J151" s="21">
        <v>131</v>
      </c>
      <c r="K151" s="21">
        <v>150</v>
      </c>
      <c r="L151" s="21">
        <v>145</v>
      </c>
      <c r="M151" s="21">
        <f>AVERAGE(L151,K151,J151)</f>
        <v>142</v>
      </c>
      <c r="N151" s="20">
        <v>45833</v>
      </c>
      <c r="O151" s="21">
        <v>3</v>
      </c>
      <c r="P151" s="21">
        <v>0</v>
      </c>
      <c r="Q151" s="21"/>
      <c r="R151" s="21"/>
      <c r="S151" s="21"/>
      <c r="T151" s="21">
        <v>314</v>
      </c>
      <c r="U151" s="21">
        <v>341</v>
      </c>
      <c r="V151" s="21">
        <v>329</v>
      </c>
      <c r="W151" s="22">
        <f>AVERAGE(V151,U151,T151)</f>
        <v>328</v>
      </c>
    </row>
    <row r="152" spans="1:24" ht="18" customHeight="1" x14ac:dyDescent="0.25">
      <c r="A152" s="5">
        <v>2</v>
      </c>
      <c r="B152" s="21" t="s">
        <v>239</v>
      </c>
      <c r="C152" s="13">
        <v>45851</v>
      </c>
      <c r="D152" s="20">
        <v>45928</v>
      </c>
      <c r="E152" s="21">
        <v>3</v>
      </c>
      <c r="F152" s="21">
        <v>0</v>
      </c>
      <c r="G152" s="21">
        <v>125</v>
      </c>
      <c r="H152" s="21"/>
      <c r="I152" s="21"/>
      <c r="J152" s="21">
        <v>123</v>
      </c>
      <c r="K152" s="21">
        <v>115</v>
      </c>
      <c r="L152" s="21"/>
      <c r="M152" s="21">
        <f>AVERAGE(G152:L152)</f>
        <v>121</v>
      </c>
      <c r="N152" s="20">
        <v>45944</v>
      </c>
      <c r="O152" s="21">
        <v>3</v>
      </c>
      <c r="P152" s="21">
        <v>0</v>
      </c>
      <c r="Q152" s="21">
        <v>221</v>
      </c>
      <c r="R152" s="21"/>
      <c r="S152" s="21"/>
      <c r="T152" s="21">
        <v>250</v>
      </c>
      <c r="U152" s="21">
        <v>211</v>
      </c>
      <c r="V152" s="21"/>
      <c r="W152" s="40">
        <f>AVERAGE(Q152:V152)</f>
        <v>227.33333333333334</v>
      </c>
    </row>
    <row r="153" spans="1:24" ht="16.5" customHeight="1" x14ac:dyDescent="0.25">
      <c r="A153" s="5">
        <v>3</v>
      </c>
      <c r="B153" s="21" t="s">
        <v>233</v>
      </c>
      <c r="C153" s="13">
        <v>45950</v>
      </c>
      <c r="D153" s="20">
        <v>46030</v>
      </c>
      <c r="E153" s="21">
        <v>3</v>
      </c>
      <c r="F153" s="21">
        <v>0</v>
      </c>
      <c r="G153" s="21">
        <v>135</v>
      </c>
      <c r="H153" s="21"/>
      <c r="I153" s="21"/>
      <c r="J153" s="21">
        <v>130</v>
      </c>
      <c r="K153" s="21">
        <v>128</v>
      </c>
      <c r="L153" s="21"/>
      <c r="M153" s="21">
        <f>AVERAGE(G153:L153)</f>
        <v>131</v>
      </c>
      <c r="N153" s="20">
        <v>46055</v>
      </c>
      <c r="O153" s="21">
        <v>3</v>
      </c>
      <c r="P153" s="21">
        <v>0</v>
      </c>
      <c r="Q153" s="21">
        <v>374</v>
      </c>
      <c r="R153" s="21"/>
      <c r="S153" s="21"/>
      <c r="T153" s="21">
        <v>325</v>
      </c>
      <c r="U153" s="21">
        <v>312</v>
      </c>
      <c r="V153" s="21"/>
      <c r="W153" s="40">
        <f>AVERAGE(Q153:V153)</f>
        <v>337</v>
      </c>
    </row>
    <row r="154" spans="1:24" ht="18.75" customHeight="1" x14ac:dyDescent="0.25">
      <c r="A154" s="5">
        <v>4</v>
      </c>
      <c r="B154" s="21" t="s">
        <v>233</v>
      </c>
      <c r="C154" s="13">
        <v>46039</v>
      </c>
      <c r="D154" s="21" t="s">
        <v>428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40"/>
    </row>
    <row r="155" spans="1:24" ht="16.5" customHeight="1" x14ac:dyDescent="0.25">
      <c r="A155" s="5">
        <v>5</v>
      </c>
      <c r="B155" s="21" t="s">
        <v>233</v>
      </c>
      <c r="C155" s="13">
        <v>46148</v>
      </c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40"/>
    </row>
    <row r="156" spans="1:24" ht="16.5" customHeight="1" thickBot="1" x14ac:dyDescent="0.3">
      <c r="A156" s="7">
        <v>6</v>
      </c>
      <c r="B156" s="37"/>
      <c r="C156" s="10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43"/>
    </row>
    <row r="157" spans="1:24" ht="20.100000000000001" customHeight="1" x14ac:dyDescent="0.25">
      <c r="A157" s="38"/>
      <c r="B157" s="38"/>
    </row>
    <row r="158" spans="1:24" ht="20.100000000000001" customHeight="1" thickBot="1" x14ac:dyDescent="0.3">
      <c r="A158" s="38"/>
      <c r="B158" s="38"/>
    </row>
    <row r="159" spans="1:24" ht="20.100000000000001" customHeight="1" x14ac:dyDescent="0.25">
      <c r="A159" s="100" t="s">
        <v>2</v>
      </c>
      <c r="B159" s="101"/>
      <c r="C159" s="178" t="s">
        <v>127</v>
      </c>
      <c r="D159" s="179"/>
      <c r="E159" s="111" t="s">
        <v>389</v>
      </c>
      <c r="F159" s="112"/>
      <c r="G159" s="101" t="s">
        <v>4</v>
      </c>
      <c r="H159" s="101"/>
      <c r="I159" s="102" t="s">
        <v>135</v>
      </c>
      <c r="J159" s="102"/>
      <c r="K159" s="102"/>
      <c r="L159" s="102"/>
      <c r="M159" s="102"/>
      <c r="N159" s="102"/>
      <c r="O159" s="101" t="s">
        <v>6</v>
      </c>
      <c r="P159" s="101"/>
      <c r="Q159" s="103"/>
      <c r="R159" s="104"/>
      <c r="S159" s="104"/>
      <c r="T159" s="104"/>
      <c r="U159" s="104"/>
      <c r="V159" s="104"/>
      <c r="W159" s="105"/>
      <c r="X159" s="1"/>
    </row>
    <row r="160" spans="1:24" ht="20.100000000000001" customHeight="1" x14ac:dyDescent="0.25">
      <c r="A160" s="106" t="s">
        <v>7</v>
      </c>
      <c r="B160" s="107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7"/>
      <c r="R160" s="107"/>
      <c r="S160" s="107"/>
      <c r="T160" s="107"/>
      <c r="U160" s="107"/>
      <c r="V160" s="107"/>
      <c r="W160" s="110"/>
      <c r="X160" s="1"/>
    </row>
    <row r="161" spans="1:24" ht="24.95" customHeight="1" x14ac:dyDescent="0.25">
      <c r="A161" s="113" t="s">
        <v>8</v>
      </c>
      <c r="B161" s="114" t="s">
        <v>9</v>
      </c>
      <c r="C161" s="114" t="s">
        <v>10</v>
      </c>
      <c r="D161" s="114" t="s">
        <v>11</v>
      </c>
      <c r="E161" s="114" t="s">
        <v>12</v>
      </c>
      <c r="F161" s="114" t="s">
        <v>13</v>
      </c>
      <c r="G161" s="114" t="s">
        <v>14</v>
      </c>
      <c r="H161" s="114"/>
      <c r="I161" s="114"/>
      <c r="J161" s="114"/>
      <c r="K161" s="114"/>
      <c r="L161" s="114"/>
      <c r="M161" s="114" t="s">
        <v>15</v>
      </c>
      <c r="N161" s="114" t="s">
        <v>16</v>
      </c>
      <c r="O161" s="114" t="s">
        <v>17</v>
      </c>
      <c r="P161" s="114" t="s">
        <v>18</v>
      </c>
      <c r="Q161" s="114" t="s">
        <v>19</v>
      </c>
      <c r="R161" s="114"/>
      <c r="S161" s="114"/>
      <c r="T161" s="114"/>
      <c r="U161" s="114"/>
      <c r="V161" s="114"/>
      <c r="W161" s="115" t="s">
        <v>20</v>
      </c>
      <c r="X161" s="3"/>
    </row>
    <row r="162" spans="1:24" ht="24.95" customHeight="1" x14ac:dyDescent="0.25">
      <c r="A162" s="113"/>
      <c r="B162" s="114"/>
      <c r="C162" s="114"/>
      <c r="D162" s="114"/>
      <c r="E162" s="114"/>
      <c r="F162" s="114"/>
      <c r="G162" s="31" t="s">
        <v>21</v>
      </c>
      <c r="H162" s="31" t="s">
        <v>21</v>
      </c>
      <c r="I162" s="31" t="s">
        <v>21</v>
      </c>
      <c r="J162" s="31" t="s">
        <v>22</v>
      </c>
      <c r="K162" s="31" t="s">
        <v>22</v>
      </c>
      <c r="L162" s="31" t="s">
        <v>22</v>
      </c>
      <c r="M162" s="114"/>
      <c r="N162" s="114"/>
      <c r="O162" s="114"/>
      <c r="P162" s="114"/>
      <c r="Q162" s="31" t="s">
        <v>21</v>
      </c>
      <c r="R162" s="31" t="s">
        <v>21</v>
      </c>
      <c r="S162" s="31" t="s">
        <v>21</v>
      </c>
      <c r="T162" s="31" t="s">
        <v>22</v>
      </c>
      <c r="U162" s="31" t="s">
        <v>22</v>
      </c>
      <c r="V162" s="31" t="s">
        <v>22</v>
      </c>
      <c r="W162" s="115"/>
      <c r="X162" s="3"/>
    </row>
    <row r="163" spans="1:24" ht="15.75" customHeight="1" x14ac:dyDescent="0.25">
      <c r="A163" s="5">
        <v>1</v>
      </c>
      <c r="B163" s="21" t="s">
        <v>79</v>
      </c>
      <c r="C163" s="20">
        <v>45770</v>
      </c>
      <c r="D163" s="20">
        <v>45792</v>
      </c>
      <c r="E163" s="21">
        <v>2</v>
      </c>
      <c r="F163" s="21">
        <v>0</v>
      </c>
      <c r="G163" s="21">
        <v>148</v>
      </c>
      <c r="H163" s="21"/>
      <c r="I163" s="21"/>
      <c r="J163" s="21">
        <v>147</v>
      </c>
      <c r="K163" s="21"/>
      <c r="L163" s="21"/>
      <c r="M163" s="21">
        <f>AVERAGE(J163)</f>
        <v>147</v>
      </c>
      <c r="N163" s="20">
        <v>45807</v>
      </c>
      <c r="O163" s="21">
        <v>2</v>
      </c>
      <c r="P163" s="21">
        <v>0</v>
      </c>
      <c r="Q163" s="21">
        <v>350</v>
      </c>
      <c r="R163" s="21"/>
      <c r="S163" s="21"/>
      <c r="T163" s="21">
        <v>339</v>
      </c>
      <c r="U163" s="21"/>
      <c r="V163" s="21"/>
      <c r="W163" s="40">
        <f>AVERAGE(Q163,T163)</f>
        <v>344.5</v>
      </c>
    </row>
    <row r="164" spans="1:24" ht="17.25" customHeight="1" x14ac:dyDescent="0.25">
      <c r="A164" s="6">
        <v>2</v>
      </c>
      <c r="B164" s="21" t="s">
        <v>233</v>
      </c>
      <c r="C164" s="20">
        <v>45884</v>
      </c>
      <c r="D164" s="21" t="s">
        <v>428</v>
      </c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2"/>
    </row>
    <row r="165" spans="1:24" ht="16.5" customHeight="1" x14ac:dyDescent="0.25">
      <c r="A165" s="6">
        <v>3</v>
      </c>
      <c r="B165" s="21" t="s">
        <v>295</v>
      </c>
      <c r="C165" s="20">
        <v>46039</v>
      </c>
      <c r="D165" s="21" t="s">
        <v>428</v>
      </c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2"/>
    </row>
    <row r="166" spans="1:24" ht="16.5" customHeight="1" x14ac:dyDescent="0.25">
      <c r="A166" s="5">
        <v>4</v>
      </c>
      <c r="B166" s="21" t="s">
        <v>233</v>
      </c>
      <c r="C166" s="20">
        <v>46181</v>
      </c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2"/>
    </row>
    <row r="167" spans="1:24" ht="16.5" customHeight="1" x14ac:dyDescent="0.25">
      <c r="A167" s="5">
        <v>5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2"/>
    </row>
    <row r="168" spans="1:24" ht="16.5" customHeight="1" thickBot="1" x14ac:dyDescent="0.3">
      <c r="A168" s="7">
        <v>6</v>
      </c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9"/>
    </row>
    <row r="169" spans="1:24" ht="20.100000000000001" customHeight="1" x14ac:dyDescent="0.25">
      <c r="A169" s="38"/>
      <c r="B169" s="38"/>
    </row>
    <row r="170" spans="1:24" ht="20.100000000000001" customHeight="1" thickBot="1" x14ac:dyDescent="0.3">
      <c r="A170" s="38"/>
      <c r="B170" s="38"/>
    </row>
    <row r="171" spans="1:24" ht="20.100000000000001" customHeight="1" x14ac:dyDescent="0.25">
      <c r="A171" s="100" t="s">
        <v>2</v>
      </c>
      <c r="B171" s="101"/>
      <c r="C171" s="178" t="s">
        <v>128</v>
      </c>
      <c r="D171" s="179"/>
      <c r="E171" s="111" t="s">
        <v>391</v>
      </c>
      <c r="F171" s="112"/>
      <c r="G171" s="101" t="s">
        <v>4</v>
      </c>
      <c r="H171" s="101"/>
      <c r="I171" s="102" t="s">
        <v>135</v>
      </c>
      <c r="J171" s="102"/>
      <c r="K171" s="102"/>
      <c r="L171" s="102"/>
      <c r="M171" s="102"/>
      <c r="N171" s="102"/>
      <c r="O171" s="101" t="s">
        <v>6</v>
      </c>
      <c r="P171" s="101"/>
      <c r="Q171" s="103"/>
      <c r="R171" s="104"/>
      <c r="S171" s="104"/>
      <c r="T171" s="104"/>
      <c r="U171" s="104"/>
      <c r="V171" s="104"/>
      <c r="W171" s="105"/>
      <c r="X171" s="1"/>
    </row>
    <row r="172" spans="1:24" ht="20.100000000000001" customHeight="1" x14ac:dyDescent="0.25">
      <c r="A172" s="106" t="s">
        <v>7</v>
      </c>
      <c r="B172" s="107"/>
      <c r="C172" s="116" t="s">
        <v>219</v>
      </c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09"/>
      <c r="P172" s="109"/>
      <c r="Q172" s="107"/>
      <c r="R172" s="107"/>
      <c r="S172" s="107"/>
      <c r="T172" s="107"/>
      <c r="U172" s="107"/>
      <c r="V172" s="107"/>
      <c r="W172" s="110"/>
      <c r="X172" s="1"/>
    </row>
    <row r="173" spans="1:24" ht="24.95" customHeight="1" x14ac:dyDescent="0.25">
      <c r="A173" s="113" t="s">
        <v>8</v>
      </c>
      <c r="B173" s="114" t="s">
        <v>9</v>
      </c>
      <c r="C173" s="114" t="s">
        <v>10</v>
      </c>
      <c r="D173" s="114" t="s">
        <v>11</v>
      </c>
      <c r="E173" s="114" t="s">
        <v>12</v>
      </c>
      <c r="F173" s="114" t="s">
        <v>13</v>
      </c>
      <c r="G173" s="114" t="s">
        <v>14</v>
      </c>
      <c r="H173" s="114"/>
      <c r="I173" s="114"/>
      <c r="J173" s="114"/>
      <c r="K173" s="114"/>
      <c r="L173" s="114"/>
      <c r="M173" s="114" t="s">
        <v>15</v>
      </c>
      <c r="N173" s="114" t="s">
        <v>16</v>
      </c>
      <c r="O173" s="114" t="s">
        <v>17</v>
      </c>
      <c r="P173" s="114" t="s">
        <v>18</v>
      </c>
      <c r="Q173" s="114" t="s">
        <v>19</v>
      </c>
      <c r="R173" s="114"/>
      <c r="S173" s="114"/>
      <c r="T173" s="114"/>
      <c r="U173" s="114"/>
      <c r="V173" s="114"/>
      <c r="W173" s="115" t="s">
        <v>20</v>
      </c>
      <c r="X173" s="3"/>
    </row>
    <row r="174" spans="1:24" ht="24.95" customHeight="1" x14ac:dyDescent="0.25">
      <c r="A174" s="113"/>
      <c r="B174" s="114"/>
      <c r="C174" s="114"/>
      <c r="D174" s="114"/>
      <c r="E174" s="114"/>
      <c r="F174" s="114"/>
      <c r="G174" s="31" t="s">
        <v>21</v>
      </c>
      <c r="H174" s="31" t="s">
        <v>21</v>
      </c>
      <c r="I174" s="31" t="s">
        <v>21</v>
      </c>
      <c r="J174" s="31" t="s">
        <v>22</v>
      </c>
      <c r="K174" s="31" t="s">
        <v>22</v>
      </c>
      <c r="L174" s="31" t="s">
        <v>22</v>
      </c>
      <c r="M174" s="114"/>
      <c r="N174" s="114"/>
      <c r="O174" s="114"/>
      <c r="P174" s="114"/>
      <c r="Q174" s="31" t="s">
        <v>21</v>
      </c>
      <c r="R174" s="31" t="s">
        <v>21</v>
      </c>
      <c r="S174" s="31" t="s">
        <v>21</v>
      </c>
      <c r="T174" s="31" t="s">
        <v>22</v>
      </c>
      <c r="U174" s="31" t="s">
        <v>22</v>
      </c>
      <c r="V174" s="31" t="s">
        <v>22</v>
      </c>
      <c r="W174" s="115"/>
      <c r="X174" s="3"/>
    </row>
    <row r="175" spans="1:24" ht="17.25" customHeight="1" x14ac:dyDescent="0.25">
      <c r="A175" s="5">
        <v>1</v>
      </c>
      <c r="B175" s="21" t="s">
        <v>79</v>
      </c>
      <c r="C175" s="13">
        <v>45770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9"/>
    </row>
    <row r="176" spans="1:24" ht="15.75" customHeight="1" x14ac:dyDescent="0.25">
      <c r="A176" s="6">
        <v>2</v>
      </c>
      <c r="B176" s="21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</row>
    <row r="177" spans="1:24" ht="18" customHeight="1" x14ac:dyDescent="0.25">
      <c r="A177" s="6">
        <v>3</v>
      </c>
      <c r="B177" s="21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</row>
    <row r="178" spans="1:24" ht="15.75" customHeight="1" x14ac:dyDescent="0.25">
      <c r="A178" s="5">
        <v>4</v>
      </c>
      <c r="B178" s="21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</row>
    <row r="179" spans="1:24" ht="14.25" customHeight="1" x14ac:dyDescent="0.25">
      <c r="A179" s="5">
        <v>5</v>
      </c>
      <c r="B179" s="21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</row>
    <row r="180" spans="1:24" ht="15" customHeight="1" thickBot="1" x14ac:dyDescent="0.3">
      <c r="A180" s="7">
        <v>6</v>
      </c>
      <c r="B180" s="37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4" ht="20.100000000000001" customHeight="1" x14ac:dyDescent="0.25">
      <c r="A181" s="38"/>
      <c r="B181" s="38"/>
    </row>
    <row r="182" spans="1:24" ht="20.100000000000001" customHeight="1" thickBot="1" x14ac:dyDescent="0.3">
      <c r="A182" s="38"/>
      <c r="B182" s="38"/>
    </row>
    <row r="183" spans="1:24" ht="20.100000000000001" customHeight="1" x14ac:dyDescent="0.25">
      <c r="A183" s="100" t="s">
        <v>2</v>
      </c>
      <c r="B183" s="101"/>
      <c r="C183" s="178" t="s">
        <v>129</v>
      </c>
      <c r="D183" s="179"/>
      <c r="E183" s="111" t="s">
        <v>391</v>
      </c>
      <c r="F183" s="112"/>
      <c r="G183" s="101" t="s">
        <v>4</v>
      </c>
      <c r="H183" s="101"/>
      <c r="I183" s="102" t="s">
        <v>135</v>
      </c>
      <c r="J183" s="102"/>
      <c r="K183" s="102"/>
      <c r="L183" s="102"/>
      <c r="M183" s="102"/>
      <c r="N183" s="102"/>
      <c r="O183" s="101" t="s">
        <v>6</v>
      </c>
      <c r="P183" s="101"/>
      <c r="Q183" s="103"/>
      <c r="R183" s="104"/>
      <c r="S183" s="104"/>
      <c r="T183" s="104"/>
      <c r="U183" s="104"/>
      <c r="V183" s="104"/>
      <c r="W183" s="105"/>
      <c r="X183" s="1"/>
    </row>
    <row r="184" spans="1:24" ht="20.100000000000001" customHeight="1" x14ac:dyDescent="0.25">
      <c r="A184" s="106" t="s">
        <v>7</v>
      </c>
      <c r="B184" s="107"/>
      <c r="C184" s="116" t="s">
        <v>44</v>
      </c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09"/>
      <c r="P184" s="109"/>
      <c r="Q184" s="107"/>
      <c r="R184" s="107"/>
      <c r="S184" s="107"/>
      <c r="T184" s="107"/>
      <c r="U184" s="107"/>
      <c r="V184" s="107"/>
      <c r="W184" s="110"/>
      <c r="X184" s="1"/>
    </row>
    <row r="185" spans="1:24" ht="24.95" customHeight="1" x14ac:dyDescent="0.25">
      <c r="A185" s="113" t="s">
        <v>8</v>
      </c>
      <c r="B185" s="114" t="s">
        <v>9</v>
      </c>
      <c r="C185" s="114" t="s">
        <v>10</v>
      </c>
      <c r="D185" s="114" t="s">
        <v>11</v>
      </c>
      <c r="E185" s="114" t="s">
        <v>12</v>
      </c>
      <c r="F185" s="114" t="s">
        <v>13</v>
      </c>
      <c r="G185" s="114" t="s">
        <v>14</v>
      </c>
      <c r="H185" s="114"/>
      <c r="I185" s="114"/>
      <c r="J185" s="114"/>
      <c r="K185" s="114"/>
      <c r="L185" s="114"/>
      <c r="M185" s="114" t="s">
        <v>15</v>
      </c>
      <c r="N185" s="114" t="s">
        <v>16</v>
      </c>
      <c r="O185" s="114" t="s">
        <v>17</v>
      </c>
      <c r="P185" s="114" t="s">
        <v>18</v>
      </c>
      <c r="Q185" s="114" t="s">
        <v>19</v>
      </c>
      <c r="R185" s="114"/>
      <c r="S185" s="114"/>
      <c r="T185" s="114"/>
      <c r="U185" s="114"/>
      <c r="V185" s="114"/>
      <c r="W185" s="115" t="s">
        <v>20</v>
      </c>
      <c r="X185" s="3"/>
    </row>
    <row r="186" spans="1:24" ht="24.95" customHeight="1" x14ac:dyDescent="0.25">
      <c r="A186" s="113"/>
      <c r="B186" s="114"/>
      <c r="C186" s="114"/>
      <c r="D186" s="114"/>
      <c r="E186" s="114"/>
      <c r="F186" s="114"/>
      <c r="G186" s="31" t="s">
        <v>21</v>
      </c>
      <c r="H186" s="31" t="s">
        <v>21</v>
      </c>
      <c r="I186" s="31" t="s">
        <v>21</v>
      </c>
      <c r="J186" s="31" t="s">
        <v>22</v>
      </c>
      <c r="K186" s="31" t="s">
        <v>22</v>
      </c>
      <c r="L186" s="31" t="s">
        <v>22</v>
      </c>
      <c r="M186" s="114"/>
      <c r="N186" s="114"/>
      <c r="O186" s="114"/>
      <c r="P186" s="114"/>
      <c r="Q186" s="31" t="s">
        <v>21</v>
      </c>
      <c r="R186" s="31" t="s">
        <v>21</v>
      </c>
      <c r="S186" s="31" t="s">
        <v>21</v>
      </c>
      <c r="T186" s="31" t="s">
        <v>22</v>
      </c>
      <c r="U186" s="31" t="s">
        <v>22</v>
      </c>
      <c r="V186" s="31" t="s">
        <v>22</v>
      </c>
      <c r="W186" s="115"/>
      <c r="X186" s="3"/>
    </row>
    <row r="187" spans="1:24" ht="15.75" customHeight="1" x14ac:dyDescent="0.25">
      <c r="A187" s="5">
        <v>1</v>
      </c>
      <c r="B187" s="21" t="s">
        <v>78</v>
      </c>
      <c r="C187" s="13">
        <v>45770</v>
      </c>
      <c r="D187" s="20">
        <v>45851</v>
      </c>
      <c r="E187" s="21">
        <v>2</v>
      </c>
      <c r="F187" s="21">
        <v>1</v>
      </c>
      <c r="G187" s="21">
        <v>159</v>
      </c>
      <c r="H187" s="21"/>
      <c r="I187" s="21"/>
      <c r="J187" s="21"/>
      <c r="K187" s="21"/>
      <c r="L187" s="21"/>
      <c r="M187" s="21">
        <v>159</v>
      </c>
      <c r="N187" s="20">
        <v>45869</v>
      </c>
      <c r="O187" s="21">
        <v>1</v>
      </c>
      <c r="P187" s="21">
        <v>0</v>
      </c>
      <c r="Q187" s="21">
        <v>306</v>
      </c>
      <c r="R187" s="21"/>
      <c r="S187" s="21"/>
      <c r="T187" s="21"/>
      <c r="U187" s="21"/>
      <c r="V187" s="21"/>
      <c r="W187" s="22">
        <v>306</v>
      </c>
    </row>
    <row r="188" spans="1:24" ht="16.5" customHeight="1" x14ac:dyDescent="0.25">
      <c r="A188" s="6">
        <v>2</v>
      </c>
      <c r="B188" s="21" t="s">
        <v>78</v>
      </c>
      <c r="C188" s="13">
        <v>45884</v>
      </c>
      <c r="D188" s="20">
        <v>45954</v>
      </c>
      <c r="E188" s="21">
        <v>3</v>
      </c>
      <c r="F188" s="21">
        <v>0</v>
      </c>
      <c r="G188" s="21">
        <v>117</v>
      </c>
      <c r="H188" s="21">
        <v>122</v>
      </c>
      <c r="I188" s="21"/>
      <c r="J188" s="21">
        <v>107</v>
      </c>
      <c r="K188" s="21"/>
      <c r="L188" s="21"/>
      <c r="M188" s="41">
        <f>AVERAGE(G188:L188)</f>
        <v>115.33333333333333</v>
      </c>
      <c r="N188" s="20">
        <v>45973</v>
      </c>
      <c r="O188" s="21">
        <v>3</v>
      </c>
      <c r="P188" s="21">
        <v>0</v>
      </c>
      <c r="Q188" s="21">
        <v>283</v>
      </c>
      <c r="R188" s="21">
        <v>168</v>
      </c>
      <c r="S188" s="21"/>
      <c r="T188" s="21">
        <v>291</v>
      </c>
      <c r="U188" s="21"/>
      <c r="V188" s="21"/>
      <c r="W188" s="40">
        <f>AVERAGE(Q188:V188)</f>
        <v>247.33333333333334</v>
      </c>
    </row>
    <row r="189" spans="1:24" ht="18" customHeight="1" x14ac:dyDescent="0.25">
      <c r="A189" s="6">
        <v>3</v>
      </c>
      <c r="B189" s="21" t="s">
        <v>97</v>
      </c>
      <c r="C189" s="13">
        <v>46039</v>
      </c>
      <c r="D189" s="20">
        <v>46109</v>
      </c>
      <c r="E189" s="21">
        <v>3</v>
      </c>
      <c r="F189" s="21">
        <v>0</v>
      </c>
      <c r="G189" s="21">
        <v>136</v>
      </c>
      <c r="H189" s="21">
        <v>151</v>
      </c>
      <c r="I189" s="21"/>
      <c r="J189" s="21">
        <v>147</v>
      </c>
      <c r="K189" s="21"/>
      <c r="L189" s="21"/>
      <c r="M189" s="41">
        <f>AVERAGE(G189:L189)</f>
        <v>144.66666666666666</v>
      </c>
      <c r="N189" s="20">
        <v>46133</v>
      </c>
      <c r="O189" s="21">
        <v>3</v>
      </c>
      <c r="P189" s="21">
        <v>0</v>
      </c>
      <c r="Q189" s="21">
        <v>315</v>
      </c>
      <c r="R189" s="21">
        <v>327</v>
      </c>
      <c r="S189" s="21"/>
      <c r="T189" s="21">
        <v>244</v>
      </c>
      <c r="U189" s="21"/>
      <c r="V189" s="21"/>
      <c r="W189" s="40">
        <f>AVERAGE(Q189:V189)</f>
        <v>295.33333333333331</v>
      </c>
    </row>
    <row r="190" spans="1:24" ht="15" customHeight="1" x14ac:dyDescent="0.25">
      <c r="A190" s="5">
        <v>4</v>
      </c>
      <c r="B190" s="21"/>
      <c r="C190" s="8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2"/>
    </row>
    <row r="191" spans="1:24" ht="17.25" customHeight="1" x14ac:dyDescent="0.25">
      <c r="A191" s="5">
        <v>5</v>
      </c>
      <c r="B191" s="21"/>
      <c r="C191" s="8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2"/>
    </row>
    <row r="192" spans="1:24" ht="16.5" customHeight="1" thickBot="1" x14ac:dyDescent="0.3">
      <c r="A192" s="7">
        <v>6</v>
      </c>
      <c r="B192" s="37"/>
      <c r="C192" s="10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9"/>
    </row>
    <row r="193" spans="1:24" ht="20.100000000000001" customHeight="1" x14ac:dyDescent="0.25">
      <c r="A193" s="38"/>
      <c r="B193" s="38"/>
    </row>
    <row r="194" spans="1:24" ht="20.100000000000001" customHeight="1" thickBot="1" x14ac:dyDescent="0.3">
      <c r="A194" s="38"/>
      <c r="B194" s="38"/>
    </row>
    <row r="195" spans="1:24" ht="20.100000000000001" customHeight="1" x14ac:dyDescent="0.25">
      <c r="A195" s="100" t="s">
        <v>2</v>
      </c>
      <c r="B195" s="101"/>
      <c r="C195" s="178" t="s">
        <v>130</v>
      </c>
      <c r="D195" s="179"/>
      <c r="E195" s="111" t="s">
        <v>389</v>
      </c>
      <c r="F195" s="112"/>
      <c r="G195" s="101" t="s">
        <v>4</v>
      </c>
      <c r="H195" s="101"/>
      <c r="I195" s="102" t="s">
        <v>135</v>
      </c>
      <c r="J195" s="102"/>
      <c r="K195" s="102"/>
      <c r="L195" s="102"/>
      <c r="M195" s="102"/>
      <c r="N195" s="102"/>
      <c r="O195" s="101" t="s">
        <v>6</v>
      </c>
      <c r="P195" s="101"/>
      <c r="Q195" s="103"/>
      <c r="R195" s="104"/>
      <c r="S195" s="104"/>
      <c r="T195" s="104"/>
      <c r="U195" s="104"/>
      <c r="V195" s="104"/>
      <c r="W195" s="105"/>
      <c r="X195" s="1"/>
    </row>
    <row r="196" spans="1:24" ht="20.100000000000001" customHeight="1" x14ac:dyDescent="0.25">
      <c r="A196" s="106" t="s">
        <v>7</v>
      </c>
      <c r="B196" s="107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7"/>
      <c r="R196" s="107"/>
      <c r="S196" s="107"/>
      <c r="T196" s="107"/>
      <c r="U196" s="107"/>
      <c r="V196" s="107"/>
      <c r="W196" s="110"/>
      <c r="X196" s="1"/>
    </row>
    <row r="197" spans="1:24" ht="24.95" customHeight="1" x14ac:dyDescent="0.25">
      <c r="A197" s="113" t="s">
        <v>8</v>
      </c>
      <c r="B197" s="114" t="s">
        <v>9</v>
      </c>
      <c r="C197" s="114" t="s">
        <v>10</v>
      </c>
      <c r="D197" s="114" t="s">
        <v>11</v>
      </c>
      <c r="E197" s="114" t="s">
        <v>12</v>
      </c>
      <c r="F197" s="114" t="s">
        <v>13</v>
      </c>
      <c r="G197" s="114" t="s">
        <v>14</v>
      </c>
      <c r="H197" s="114"/>
      <c r="I197" s="114"/>
      <c r="J197" s="114"/>
      <c r="K197" s="114"/>
      <c r="L197" s="114"/>
      <c r="M197" s="114" t="s">
        <v>15</v>
      </c>
      <c r="N197" s="114" t="s">
        <v>16</v>
      </c>
      <c r="O197" s="114" t="s">
        <v>17</v>
      </c>
      <c r="P197" s="114" t="s">
        <v>18</v>
      </c>
      <c r="Q197" s="114" t="s">
        <v>19</v>
      </c>
      <c r="R197" s="114"/>
      <c r="S197" s="114"/>
      <c r="T197" s="114"/>
      <c r="U197" s="114"/>
      <c r="V197" s="114"/>
      <c r="W197" s="115" t="s">
        <v>20</v>
      </c>
      <c r="X197" s="3"/>
    </row>
    <row r="198" spans="1:24" ht="24.95" customHeight="1" x14ac:dyDescent="0.25">
      <c r="A198" s="113"/>
      <c r="B198" s="114"/>
      <c r="C198" s="114"/>
      <c r="D198" s="114"/>
      <c r="E198" s="114"/>
      <c r="F198" s="114"/>
      <c r="G198" s="31" t="s">
        <v>21</v>
      </c>
      <c r="H198" s="31" t="s">
        <v>21</v>
      </c>
      <c r="I198" s="31" t="s">
        <v>21</v>
      </c>
      <c r="J198" s="31" t="s">
        <v>22</v>
      </c>
      <c r="K198" s="31" t="s">
        <v>22</v>
      </c>
      <c r="L198" s="31" t="s">
        <v>22</v>
      </c>
      <c r="M198" s="114"/>
      <c r="N198" s="114"/>
      <c r="O198" s="114"/>
      <c r="P198" s="114"/>
      <c r="Q198" s="31" t="s">
        <v>21</v>
      </c>
      <c r="R198" s="31" t="s">
        <v>21</v>
      </c>
      <c r="S198" s="31" t="s">
        <v>21</v>
      </c>
      <c r="T198" s="31" t="s">
        <v>22</v>
      </c>
      <c r="U198" s="31" t="s">
        <v>22</v>
      </c>
      <c r="V198" s="31" t="s">
        <v>22</v>
      </c>
      <c r="W198" s="115"/>
      <c r="X198" s="3"/>
    </row>
    <row r="199" spans="1:24" ht="16.5" customHeight="1" x14ac:dyDescent="0.25">
      <c r="A199" s="5">
        <v>1</v>
      </c>
      <c r="B199" s="21" t="s">
        <v>79</v>
      </c>
      <c r="C199" s="13">
        <v>45769</v>
      </c>
      <c r="D199" s="20">
        <v>45840</v>
      </c>
      <c r="E199" s="21">
        <v>2</v>
      </c>
      <c r="F199" s="21">
        <v>0</v>
      </c>
      <c r="G199" s="21">
        <v>170</v>
      </c>
      <c r="H199" s="21"/>
      <c r="I199" s="21"/>
      <c r="J199" s="21">
        <v>145</v>
      </c>
      <c r="K199" s="21"/>
      <c r="L199" s="21"/>
      <c r="M199" s="21">
        <f>AVERAGE(G199:L199)</f>
        <v>157.5</v>
      </c>
      <c r="N199" s="20">
        <v>45869</v>
      </c>
      <c r="O199" s="21">
        <v>2</v>
      </c>
      <c r="P199" s="21">
        <v>0</v>
      </c>
      <c r="Q199" s="21">
        <v>458</v>
      </c>
      <c r="R199" s="21"/>
      <c r="S199" s="21"/>
      <c r="T199" s="21">
        <v>426</v>
      </c>
      <c r="U199" s="21"/>
      <c r="V199" s="21"/>
      <c r="W199" s="22">
        <f>AVERAGE(Q199:V199)</f>
        <v>442</v>
      </c>
    </row>
    <row r="200" spans="1:24" ht="14.25" customHeight="1" x14ac:dyDescent="0.25">
      <c r="A200" s="6">
        <v>2</v>
      </c>
      <c r="B200" s="21" t="s">
        <v>233</v>
      </c>
      <c r="C200" s="13">
        <v>45884</v>
      </c>
      <c r="D200" s="21" t="s">
        <v>428</v>
      </c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2"/>
    </row>
    <row r="201" spans="1:24" ht="15" customHeight="1" x14ac:dyDescent="0.25">
      <c r="A201" s="6">
        <v>3</v>
      </c>
      <c r="B201" s="21" t="s">
        <v>295</v>
      </c>
      <c r="C201" s="13">
        <v>46039</v>
      </c>
      <c r="D201" s="21" t="s">
        <v>428</v>
      </c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2"/>
    </row>
    <row r="202" spans="1:24" ht="15.75" customHeight="1" x14ac:dyDescent="0.25">
      <c r="A202" s="5">
        <v>4</v>
      </c>
      <c r="B202" s="21" t="s">
        <v>233</v>
      </c>
      <c r="C202" s="13">
        <v>46181</v>
      </c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2"/>
    </row>
    <row r="203" spans="1:24" ht="16.5" customHeight="1" x14ac:dyDescent="0.25">
      <c r="A203" s="5">
        <v>5</v>
      </c>
      <c r="B203" s="21"/>
      <c r="C203" s="8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2"/>
    </row>
    <row r="204" spans="1:24" ht="18" customHeight="1" thickBot="1" x14ac:dyDescent="0.3">
      <c r="A204" s="7">
        <v>6</v>
      </c>
      <c r="B204" s="37"/>
      <c r="C204" s="10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9"/>
    </row>
    <row r="205" spans="1:24" ht="20.100000000000001" customHeight="1" x14ac:dyDescent="0.25">
      <c r="A205" s="38"/>
      <c r="B205" s="38"/>
    </row>
    <row r="206" spans="1:24" ht="20.100000000000001" customHeight="1" thickBot="1" x14ac:dyDescent="0.3">
      <c r="A206" s="38"/>
      <c r="B206" s="38"/>
    </row>
    <row r="207" spans="1:24" ht="20.100000000000001" customHeight="1" x14ac:dyDescent="0.25">
      <c r="A207" s="100" t="s">
        <v>2</v>
      </c>
      <c r="B207" s="101"/>
      <c r="C207" s="178" t="s">
        <v>131</v>
      </c>
      <c r="D207" s="179"/>
      <c r="E207" s="111" t="s">
        <v>391</v>
      </c>
      <c r="F207" s="112"/>
      <c r="G207" s="101" t="s">
        <v>4</v>
      </c>
      <c r="H207" s="101"/>
      <c r="I207" s="102" t="s">
        <v>135</v>
      </c>
      <c r="J207" s="102"/>
      <c r="K207" s="102"/>
      <c r="L207" s="102"/>
      <c r="M207" s="102"/>
      <c r="N207" s="102"/>
      <c r="O207" s="101" t="s">
        <v>6</v>
      </c>
      <c r="P207" s="101"/>
      <c r="Q207" s="103"/>
      <c r="R207" s="104"/>
      <c r="S207" s="104"/>
      <c r="T207" s="104"/>
      <c r="U207" s="104"/>
      <c r="V207" s="104"/>
      <c r="W207" s="105"/>
      <c r="X207" s="1"/>
    </row>
    <row r="208" spans="1:24" ht="20.100000000000001" customHeight="1" x14ac:dyDescent="0.25">
      <c r="A208" s="106" t="s">
        <v>7</v>
      </c>
      <c r="B208" s="107"/>
      <c r="C208" s="116" t="s">
        <v>44</v>
      </c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09"/>
      <c r="P208" s="109"/>
      <c r="Q208" s="107"/>
      <c r="R208" s="107"/>
      <c r="S208" s="107"/>
      <c r="T208" s="107"/>
      <c r="U208" s="107"/>
      <c r="V208" s="107"/>
      <c r="W208" s="110"/>
      <c r="X208" s="1"/>
    </row>
    <row r="209" spans="1:24" ht="24.95" customHeight="1" x14ac:dyDescent="0.25">
      <c r="A209" s="113" t="s">
        <v>8</v>
      </c>
      <c r="B209" s="114" t="s">
        <v>9</v>
      </c>
      <c r="C209" s="114" t="s">
        <v>10</v>
      </c>
      <c r="D209" s="114" t="s">
        <v>11</v>
      </c>
      <c r="E209" s="114" t="s">
        <v>12</v>
      </c>
      <c r="F209" s="114" t="s">
        <v>13</v>
      </c>
      <c r="G209" s="114" t="s">
        <v>14</v>
      </c>
      <c r="H209" s="114"/>
      <c r="I209" s="114"/>
      <c r="J209" s="114"/>
      <c r="K209" s="114"/>
      <c r="L209" s="114"/>
      <c r="M209" s="114" t="s">
        <v>15</v>
      </c>
      <c r="N209" s="114" t="s">
        <v>16</v>
      </c>
      <c r="O209" s="114" t="s">
        <v>17</v>
      </c>
      <c r="P209" s="114" t="s">
        <v>18</v>
      </c>
      <c r="Q209" s="114" t="s">
        <v>19</v>
      </c>
      <c r="R209" s="114"/>
      <c r="S209" s="114"/>
      <c r="T209" s="114"/>
      <c r="U209" s="114"/>
      <c r="V209" s="114"/>
      <c r="W209" s="115" t="s">
        <v>20</v>
      </c>
      <c r="X209" s="3"/>
    </row>
    <row r="210" spans="1:24" ht="24.95" customHeight="1" x14ac:dyDescent="0.25">
      <c r="A210" s="113"/>
      <c r="B210" s="114"/>
      <c r="C210" s="114"/>
      <c r="D210" s="114"/>
      <c r="E210" s="114"/>
      <c r="F210" s="114"/>
      <c r="G210" s="31" t="s">
        <v>21</v>
      </c>
      <c r="H210" s="31" t="s">
        <v>21</v>
      </c>
      <c r="I210" s="31" t="s">
        <v>21</v>
      </c>
      <c r="J210" s="31" t="s">
        <v>22</v>
      </c>
      <c r="K210" s="31" t="s">
        <v>22</v>
      </c>
      <c r="L210" s="31" t="s">
        <v>22</v>
      </c>
      <c r="M210" s="114"/>
      <c r="N210" s="114"/>
      <c r="O210" s="114"/>
      <c r="P210" s="114"/>
      <c r="Q210" s="31" t="s">
        <v>21</v>
      </c>
      <c r="R210" s="31" t="s">
        <v>21</v>
      </c>
      <c r="S210" s="31" t="s">
        <v>21</v>
      </c>
      <c r="T210" s="31" t="s">
        <v>22</v>
      </c>
      <c r="U210" s="31" t="s">
        <v>22</v>
      </c>
      <c r="V210" s="31" t="s">
        <v>22</v>
      </c>
      <c r="W210" s="115"/>
      <c r="X210" s="3"/>
    </row>
    <row r="211" spans="1:24" ht="15" customHeight="1" x14ac:dyDescent="0.25">
      <c r="A211" s="5">
        <v>1</v>
      </c>
      <c r="B211" s="21" t="s">
        <v>78</v>
      </c>
      <c r="C211" s="13">
        <v>45770</v>
      </c>
      <c r="D211" s="20">
        <v>45841</v>
      </c>
      <c r="E211" s="21">
        <v>1</v>
      </c>
      <c r="F211" s="21">
        <v>0</v>
      </c>
      <c r="G211" s="21">
        <v>150</v>
      </c>
      <c r="H211" s="21"/>
      <c r="I211" s="21"/>
      <c r="J211" s="21">
        <v>147</v>
      </c>
      <c r="K211" s="21"/>
      <c r="L211" s="21"/>
      <c r="M211" s="21">
        <f>AVERAGE(G211:L211)</f>
        <v>148.5</v>
      </c>
      <c r="N211" s="20">
        <v>45869</v>
      </c>
      <c r="O211" s="21">
        <v>1</v>
      </c>
      <c r="P211" s="21">
        <v>1</v>
      </c>
      <c r="Q211" s="21">
        <v>310</v>
      </c>
      <c r="R211" s="21"/>
      <c r="S211" s="21"/>
      <c r="T211" s="21"/>
      <c r="U211" s="21"/>
      <c r="V211" s="21"/>
      <c r="W211" s="22">
        <v>310</v>
      </c>
    </row>
    <row r="212" spans="1:24" ht="16.5" customHeight="1" x14ac:dyDescent="0.25">
      <c r="A212" s="6">
        <v>2</v>
      </c>
      <c r="B212" s="21" t="s">
        <v>97</v>
      </c>
      <c r="C212" s="13">
        <v>45884</v>
      </c>
      <c r="D212" s="20">
        <v>45955</v>
      </c>
      <c r="E212" s="21">
        <v>3</v>
      </c>
      <c r="F212" s="21">
        <v>0</v>
      </c>
      <c r="G212" s="21">
        <v>124</v>
      </c>
      <c r="H212" s="21">
        <v>133</v>
      </c>
      <c r="I212" s="21"/>
      <c r="J212" s="21">
        <v>136</v>
      </c>
      <c r="K212" s="21"/>
      <c r="L212" s="21"/>
      <c r="M212" s="21">
        <f>AVERAGE(G212:L212)</f>
        <v>131</v>
      </c>
      <c r="N212" s="20">
        <v>45973</v>
      </c>
      <c r="O212" s="21">
        <v>3</v>
      </c>
      <c r="P212" s="21">
        <v>0</v>
      </c>
      <c r="Q212" s="21">
        <v>268</v>
      </c>
      <c r="R212" s="21">
        <v>260</v>
      </c>
      <c r="S212" s="21"/>
      <c r="T212" s="21">
        <v>330</v>
      </c>
      <c r="U212" s="21"/>
      <c r="V212" s="21"/>
      <c r="W212" s="22">
        <f>AVERAGE(Q212:V212)</f>
        <v>286</v>
      </c>
    </row>
    <row r="213" spans="1:24" ht="15" customHeight="1" x14ac:dyDescent="0.25">
      <c r="A213" s="6">
        <v>3</v>
      </c>
      <c r="B213" s="21" t="s">
        <v>97</v>
      </c>
      <c r="C213" s="13">
        <v>46039</v>
      </c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2"/>
    </row>
    <row r="214" spans="1:24" ht="17.25" customHeight="1" x14ac:dyDescent="0.25">
      <c r="A214" s="5">
        <v>4</v>
      </c>
      <c r="B214" s="21"/>
      <c r="C214" s="8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2"/>
    </row>
    <row r="215" spans="1:24" ht="15.75" customHeight="1" x14ac:dyDescent="0.25">
      <c r="A215" s="5">
        <v>5</v>
      </c>
      <c r="B215" s="21"/>
      <c r="C215" s="8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2"/>
    </row>
    <row r="216" spans="1:24" ht="15.75" customHeight="1" thickBot="1" x14ac:dyDescent="0.3">
      <c r="A216" s="7">
        <v>6</v>
      </c>
      <c r="B216" s="37"/>
      <c r="C216" s="10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9"/>
    </row>
    <row r="217" spans="1:24" ht="20.100000000000001" customHeight="1" x14ac:dyDescent="0.25">
      <c r="A217" s="38"/>
      <c r="B217" s="38"/>
    </row>
    <row r="218" spans="1:24" ht="20.100000000000001" customHeight="1" thickBot="1" x14ac:dyDescent="0.3">
      <c r="A218" s="38"/>
      <c r="B218" s="38"/>
    </row>
    <row r="219" spans="1:24" ht="20.100000000000001" customHeight="1" x14ac:dyDescent="0.25">
      <c r="A219" s="100" t="s">
        <v>2</v>
      </c>
      <c r="B219" s="101"/>
      <c r="C219" s="188" t="s">
        <v>132</v>
      </c>
      <c r="D219" s="189"/>
      <c r="E219" s="111" t="s">
        <v>391</v>
      </c>
      <c r="F219" s="112"/>
      <c r="G219" s="101" t="s">
        <v>4</v>
      </c>
      <c r="H219" s="101"/>
      <c r="I219" s="102" t="s">
        <v>135</v>
      </c>
      <c r="J219" s="102"/>
      <c r="K219" s="102"/>
      <c r="L219" s="102"/>
      <c r="M219" s="102"/>
      <c r="N219" s="102"/>
      <c r="O219" s="101" t="s">
        <v>6</v>
      </c>
      <c r="P219" s="101"/>
      <c r="Q219" s="103"/>
      <c r="R219" s="104"/>
      <c r="S219" s="104"/>
      <c r="T219" s="104"/>
      <c r="U219" s="104"/>
      <c r="V219" s="104"/>
      <c r="W219" s="105"/>
      <c r="X219" s="1"/>
    </row>
    <row r="220" spans="1:24" ht="20.100000000000001" customHeight="1" x14ac:dyDescent="0.25">
      <c r="A220" s="106" t="s">
        <v>7</v>
      </c>
      <c r="B220" s="107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7"/>
      <c r="R220" s="107"/>
      <c r="S220" s="107"/>
      <c r="T220" s="107"/>
      <c r="U220" s="107"/>
      <c r="V220" s="107"/>
      <c r="W220" s="110"/>
      <c r="X220" s="1"/>
    </row>
    <row r="221" spans="1:24" ht="24.95" customHeight="1" x14ac:dyDescent="0.25">
      <c r="A221" s="113" t="s">
        <v>8</v>
      </c>
      <c r="B221" s="114" t="s">
        <v>9</v>
      </c>
      <c r="C221" s="114" t="s">
        <v>10</v>
      </c>
      <c r="D221" s="114" t="s">
        <v>11</v>
      </c>
      <c r="E221" s="114" t="s">
        <v>12</v>
      </c>
      <c r="F221" s="114" t="s">
        <v>13</v>
      </c>
      <c r="G221" s="114" t="s">
        <v>14</v>
      </c>
      <c r="H221" s="114"/>
      <c r="I221" s="114"/>
      <c r="J221" s="114"/>
      <c r="K221" s="114"/>
      <c r="L221" s="114"/>
      <c r="M221" s="114" t="s">
        <v>15</v>
      </c>
      <c r="N221" s="114" t="s">
        <v>16</v>
      </c>
      <c r="O221" s="114" t="s">
        <v>17</v>
      </c>
      <c r="P221" s="114" t="s">
        <v>18</v>
      </c>
      <c r="Q221" s="114" t="s">
        <v>19</v>
      </c>
      <c r="R221" s="114"/>
      <c r="S221" s="114"/>
      <c r="T221" s="114"/>
      <c r="U221" s="114"/>
      <c r="V221" s="114"/>
      <c r="W221" s="115" t="s">
        <v>20</v>
      </c>
      <c r="X221" s="3"/>
    </row>
    <row r="222" spans="1:24" ht="24.95" customHeight="1" x14ac:dyDescent="0.25">
      <c r="A222" s="113"/>
      <c r="B222" s="114"/>
      <c r="C222" s="114"/>
      <c r="D222" s="114"/>
      <c r="E222" s="114"/>
      <c r="F222" s="114"/>
      <c r="G222" s="31" t="s">
        <v>21</v>
      </c>
      <c r="H222" s="31" t="s">
        <v>21</v>
      </c>
      <c r="I222" s="31" t="s">
        <v>21</v>
      </c>
      <c r="J222" s="31" t="s">
        <v>22</v>
      </c>
      <c r="K222" s="31" t="s">
        <v>22</v>
      </c>
      <c r="L222" s="31" t="s">
        <v>22</v>
      </c>
      <c r="M222" s="114"/>
      <c r="N222" s="114"/>
      <c r="O222" s="114"/>
      <c r="P222" s="114"/>
      <c r="Q222" s="31" t="s">
        <v>21</v>
      </c>
      <c r="R222" s="31" t="s">
        <v>21</v>
      </c>
      <c r="S222" s="31" t="s">
        <v>21</v>
      </c>
      <c r="T222" s="31" t="s">
        <v>22</v>
      </c>
      <c r="U222" s="31" t="s">
        <v>22</v>
      </c>
      <c r="V222" s="31" t="s">
        <v>22</v>
      </c>
      <c r="W222" s="115"/>
      <c r="X222" s="3"/>
    </row>
    <row r="223" spans="1:24" ht="16.5" customHeight="1" x14ac:dyDescent="0.25">
      <c r="A223" s="5">
        <v>1</v>
      </c>
      <c r="B223" s="21" t="s">
        <v>78</v>
      </c>
      <c r="C223" s="13">
        <v>45770</v>
      </c>
      <c r="D223" s="20">
        <v>45852</v>
      </c>
      <c r="E223" s="21">
        <v>1</v>
      </c>
      <c r="F223" s="21">
        <v>0</v>
      </c>
      <c r="G223" s="21">
        <v>154</v>
      </c>
      <c r="H223" s="21"/>
      <c r="I223" s="21"/>
      <c r="J223" s="21"/>
      <c r="K223" s="21"/>
      <c r="L223" s="21"/>
      <c r="M223" s="21">
        <v>154</v>
      </c>
      <c r="N223" s="20">
        <v>45869</v>
      </c>
      <c r="O223" s="21">
        <v>1</v>
      </c>
      <c r="P223" s="21">
        <v>0</v>
      </c>
      <c r="Q223" s="21">
        <v>322</v>
      </c>
      <c r="R223" s="21"/>
      <c r="S223" s="21"/>
      <c r="T223" s="21"/>
      <c r="U223" s="21"/>
      <c r="V223" s="21"/>
      <c r="W223" s="22">
        <v>322</v>
      </c>
    </row>
    <row r="224" spans="1:24" ht="16.5" customHeight="1" x14ac:dyDescent="0.25">
      <c r="A224" s="6">
        <v>2</v>
      </c>
      <c r="B224" s="21" t="s">
        <v>97</v>
      </c>
      <c r="C224" s="13">
        <v>45884</v>
      </c>
      <c r="D224" s="20">
        <v>45964</v>
      </c>
      <c r="E224" s="21">
        <v>3</v>
      </c>
      <c r="F224" s="21">
        <v>1</v>
      </c>
      <c r="G224" s="21">
        <v>134</v>
      </c>
      <c r="H224" s="21">
        <v>124</v>
      </c>
      <c r="I224" s="21"/>
      <c r="J224" s="21"/>
      <c r="K224" s="21"/>
      <c r="L224" s="21"/>
      <c r="M224" s="21">
        <f>AVERAGE(G224:L224)</f>
        <v>129</v>
      </c>
      <c r="N224" s="20">
        <v>45986</v>
      </c>
      <c r="O224" s="21">
        <v>1</v>
      </c>
      <c r="P224" s="21">
        <v>2</v>
      </c>
      <c r="Q224" s="21">
        <v>200</v>
      </c>
      <c r="R224" s="21"/>
      <c r="S224" s="21"/>
      <c r="T224" s="21"/>
      <c r="U224" s="21"/>
      <c r="V224" s="21"/>
      <c r="W224" s="22">
        <v>200</v>
      </c>
    </row>
    <row r="225" spans="1:24" ht="16.5" customHeight="1" x14ac:dyDescent="0.25">
      <c r="A225" s="6">
        <v>3</v>
      </c>
      <c r="B225" s="21" t="s">
        <v>97</v>
      </c>
      <c r="C225" s="13">
        <v>46039</v>
      </c>
      <c r="D225" s="20">
        <v>46111</v>
      </c>
      <c r="E225" s="21">
        <v>3</v>
      </c>
      <c r="F225" s="21">
        <v>1</v>
      </c>
      <c r="G225" s="21"/>
      <c r="H225" s="21"/>
      <c r="I225" s="21"/>
      <c r="J225" s="21">
        <v>135</v>
      </c>
      <c r="K225" s="21">
        <v>169</v>
      </c>
      <c r="L225" s="21"/>
      <c r="M225" s="21">
        <f>AVERAGE(G225:L225)</f>
        <v>152</v>
      </c>
      <c r="N225" s="20">
        <v>46133</v>
      </c>
      <c r="O225" s="21">
        <v>2</v>
      </c>
      <c r="P225" s="21">
        <v>0</v>
      </c>
      <c r="Q225" s="21"/>
      <c r="R225" s="21"/>
      <c r="S225" s="21"/>
      <c r="T225" s="21">
        <v>337</v>
      </c>
      <c r="U225" s="21">
        <v>337</v>
      </c>
      <c r="V225" s="21"/>
      <c r="W225" s="22">
        <f>AVERAGE(Q225:V225)</f>
        <v>337</v>
      </c>
    </row>
    <row r="226" spans="1:24" ht="15" customHeight="1" x14ac:dyDescent="0.25">
      <c r="A226" s="5">
        <v>4</v>
      </c>
      <c r="B226" s="21" t="s">
        <v>97</v>
      </c>
      <c r="C226" s="13">
        <v>46148</v>
      </c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2"/>
    </row>
    <row r="227" spans="1:24" ht="15" customHeight="1" x14ac:dyDescent="0.25">
      <c r="A227" s="5">
        <v>5</v>
      </c>
      <c r="B227" s="21"/>
      <c r="C227" s="8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2"/>
    </row>
    <row r="228" spans="1:24" ht="15" customHeight="1" thickBot="1" x14ac:dyDescent="0.3">
      <c r="A228" s="7">
        <v>6</v>
      </c>
      <c r="B228" s="37"/>
      <c r="C228" s="10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9"/>
    </row>
    <row r="229" spans="1:24" ht="20.100000000000001" customHeight="1" x14ac:dyDescent="0.25">
      <c r="A229" s="38"/>
      <c r="B229" s="38"/>
    </row>
    <row r="230" spans="1:24" ht="20.100000000000001" customHeight="1" thickBot="1" x14ac:dyDescent="0.3">
      <c r="A230" s="38"/>
      <c r="B230" s="38"/>
    </row>
    <row r="231" spans="1:24" ht="20.100000000000001" customHeight="1" x14ac:dyDescent="0.25">
      <c r="A231" s="100" t="s">
        <v>2</v>
      </c>
      <c r="B231" s="101"/>
      <c r="C231" s="111" t="s">
        <v>133</v>
      </c>
      <c r="D231" s="112"/>
      <c r="E231" s="111" t="s">
        <v>389</v>
      </c>
      <c r="F231" s="112"/>
      <c r="G231" s="101" t="s">
        <v>4</v>
      </c>
      <c r="H231" s="101"/>
      <c r="I231" s="102" t="s">
        <v>135</v>
      </c>
      <c r="J231" s="102"/>
      <c r="K231" s="102"/>
      <c r="L231" s="102"/>
      <c r="M231" s="102"/>
      <c r="N231" s="102"/>
      <c r="O231" s="101" t="s">
        <v>6</v>
      </c>
      <c r="P231" s="101"/>
      <c r="Q231" s="103"/>
      <c r="R231" s="104"/>
      <c r="S231" s="104"/>
      <c r="T231" s="104"/>
      <c r="U231" s="104"/>
      <c r="V231" s="104"/>
      <c r="W231" s="105"/>
      <c r="X231" s="1"/>
    </row>
    <row r="232" spans="1:24" ht="20.100000000000001" customHeight="1" x14ac:dyDescent="0.25">
      <c r="A232" s="106" t="s">
        <v>7</v>
      </c>
      <c r="B232" s="107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7"/>
      <c r="R232" s="107"/>
      <c r="S232" s="107"/>
      <c r="T232" s="107"/>
      <c r="U232" s="107"/>
      <c r="V232" s="107"/>
      <c r="W232" s="110"/>
      <c r="X232" s="1"/>
    </row>
    <row r="233" spans="1:24" ht="24.95" customHeight="1" x14ac:dyDescent="0.25">
      <c r="A233" s="113" t="s">
        <v>8</v>
      </c>
      <c r="B233" s="114" t="s">
        <v>9</v>
      </c>
      <c r="C233" s="114" t="s">
        <v>10</v>
      </c>
      <c r="D233" s="114" t="s">
        <v>11</v>
      </c>
      <c r="E233" s="114" t="s">
        <v>12</v>
      </c>
      <c r="F233" s="114" t="s">
        <v>13</v>
      </c>
      <c r="G233" s="114" t="s">
        <v>14</v>
      </c>
      <c r="H233" s="114"/>
      <c r="I233" s="114"/>
      <c r="J233" s="114"/>
      <c r="K233" s="114"/>
      <c r="L233" s="114"/>
      <c r="M233" s="114" t="s">
        <v>15</v>
      </c>
      <c r="N233" s="114" t="s">
        <v>16</v>
      </c>
      <c r="O233" s="114" t="s">
        <v>17</v>
      </c>
      <c r="P233" s="114" t="s">
        <v>18</v>
      </c>
      <c r="Q233" s="114" t="s">
        <v>19</v>
      </c>
      <c r="R233" s="114"/>
      <c r="S233" s="114"/>
      <c r="T233" s="114"/>
      <c r="U233" s="114"/>
      <c r="V233" s="114"/>
      <c r="W233" s="115" t="s">
        <v>20</v>
      </c>
      <c r="X233" s="3"/>
    </row>
    <row r="234" spans="1:24" ht="24.95" customHeight="1" x14ac:dyDescent="0.25">
      <c r="A234" s="113"/>
      <c r="B234" s="114"/>
      <c r="C234" s="114"/>
      <c r="D234" s="114"/>
      <c r="E234" s="114"/>
      <c r="F234" s="114"/>
      <c r="G234" s="31" t="s">
        <v>21</v>
      </c>
      <c r="H234" s="31" t="s">
        <v>21</v>
      </c>
      <c r="I234" s="31" t="s">
        <v>21</v>
      </c>
      <c r="J234" s="31" t="s">
        <v>22</v>
      </c>
      <c r="K234" s="31" t="s">
        <v>22</v>
      </c>
      <c r="L234" s="31" t="s">
        <v>22</v>
      </c>
      <c r="M234" s="114"/>
      <c r="N234" s="114"/>
      <c r="O234" s="114"/>
      <c r="P234" s="114"/>
      <c r="Q234" s="31" t="s">
        <v>21</v>
      </c>
      <c r="R234" s="31" t="s">
        <v>21</v>
      </c>
      <c r="S234" s="31" t="s">
        <v>21</v>
      </c>
      <c r="T234" s="31" t="s">
        <v>22</v>
      </c>
      <c r="U234" s="31" t="s">
        <v>22</v>
      </c>
      <c r="V234" s="31" t="s">
        <v>22</v>
      </c>
      <c r="W234" s="115"/>
      <c r="X234" s="3"/>
    </row>
    <row r="235" spans="1:24" ht="15.75" customHeight="1" x14ac:dyDescent="0.25">
      <c r="A235" s="5">
        <v>1</v>
      </c>
      <c r="B235" s="21" t="s">
        <v>79</v>
      </c>
      <c r="C235" s="13">
        <v>45770</v>
      </c>
      <c r="D235" s="20">
        <v>45862</v>
      </c>
      <c r="E235" s="21">
        <v>1</v>
      </c>
      <c r="F235" s="21">
        <v>0</v>
      </c>
      <c r="G235" s="21">
        <v>190</v>
      </c>
      <c r="H235" s="21"/>
      <c r="I235" s="21"/>
      <c r="J235" s="21"/>
      <c r="K235" s="21"/>
      <c r="L235" s="21"/>
      <c r="M235" s="21">
        <v>190</v>
      </c>
      <c r="N235" s="20">
        <v>45882</v>
      </c>
      <c r="O235" s="21">
        <v>1</v>
      </c>
      <c r="P235" s="21">
        <v>0</v>
      </c>
      <c r="Q235" s="21">
        <v>287</v>
      </c>
      <c r="R235" s="21"/>
      <c r="S235" s="21"/>
      <c r="T235" s="21"/>
      <c r="U235" s="21"/>
      <c r="V235" s="21"/>
      <c r="W235" s="22">
        <v>287</v>
      </c>
    </row>
    <row r="236" spans="1:24" ht="18" customHeight="1" x14ac:dyDescent="0.25">
      <c r="A236" s="6">
        <v>2</v>
      </c>
      <c r="B236" s="21" t="s">
        <v>233</v>
      </c>
      <c r="C236" s="13">
        <v>45884</v>
      </c>
      <c r="D236" s="21" t="s">
        <v>428</v>
      </c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2"/>
    </row>
    <row r="237" spans="1:24" ht="15.75" customHeight="1" x14ac:dyDescent="0.25">
      <c r="A237" s="6">
        <v>3</v>
      </c>
      <c r="B237" s="21" t="s">
        <v>295</v>
      </c>
      <c r="C237" s="13">
        <v>46039</v>
      </c>
      <c r="D237" s="21" t="s">
        <v>428</v>
      </c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2"/>
    </row>
    <row r="238" spans="1:24" ht="17.25" customHeight="1" x14ac:dyDescent="0.25">
      <c r="A238" s="5">
        <v>4</v>
      </c>
      <c r="B238" s="21" t="s">
        <v>233</v>
      </c>
      <c r="C238" s="13">
        <v>46181</v>
      </c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2"/>
    </row>
    <row r="239" spans="1:24" ht="15" customHeight="1" x14ac:dyDescent="0.25">
      <c r="A239" s="5">
        <v>5</v>
      </c>
      <c r="B239" s="21"/>
      <c r="C239" s="8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2"/>
    </row>
    <row r="240" spans="1:24" ht="15" customHeight="1" thickBot="1" x14ac:dyDescent="0.3">
      <c r="A240" s="7">
        <v>6</v>
      </c>
      <c r="B240" s="37"/>
      <c r="C240" s="10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9"/>
    </row>
  </sheetData>
  <mergeCells count="482">
    <mergeCell ref="A1:W1"/>
    <mergeCell ref="A2:W2"/>
    <mergeCell ref="A3:B3"/>
    <mergeCell ref="G3:H3"/>
    <mergeCell ref="I3:N3"/>
    <mergeCell ref="O3:P3"/>
    <mergeCell ref="Q3:W3"/>
    <mergeCell ref="A4:B4"/>
    <mergeCell ref="C4:N4"/>
    <mergeCell ref="O4:P4"/>
    <mergeCell ref="Q4:W4"/>
    <mergeCell ref="C3:D3"/>
    <mergeCell ref="E3:F3"/>
    <mergeCell ref="A5:A6"/>
    <mergeCell ref="B5:B6"/>
    <mergeCell ref="C5:C6"/>
    <mergeCell ref="D5:D6"/>
    <mergeCell ref="E5:E6"/>
    <mergeCell ref="F5:F6"/>
    <mergeCell ref="W5:W6"/>
    <mergeCell ref="A15:B15"/>
    <mergeCell ref="G15:H15"/>
    <mergeCell ref="I15:N15"/>
    <mergeCell ref="O15:P15"/>
    <mergeCell ref="Q15:W15"/>
    <mergeCell ref="G5:L5"/>
    <mergeCell ref="M5:M6"/>
    <mergeCell ref="N5:N6"/>
    <mergeCell ref="O5:O6"/>
    <mergeCell ref="P5:P6"/>
    <mergeCell ref="Q5:V5"/>
    <mergeCell ref="C15:D15"/>
    <mergeCell ref="E15:F15"/>
    <mergeCell ref="A16:B16"/>
    <mergeCell ref="C16:N16"/>
    <mergeCell ref="O16:P16"/>
    <mergeCell ref="Q16:W16"/>
    <mergeCell ref="A17:A18"/>
    <mergeCell ref="B17:B18"/>
    <mergeCell ref="C17:C18"/>
    <mergeCell ref="D17:D18"/>
    <mergeCell ref="E17:E18"/>
    <mergeCell ref="F17:F18"/>
    <mergeCell ref="W17:W18"/>
    <mergeCell ref="A27:B27"/>
    <mergeCell ref="G27:H27"/>
    <mergeCell ref="I27:N27"/>
    <mergeCell ref="O27:P27"/>
    <mergeCell ref="Q27:W27"/>
    <mergeCell ref="G17:L17"/>
    <mergeCell ref="M17:M18"/>
    <mergeCell ref="N17:N18"/>
    <mergeCell ref="O17:O18"/>
    <mergeCell ref="P17:P18"/>
    <mergeCell ref="Q17:V17"/>
    <mergeCell ref="C27:D27"/>
    <mergeCell ref="E27:F27"/>
    <mergeCell ref="A28:B28"/>
    <mergeCell ref="C28:N28"/>
    <mergeCell ref="O28:P28"/>
    <mergeCell ref="Q28:W28"/>
    <mergeCell ref="A29:A30"/>
    <mergeCell ref="B29:B30"/>
    <mergeCell ref="C29:C30"/>
    <mergeCell ref="D29:D30"/>
    <mergeCell ref="E29:E30"/>
    <mergeCell ref="F29:F30"/>
    <mergeCell ref="W29:W30"/>
    <mergeCell ref="A39:B39"/>
    <mergeCell ref="G39:H39"/>
    <mergeCell ref="I39:N39"/>
    <mergeCell ref="O39:P39"/>
    <mergeCell ref="Q39:W39"/>
    <mergeCell ref="G29:L29"/>
    <mergeCell ref="M29:M30"/>
    <mergeCell ref="N29:N30"/>
    <mergeCell ref="O29:O30"/>
    <mergeCell ref="P29:P30"/>
    <mergeCell ref="Q29:V29"/>
    <mergeCell ref="C39:D39"/>
    <mergeCell ref="E39:F39"/>
    <mergeCell ref="A40:B40"/>
    <mergeCell ref="C40:N40"/>
    <mergeCell ref="O40:P40"/>
    <mergeCell ref="Q40:W40"/>
    <mergeCell ref="A41:A42"/>
    <mergeCell ref="B41:B42"/>
    <mergeCell ref="C41:C42"/>
    <mergeCell ref="D41:D42"/>
    <mergeCell ref="E41:E42"/>
    <mergeCell ref="F41:F42"/>
    <mergeCell ref="W41:W42"/>
    <mergeCell ref="A51:B51"/>
    <mergeCell ref="G51:H51"/>
    <mergeCell ref="I51:N51"/>
    <mergeCell ref="O51:P51"/>
    <mergeCell ref="Q51:W51"/>
    <mergeCell ref="G41:L41"/>
    <mergeCell ref="M41:M42"/>
    <mergeCell ref="N41:N42"/>
    <mergeCell ref="O41:O42"/>
    <mergeCell ref="P41:P42"/>
    <mergeCell ref="Q41:V41"/>
    <mergeCell ref="C51:D51"/>
    <mergeCell ref="E51:F51"/>
    <mergeCell ref="A52:B52"/>
    <mergeCell ref="C52:N52"/>
    <mergeCell ref="O52:P52"/>
    <mergeCell ref="Q52:W52"/>
    <mergeCell ref="A53:A54"/>
    <mergeCell ref="B53:B54"/>
    <mergeCell ref="C53:C54"/>
    <mergeCell ref="D53:D54"/>
    <mergeCell ref="E53:E54"/>
    <mergeCell ref="F53:F54"/>
    <mergeCell ref="W53:W54"/>
    <mergeCell ref="A63:B63"/>
    <mergeCell ref="G63:H63"/>
    <mergeCell ref="I63:N63"/>
    <mergeCell ref="O63:P63"/>
    <mergeCell ref="Q63:W63"/>
    <mergeCell ref="G53:L53"/>
    <mergeCell ref="M53:M54"/>
    <mergeCell ref="N53:N54"/>
    <mergeCell ref="O53:O54"/>
    <mergeCell ref="P53:P54"/>
    <mergeCell ref="Q53:V53"/>
    <mergeCell ref="C63:D63"/>
    <mergeCell ref="E63:F63"/>
    <mergeCell ref="A64:B64"/>
    <mergeCell ref="C64:N64"/>
    <mergeCell ref="O64:P64"/>
    <mergeCell ref="Q64:W64"/>
    <mergeCell ref="A65:A66"/>
    <mergeCell ref="B65:B66"/>
    <mergeCell ref="C65:C66"/>
    <mergeCell ref="D65:D66"/>
    <mergeCell ref="E65:E66"/>
    <mergeCell ref="F65:F66"/>
    <mergeCell ref="W65:W66"/>
    <mergeCell ref="A75:B75"/>
    <mergeCell ref="G75:H75"/>
    <mergeCell ref="I75:N75"/>
    <mergeCell ref="O75:P75"/>
    <mergeCell ref="Q75:W75"/>
    <mergeCell ref="G65:L65"/>
    <mergeCell ref="M65:M66"/>
    <mergeCell ref="N65:N66"/>
    <mergeCell ref="O65:O66"/>
    <mergeCell ref="P65:P66"/>
    <mergeCell ref="Q65:V65"/>
    <mergeCell ref="C75:D75"/>
    <mergeCell ref="E75:F75"/>
    <mergeCell ref="A76:B76"/>
    <mergeCell ref="C76:N76"/>
    <mergeCell ref="O76:P76"/>
    <mergeCell ref="Q76:W76"/>
    <mergeCell ref="A77:A78"/>
    <mergeCell ref="B77:B78"/>
    <mergeCell ref="C77:C78"/>
    <mergeCell ref="D77:D78"/>
    <mergeCell ref="E77:E78"/>
    <mergeCell ref="F77:F78"/>
    <mergeCell ref="W77:W78"/>
    <mergeCell ref="A87:B87"/>
    <mergeCell ref="G87:H87"/>
    <mergeCell ref="I87:N87"/>
    <mergeCell ref="O87:P87"/>
    <mergeCell ref="Q87:W87"/>
    <mergeCell ref="G77:L77"/>
    <mergeCell ref="M77:M78"/>
    <mergeCell ref="N77:N78"/>
    <mergeCell ref="O77:O78"/>
    <mergeCell ref="P77:P78"/>
    <mergeCell ref="Q77:V77"/>
    <mergeCell ref="C87:D87"/>
    <mergeCell ref="E87:F87"/>
    <mergeCell ref="A88:B88"/>
    <mergeCell ref="C88:N88"/>
    <mergeCell ref="O88:P88"/>
    <mergeCell ref="Q88:W88"/>
    <mergeCell ref="A89:A90"/>
    <mergeCell ref="B89:B90"/>
    <mergeCell ref="C89:C90"/>
    <mergeCell ref="D89:D90"/>
    <mergeCell ref="E89:E90"/>
    <mergeCell ref="F89:F90"/>
    <mergeCell ref="W89:W90"/>
    <mergeCell ref="A99:B99"/>
    <mergeCell ref="G99:H99"/>
    <mergeCell ref="I99:N99"/>
    <mergeCell ref="O99:P99"/>
    <mergeCell ref="Q99:W99"/>
    <mergeCell ref="G89:L89"/>
    <mergeCell ref="M89:M90"/>
    <mergeCell ref="N89:N90"/>
    <mergeCell ref="O89:O90"/>
    <mergeCell ref="P89:P90"/>
    <mergeCell ref="Q89:V89"/>
    <mergeCell ref="C99:D99"/>
    <mergeCell ref="E99:F99"/>
    <mergeCell ref="A100:B100"/>
    <mergeCell ref="C100:N100"/>
    <mergeCell ref="O100:P100"/>
    <mergeCell ref="Q100:W100"/>
    <mergeCell ref="A101:A102"/>
    <mergeCell ref="B101:B102"/>
    <mergeCell ref="C101:C102"/>
    <mergeCell ref="D101:D102"/>
    <mergeCell ref="E101:E102"/>
    <mergeCell ref="F101:F102"/>
    <mergeCell ref="W101:W102"/>
    <mergeCell ref="A111:B111"/>
    <mergeCell ref="G111:H111"/>
    <mergeCell ref="I111:N111"/>
    <mergeCell ref="O111:P111"/>
    <mergeCell ref="Q111:W111"/>
    <mergeCell ref="G101:L101"/>
    <mergeCell ref="M101:M102"/>
    <mergeCell ref="N101:N102"/>
    <mergeCell ref="O101:O102"/>
    <mergeCell ref="P101:P102"/>
    <mergeCell ref="Q101:V101"/>
    <mergeCell ref="C111:D111"/>
    <mergeCell ref="E111:F111"/>
    <mergeCell ref="A112:B112"/>
    <mergeCell ref="C112:N112"/>
    <mergeCell ref="O112:P112"/>
    <mergeCell ref="Q112:W112"/>
    <mergeCell ref="A113:A114"/>
    <mergeCell ref="B113:B114"/>
    <mergeCell ref="C113:C114"/>
    <mergeCell ref="D113:D114"/>
    <mergeCell ref="E113:E114"/>
    <mergeCell ref="F113:F114"/>
    <mergeCell ref="W113:W114"/>
    <mergeCell ref="A123:B123"/>
    <mergeCell ref="G123:H123"/>
    <mergeCell ref="I123:N123"/>
    <mergeCell ref="O123:P123"/>
    <mergeCell ref="Q123:W123"/>
    <mergeCell ref="G113:L113"/>
    <mergeCell ref="M113:M114"/>
    <mergeCell ref="N113:N114"/>
    <mergeCell ref="O113:O114"/>
    <mergeCell ref="P113:P114"/>
    <mergeCell ref="Q113:V113"/>
    <mergeCell ref="C123:D123"/>
    <mergeCell ref="E123:F123"/>
    <mergeCell ref="A124:B124"/>
    <mergeCell ref="C124:N124"/>
    <mergeCell ref="O124:P124"/>
    <mergeCell ref="Q124:W124"/>
    <mergeCell ref="A125:A126"/>
    <mergeCell ref="B125:B126"/>
    <mergeCell ref="C125:C126"/>
    <mergeCell ref="D125:D126"/>
    <mergeCell ref="E125:E126"/>
    <mergeCell ref="F125:F126"/>
    <mergeCell ref="W125:W126"/>
    <mergeCell ref="A135:B135"/>
    <mergeCell ref="G135:H135"/>
    <mergeCell ref="I135:N135"/>
    <mergeCell ref="O135:P135"/>
    <mergeCell ref="Q135:W135"/>
    <mergeCell ref="G125:L125"/>
    <mergeCell ref="M125:M126"/>
    <mergeCell ref="N125:N126"/>
    <mergeCell ref="O125:O126"/>
    <mergeCell ref="P125:P126"/>
    <mergeCell ref="Q125:V125"/>
    <mergeCell ref="C135:D135"/>
    <mergeCell ref="E135:F135"/>
    <mergeCell ref="A136:B136"/>
    <mergeCell ref="C136:N136"/>
    <mergeCell ref="O136:P136"/>
    <mergeCell ref="Q136:W136"/>
    <mergeCell ref="A137:A138"/>
    <mergeCell ref="B137:B138"/>
    <mergeCell ref="C137:C138"/>
    <mergeCell ref="D137:D138"/>
    <mergeCell ref="E137:E138"/>
    <mergeCell ref="F137:F138"/>
    <mergeCell ref="W137:W138"/>
    <mergeCell ref="A147:B147"/>
    <mergeCell ref="G147:H147"/>
    <mergeCell ref="I147:N147"/>
    <mergeCell ref="O147:P147"/>
    <mergeCell ref="Q147:W147"/>
    <mergeCell ref="G137:L137"/>
    <mergeCell ref="M137:M138"/>
    <mergeCell ref="N137:N138"/>
    <mergeCell ref="O137:O138"/>
    <mergeCell ref="P137:P138"/>
    <mergeCell ref="Q137:V137"/>
    <mergeCell ref="C147:D147"/>
    <mergeCell ref="E147:F147"/>
    <mergeCell ref="A148:B148"/>
    <mergeCell ref="C148:N148"/>
    <mergeCell ref="O148:P148"/>
    <mergeCell ref="Q148:W148"/>
    <mergeCell ref="A149:A150"/>
    <mergeCell ref="B149:B150"/>
    <mergeCell ref="C149:C150"/>
    <mergeCell ref="D149:D150"/>
    <mergeCell ref="E149:E150"/>
    <mergeCell ref="F149:F150"/>
    <mergeCell ref="W149:W150"/>
    <mergeCell ref="A159:B159"/>
    <mergeCell ref="G159:H159"/>
    <mergeCell ref="I159:N159"/>
    <mergeCell ref="O159:P159"/>
    <mergeCell ref="Q159:W159"/>
    <mergeCell ref="G149:L149"/>
    <mergeCell ref="M149:M150"/>
    <mergeCell ref="N149:N150"/>
    <mergeCell ref="O149:O150"/>
    <mergeCell ref="P149:P150"/>
    <mergeCell ref="Q149:V149"/>
    <mergeCell ref="C159:D159"/>
    <mergeCell ref="E159:F159"/>
    <mergeCell ref="A160:B160"/>
    <mergeCell ref="C160:N160"/>
    <mergeCell ref="O160:P160"/>
    <mergeCell ref="Q160:W160"/>
    <mergeCell ref="A161:A162"/>
    <mergeCell ref="B161:B162"/>
    <mergeCell ref="C161:C162"/>
    <mergeCell ref="D161:D162"/>
    <mergeCell ref="E161:E162"/>
    <mergeCell ref="F161:F162"/>
    <mergeCell ref="W161:W162"/>
    <mergeCell ref="A171:B171"/>
    <mergeCell ref="G171:H171"/>
    <mergeCell ref="I171:N171"/>
    <mergeCell ref="O171:P171"/>
    <mergeCell ref="Q171:W171"/>
    <mergeCell ref="G161:L161"/>
    <mergeCell ref="M161:M162"/>
    <mergeCell ref="N161:N162"/>
    <mergeCell ref="O161:O162"/>
    <mergeCell ref="P161:P162"/>
    <mergeCell ref="Q161:V161"/>
    <mergeCell ref="C171:D171"/>
    <mergeCell ref="E171:F171"/>
    <mergeCell ref="A172:B172"/>
    <mergeCell ref="C172:N172"/>
    <mergeCell ref="O172:P172"/>
    <mergeCell ref="Q172:W172"/>
    <mergeCell ref="A173:A174"/>
    <mergeCell ref="B173:B174"/>
    <mergeCell ref="C173:C174"/>
    <mergeCell ref="D173:D174"/>
    <mergeCell ref="E173:E174"/>
    <mergeCell ref="F173:F174"/>
    <mergeCell ref="W173:W174"/>
    <mergeCell ref="A183:B183"/>
    <mergeCell ref="G183:H183"/>
    <mergeCell ref="I183:N183"/>
    <mergeCell ref="O183:P183"/>
    <mergeCell ref="Q183:W183"/>
    <mergeCell ref="G173:L173"/>
    <mergeCell ref="M173:M174"/>
    <mergeCell ref="N173:N174"/>
    <mergeCell ref="O173:O174"/>
    <mergeCell ref="P173:P174"/>
    <mergeCell ref="Q173:V173"/>
    <mergeCell ref="C183:D183"/>
    <mergeCell ref="E183:F183"/>
    <mergeCell ref="A184:B184"/>
    <mergeCell ref="C184:N184"/>
    <mergeCell ref="O184:P184"/>
    <mergeCell ref="Q184:W184"/>
    <mergeCell ref="A185:A186"/>
    <mergeCell ref="B185:B186"/>
    <mergeCell ref="C185:C186"/>
    <mergeCell ref="D185:D186"/>
    <mergeCell ref="E185:E186"/>
    <mergeCell ref="F185:F186"/>
    <mergeCell ref="W185:W186"/>
    <mergeCell ref="A195:B195"/>
    <mergeCell ref="G195:H195"/>
    <mergeCell ref="I195:N195"/>
    <mergeCell ref="O195:P195"/>
    <mergeCell ref="Q195:W195"/>
    <mergeCell ref="G185:L185"/>
    <mergeCell ref="M185:M186"/>
    <mergeCell ref="N185:N186"/>
    <mergeCell ref="O185:O186"/>
    <mergeCell ref="P185:P186"/>
    <mergeCell ref="Q185:V185"/>
    <mergeCell ref="C195:D195"/>
    <mergeCell ref="E195:F195"/>
    <mergeCell ref="A196:B196"/>
    <mergeCell ref="C196:N196"/>
    <mergeCell ref="O196:P196"/>
    <mergeCell ref="Q196:W196"/>
    <mergeCell ref="A197:A198"/>
    <mergeCell ref="B197:B198"/>
    <mergeCell ref="C197:C198"/>
    <mergeCell ref="D197:D198"/>
    <mergeCell ref="E197:E198"/>
    <mergeCell ref="F197:F198"/>
    <mergeCell ref="W197:W198"/>
    <mergeCell ref="A207:B207"/>
    <mergeCell ref="G207:H207"/>
    <mergeCell ref="I207:N207"/>
    <mergeCell ref="O207:P207"/>
    <mergeCell ref="Q207:W207"/>
    <mergeCell ref="G197:L197"/>
    <mergeCell ref="M197:M198"/>
    <mergeCell ref="N197:N198"/>
    <mergeCell ref="O197:O198"/>
    <mergeCell ref="P197:P198"/>
    <mergeCell ref="Q197:V197"/>
    <mergeCell ref="C207:D207"/>
    <mergeCell ref="E207:F207"/>
    <mergeCell ref="A208:B208"/>
    <mergeCell ref="C208:N208"/>
    <mergeCell ref="O208:P208"/>
    <mergeCell ref="Q208:W208"/>
    <mergeCell ref="A209:A210"/>
    <mergeCell ref="B209:B210"/>
    <mergeCell ref="C209:C210"/>
    <mergeCell ref="D209:D210"/>
    <mergeCell ref="E209:E210"/>
    <mergeCell ref="F209:F210"/>
    <mergeCell ref="W209:W210"/>
    <mergeCell ref="A219:B219"/>
    <mergeCell ref="G219:H219"/>
    <mergeCell ref="I219:N219"/>
    <mergeCell ref="O219:P219"/>
    <mergeCell ref="Q219:W219"/>
    <mergeCell ref="G209:L209"/>
    <mergeCell ref="M209:M210"/>
    <mergeCell ref="N209:N210"/>
    <mergeCell ref="O209:O210"/>
    <mergeCell ref="P209:P210"/>
    <mergeCell ref="Q209:V209"/>
    <mergeCell ref="C219:D219"/>
    <mergeCell ref="E219:F219"/>
    <mergeCell ref="A220:B220"/>
    <mergeCell ref="C220:N220"/>
    <mergeCell ref="O220:P220"/>
    <mergeCell ref="Q220:W220"/>
    <mergeCell ref="A221:A222"/>
    <mergeCell ref="B221:B222"/>
    <mergeCell ref="C221:C222"/>
    <mergeCell ref="D221:D222"/>
    <mergeCell ref="E221:E222"/>
    <mergeCell ref="F221:F222"/>
    <mergeCell ref="W221:W222"/>
    <mergeCell ref="A231:B231"/>
    <mergeCell ref="G231:H231"/>
    <mergeCell ref="I231:N231"/>
    <mergeCell ref="O231:P231"/>
    <mergeCell ref="Q231:W231"/>
    <mergeCell ref="G221:L221"/>
    <mergeCell ref="M221:M222"/>
    <mergeCell ref="N221:N222"/>
    <mergeCell ref="O221:O222"/>
    <mergeCell ref="P221:P222"/>
    <mergeCell ref="Q221:V221"/>
    <mergeCell ref="C231:D231"/>
    <mergeCell ref="E231:F231"/>
    <mergeCell ref="W233:W234"/>
    <mergeCell ref="G233:L233"/>
    <mergeCell ref="M233:M234"/>
    <mergeCell ref="N233:N234"/>
    <mergeCell ref="O233:O234"/>
    <mergeCell ref="P233:P234"/>
    <mergeCell ref="Q233:V233"/>
    <mergeCell ref="A232:B232"/>
    <mergeCell ref="C232:N232"/>
    <mergeCell ref="O232:P232"/>
    <mergeCell ref="Q232:W232"/>
    <mergeCell ref="A233:A234"/>
    <mergeCell ref="B233:B234"/>
    <mergeCell ref="C233:C234"/>
    <mergeCell ref="D233:D234"/>
    <mergeCell ref="E233:E234"/>
    <mergeCell ref="F233:F23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D314-A974-4294-B136-9371417ECBBA}">
  <dimension ref="A1:X252"/>
  <sheetViews>
    <sheetView topLeftCell="A239" workbookViewId="0">
      <selection activeCell="P250" sqref="P250"/>
    </sheetView>
  </sheetViews>
  <sheetFormatPr baseColWidth="10" defaultColWidth="11.42578125" defaultRowHeight="15" x14ac:dyDescent="0.25"/>
  <cols>
    <col min="1" max="1" width="7.5703125" customWidth="1"/>
    <col min="2" max="2" width="12.28515625" customWidth="1"/>
    <col min="3" max="4" width="12.5703125" bestFit="1" customWidth="1"/>
    <col min="7" max="7" width="6.140625" customWidth="1"/>
    <col min="8" max="8" width="5.7109375" customWidth="1"/>
    <col min="9" max="9" width="5.42578125" customWidth="1"/>
    <col min="10" max="10" width="5.5703125" customWidth="1"/>
    <col min="11" max="11" width="5.42578125" customWidth="1"/>
    <col min="12" max="12" width="5.28515625" customWidth="1"/>
    <col min="13" max="13" width="9.5703125" customWidth="1"/>
    <col min="14" max="14" width="12.5703125" bestFit="1" customWidth="1"/>
    <col min="15" max="15" width="9.5703125" customWidth="1"/>
    <col min="16" max="16" width="10.7109375" customWidth="1"/>
    <col min="17" max="17" width="5.42578125" customWidth="1"/>
    <col min="18" max="18" width="5.28515625" customWidth="1"/>
    <col min="19" max="19" width="5" customWidth="1"/>
    <col min="20" max="20" width="5.140625" customWidth="1"/>
    <col min="21" max="21" width="5" customWidth="1"/>
    <col min="22" max="22" width="5.28515625" customWidth="1"/>
  </cols>
  <sheetData>
    <row r="1" spans="1:24" s="4" customFormat="1" ht="20.100000000000001" customHeight="1" x14ac:dyDescent="0.3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s="2" customFormat="1" ht="30" customHeight="1" thickBot="1" x14ac:dyDescent="0.3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4" ht="20.100000000000001" customHeight="1" x14ac:dyDescent="0.25">
      <c r="A3" s="100" t="s">
        <v>2</v>
      </c>
      <c r="B3" s="101"/>
      <c r="C3" s="188" t="s">
        <v>134</v>
      </c>
      <c r="D3" s="189"/>
      <c r="E3" s="111" t="s">
        <v>391</v>
      </c>
      <c r="F3" s="112"/>
      <c r="G3" s="101" t="s">
        <v>4</v>
      </c>
      <c r="H3" s="101"/>
      <c r="I3" s="102" t="s">
        <v>135</v>
      </c>
      <c r="J3" s="102"/>
      <c r="K3" s="102"/>
      <c r="L3" s="102"/>
      <c r="M3" s="102"/>
      <c r="N3" s="102"/>
      <c r="O3" s="101" t="s">
        <v>6</v>
      </c>
      <c r="P3" s="101"/>
      <c r="Q3" s="103"/>
      <c r="R3" s="104"/>
      <c r="S3" s="104"/>
      <c r="T3" s="104"/>
      <c r="U3" s="104"/>
      <c r="V3" s="104"/>
      <c r="W3" s="105"/>
      <c r="X3" s="1"/>
    </row>
    <row r="4" spans="1:24" ht="20.100000000000001" customHeight="1" x14ac:dyDescent="0.25">
      <c r="A4" s="106" t="s">
        <v>7</v>
      </c>
      <c r="B4" s="107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7"/>
      <c r="R4" s="107"/>
      <c r="S4" s="107"/>
      <c r="T4" s="107"/>
      <c r="U4" s="107"/>
      <c r="V4" s="107"/>
      <c r="W4" s="110"/>
      <c r="X4" s="1"/>
    </row>
    <row r="5" spans="1:24" ht="24.95" customHeight="1" x14ac:dyDescent="0.25">
      <c r="A5" s="113" t="s">
        <v>8</v>
      </c>
      <c r="B5" s="114" t="s">
        <v>9</v>
      </c>
      <c r="C5" s="114" t="s">
        <v>10</v>
      </c>
      <c r="D5" s="114" t="s">
        <v>11</v>
      </c>
      <c r="E5" s="114" t="s">
        <v>12</v>
      </c>
      <c r="F5" s="114" t="s">
        <v>13</v>
      </c>
      <c r="G5" s="114" t="s">
        <v>14</v>
      </c>
      <c r="H5" s="114"/>
      <c r="I5" s="114"/>
      <c r="J5" s="114"/>
      <c r="K5" s="114"/>
      <c r="L5" s="114"/>
      <c r="M5" s="114" t="s">
        <v>15</v>
      </c>
      <c r="N5" s="114" t="s">
        <v>16</v>
      </c>
      <c r="O5" s="114" t="s">
        <v>17</v>
      </c>
      <c r="P5" s="114" t="s">
        <v>18</v>
      </c>
      <c r="Q5" s="114" t="s">
        <v>19</v>
      </c>
      <c r="R5" s="114"/>
      <c r="S5" s="114"/>
      <c r="T5" s="114"/>
      <c r="U5" s="114"/>
      <c r="V5" s="114"/>
      <c r="W5" s="115" t="s">
        <v>20</v>
      </c>
      <c r="X5" s="3"/>
    </row>
    <row r="6" spans="1:24" ht="24.95" customHeight="1" x14ac:dyDescent="0.25">
      <c r="A6" s="113"/>
      <c r="B6" s="114"/>
      <c r="C6" s="114"/>
      <c r="D6" s="114"/>
      <c r="E6" s="114"/>
      <c r="F6" s="114"/>
      <c r="G6" s="31" t="s">
        <v>21</v>
      </c>
      <c r="H6" s="31" t="s">
        <v>21</v>
      </c>
      <c r="I6" s="31" t="s">
        <v>21</v>
      </c>
      <c r="J6" s="31" t="s">
        <v>22</v>
      </c>
      <c r="K6" s="31" t="s">
        <v>22</v>
      </c>
      <c r="L6" s="31" t="s">
        <v>22</v>
      </c>
      <c r="M6" s="114"/>
      <c r="N6" s="114"/>
      <c r="O6" s="114"/>
      <c r="P6" s="114"/>
      <c r="Q6" s="31" t="s">
        <v>21</v>
      </c>
      <c r="R6" s="31" t="s">
        <v>21</v>
      </c>
      <c r="S6" s="31" t="s">
        <v>21</v>
      </c>
      <c r="T6" s="31" t="s">
        <v>22</v>
      </c>
      <c r="U6" s="31" t="s">
        <v>22</v>
      </c>
      <c r="V6" s="31" t="s">
        <v>22</v>
      </c>
      <c r="W6" s="115"/>
      <c r="X6" s="3"/>
    </row>
    <row r="7" spans="1:24" ht="15.75" customHeight="1" x14ac:dyDescent="0.25">
      <c r="A7" s="35">
        <v>1</v>
      </c>
      <c r="B7" s="14" t="s">
        <v>78</v>
      </c>
      <c r="C7" s="14" t="s">
        <v>136</v>
      </c>
      <c r="D7" s="15">
        <v>45848</v>
      </c>
      <c r="E7" s="14">
        <v>3</v>
      </c>
      <c r="F7" s="14">
        <v>1</v>
      </c>
      <c r="G7" s="14"/>
      <c r="H7" s="14"/>
      <c r="I7" s="14"/>
      <c r="J7" s="14">
        <v>181</v>
      </c>
      <c r="K7" s="14">
        <v>171</v>
      </c>
      <c r="L7" s="14"/>
      <c r="M7" s="14">
        <f>AVERAGE(G7:L7)</f>
        <v>176</v>
      </c>
      <c r="N7" s="15" t="s">
        <v>137</v>
      </c>
      <c r="O7" s="14">
        <v>2</v>
      </c>
      <c r="P7" s="14">
        <v>0</v>
      </c>
      <c r="Q7" s="14"/>
      <c r="R7" s="14"/>
      <c r="S7" s="14"/>
      <c r="T7" s="14">
        <v>334</v>
      </c>
      <c r="U7" s="14">
        <v>330</v>
      </c>
      <c r="V7" s="14"/>
      <c r="W7" s="14">
        <f>AVERAGE(Q7:V7)</f>
        <v>332</v>
      </c>
    </row>
    <row r="8" spans="1:24" ht="16.5" customHeight="1" x14ac:dyDescent="0.25">
      <c r="A8" s="6">
        <v>2</v>
      </c>
      <c r="B8" s="21" t="s">
        <v>97</v>
      </c>
      <c r="C8" s="20">
        <v>45884</v>
      </c>
      <c r="D8" s="21" t="s">
        <v>428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2"/>
    </row>
    <row r="9" spans="1:24" ht="15" customHeight="1" x14ac:dyDescent="0.25">
      <c r="A9" s="6">
        <v>3</v>
      </c>
      <c r="B9" s="21" t="s">
        <v>97</v>
      </c>
      <c r="C9" s="20">
        <v>46039</v>
      </c>
      <c r="D9" s="20">
        <v>46125</v>
      </c>
      <c r="E9" s="21">
        <v>3</v>
      </c>
      <c r="F9" s="21">
        <v>0</v>
      </c>
      <c r="G9" s="21"/>
      <c r="H9" s="21"/>
      <c r="I9" s="21"/>
      <c r="J9" s="21">
        <v>114</v>
      </c>
      <c r="K9" s="21">
        <v>117</v>
      </c>
      <c r="L9" s="21">
        <v>120</v>
      </c>
      <c r="M9" s="21">
        <f>AVERAGE(G9:L9)</f>
        <v>117</v>
      </c>
      <c r="N9" s="20">
        <v>46139</v>
      </c>
      <c r="O9" s="21">
        <v>3</v>
      </c>
      <c r="P9" s="21">
        <v>0</v>
      </c>
      <c r="Q9" s="21"/>
      <c r="R9" s="21"/>
      <c r="S9" s="21"/>
      <c r="T9" s="21">
        <v>270</v>
      </c>
      <c r="U9" s="21">
        <v>207</v>
      </c>
      <c r="V9" s="21">
        <v>216</v>
      </c>
      <c r="W9" s="22">
        <f>AVERAGE(Q9:V9)</f>
        <v>231</v>
      </c>
    </row>
    <row r="10" spans="1:24" ht="15" customHeight="1" x14ac:dyDescent="0.25">
      <c r="A10" s="5">
        <v>4</v>
      </c>
      <c r="B10" s="21" t="s">
        <v>97</v>
      </c>
      <c r="C10" s="20">
        <v>46148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2"/>
    </row>
    <row r="11" spans="1:24" ht="15.75" customHeight="1" x14ac:dyDescent="0.25">
      <c r="A11" s="5">
        <v>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2"/>
    </row>
    <row r="12" spans="1:24" ht="15.75" customHeight="1" thickBot="1" x14ac:dyDescent="0.3">
      <c r="A12" s="7">
        <v>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9"/>
    </row>
    <row r="13" spans="1:24" ht="20.100000000000001" customHeight="1" x14ac:dyDescent="0.25"/>
    <row r="14" spans="1:24" ht="20.100000000000001" customHeight="1" thickBot="1" x14ac:dyDescent="0.3"/>
    <row r="15" spans="1:24" ht="20.100000000000001" customHeight="1" x14ac:dyDescent="0.25">
      <c r="A15" s="100" t="s">
        <v>2</v>
      </c>
      <c r="B15" s="101"/>
      <c r="C15" s="188" t="s">
        <v>363</v>
      </c>
      <c r="D15" s="189"/>
      <c r="E15" s="111" t="s">
        <v>392</v>
      </c>
      <c r="F15" s="112"/>
      <c r="G15" s="101" t="s">
        <v>4</v>
      </c>
      <c r="H15" s="101"/>
      <c r="I15" s="102" t="s">
        <v>139</v>
      </c>
      <c r="J15" s="102"/>
      <c r="K15" s="102"/>
      <c r="L15" s="102"/>
      <c r="M15" s="102"/>
      <c r="N15" s="102"/>
      <c r="O15" s="101" t="s">
        <v>6</v>
      </c>
      <c r="P15" s="101"/>
      <c r="Q15" s="103"/>
      <c r="R15" s="104"/>
      <c r="S15" s="104"/>
      <c r="T15" s="104"/>
      <c r="U15" s="104"/>
      <c r="V15" s="104"/>
      <c r="W15" s="105"/>
    </row>
    <row r="16" spans="1:24" ht="20.100000000000001" customHeight="1" x14ac:dyDescent="0.25">
      <c r="A16" s="106" t="s">
        <v>7</v>
      </c>
      <c r="B16" s="107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7"/>
      <c r="R16" s="107"/>
      <c r="S16" s="107"/>
      <c r="T16" s="107"/>
      <c r="U16" s="107"/>
      <c r="V16" s="107"/>
      <c r="W16" s="110"/>
    </row>
    <row r="17" spans="1:24" ht="20.100000000000001" customHeight="1" x14ac:dyDescent="0.25">
      <c r="A17" s="113" t="s">
        <v>8</v>
      </c>
      <c r="B17" s="114" t="s">
        <v>9</v>
      </c>
      <c r="C17" s="114" t="s">
        <v>10</v>
      </c>
      <c r="D17" s="114" t="s">
        <v>11</v>
      </c>
      <c r="E17" s="114" t="s">
        <v>12</v>
      </c>
      <c r="F17" s="114" t="s">
        <v>13</v>
      </c>
      <c r="G17" s="114" t="s">
        <v>14</v>
      </c>
      <c r="H17" s="114"/>
      <c r="I17" s="114"/>
      <c r="J17" s="114"/>
      <c r="K17" s="114"/>
      <c r="L17" s="114"/>
      <c r="M17" s="114" t="s">
        <v>15</v>
      </c>
      <c r="N17" s="114" t="s">
        <v>16</v>
      </c>
      <c r="O17" s="114" t="s">
        <v>17</v>
      </c>
      <c r="P17" s="114" t="s">
        <v>18</v>
      </c>
      <c r="Q17" s="114" t="s">
        <v>19</v>
      </c>
      <c r="R17" s="114"/>
      <c r="S17" s="114"/>
      <c r="T17" s="114"/>
      <c r="U17" s="114"/>
      <c r="V17" s="114"/>
      <c r="W17" s="115" t="s">
        <v>20</v>
      </c>
    </row>
    <row r="18" spans="1:24" ht="28.5" customHeight="1" x14ac:dyDescent="0.25">
      <c r="A18" s="113"/>
      <c r="B18" s="114"/>
      <c r="C18" s="114"/>
      <c r="D18" s="114"/>
      <c r="E18" s="114"/>
      <c r="F18" s="114"/>
      <c r="G18" s="31" t="s">
        <v>21</v>
      </c>
      <c r="H18" s="31" t="s">
        <v>21</v>
      </c>
      <c r="I18" s="31" t="s">
        <v>21</v>
      </c>
      <c r="J18" s="31" t="s">
        <v>22</v>
      </c>
      <c r="K18" s="31" t="s">
        <v>22</v>
      </c>
      <c r="L18" s="31" t="s">
        <v>22</v>
      </c>
      <c r="M18" s="114"/>
      <c r="N18" s="114"/>
      <c r="O18" s="114"/>
      <c r="P18" s="114"/>
      <c r="Q18" s="31" t="s">
        <v>21</v>
      </c>
      <c r="R18" s="31" t="s">
        <v>21</v>
      </c>
      <c r="S18" s="31" t="s">
        <v>21</v>
      </c>
      <c r="T18" s="31" t="s">
        <v>22</v>
      </c>
      <c r="U18" s="31" t="s">
        <v>22</v>
      </c>
      <c r="V18" s="31" t="s">
        <v>22</v>
      </c>
      <c r="W18" s="115"/>
    </row>
    <row r="19" spans="1:24" ht="22.5" customHeight="1" x14ac:dyDescent="0.25">
      <c r="A19" s="5">
        <v>1</v>
      </c>
      <c r="B19" s="14" t="s">
        <v>140</v>
      </c>
      <c r="C19" s="15">
        <v>45738</v>
      </c>
      <c r="D19" s="15">
        <v>45819</v>
      </c>
      <c r="E19" s="14">
        <v>2</v>
      </c>
      <c r="F19" s="14">
        <v>0</v>
      </c>
      <c r="G19" s="14"/>
      <c r="H19" s="14"/>
      <c r="I19" s="14"/>
      <c r="J19" s="14">
        <v>126</v>
      </c>
      <c r="K19" s="14">
        <v>89</v>
      </c>
      <c r="L19" s="14"/>
      <c r="M19" s="19">
        <f>AVERAGE(G19:L19)</f>
        <v>107.5</v>
      </c>
      <c r="N19" s="15">
        <v>45848</v>
      </c>
      <c r="O19" s="14">
        <v>2</v>
      </c>
      <c r="P19" s="14">
        <v>0</v>
      </c>
      <c r="Q19" s="14"/>
      <c r="R19" s="14"/>
      <c r="S19" s="14"/>
      <c r="T19" s="14">
        <v>241</v>
      </c>
      <c r="U19" s="14">
        <v>232</v>
      </c>
      <c r="V19" s="14"/>
      <c r="W19" s="19">
        <f>AVERAGE(Q19:V19)</f>
        <v>236.5</v>
      </c>
    </row>
    <row r="20" spans="1:24" ht="15.75" customHeight="1" x14ac:dyDescent="0.25">
      <c r="A20" s="6">
        <v>2</v>
      </c>
      <c r="B20" s="21" t="s">
        <v>140</v>
      </c>
      <c r="C20" s="13">
        <v>45851</v>
      </c>
      <c r="D20" s="13">
        <v>45928</v>
      </c>
      <c r="E20" s="21">
        <v>1</v>
      </c>
      <c r="F20" s="21">
        <v>0</v>
      </c>
      <c r="G20" s="21">
        <v>160</v>
      </c>
      <c r="H20" s="21"/>
      <c r="I20" s="21"/>
      <c r="J20" s="21"/>
      <c r="K20" s="21"/>
      <c r="L20" s="21"/>
      <c r="M20" s="21">
        <v>160</v>
      </c>
      <c r="N20" s="20">
        <v>45944</v>
      </c>
      <c r="O20" s="21">
        <v>1</v>
      </c>
      <c r="P20" s="21">
        <v>0</v>
      </c>
      <c r="Q20" s="21">
        <v>248</v>
      </c>
      <c r="R20" s="21"/>
      <c r="S20" s="21"/>
      <c r="T20" s="21"/>
      <c r="U20" s="21"/>
      <c r="V20" s="21"/>
      <c r="W20" s="22">
        <v>248</v>
      </c>
    </row>
    <row r="21" spans="1:24" ht="16.5" customHeight="1" x14ac:dyDescent="0.25">
      <c r="A21" s="6">
        <v>3</v>
      </c>
      <c r="B21" s="21" t="s">
        <v>145</v>
      </c>
      <c r="C21" s="13">
        <v>45950</v>
      </c>
      <c r="D21" s="13">
        <v>46027</v>
      </c>
      <c r="E21" s="21">
        <v>3</v>
      </c>
      <c r="F21" s="21">
        <v>0</v>
      </c>
      <c r="G21" s="21">
        <v>128</v>
      </c>
      <c r="H21" s="21"/>
      <c r="I21" s="21"/>
      <c r="J21" s="21">
        <v>122</v>
      </c>
      <c r="K21" s="21">
        <v>132</v>
      </c>
      <c r="L21" s="21"/>
      <c r="M21" s="41">
        <f>AVERAGE(G21:L21)</f>
        <v>127.33333333333333</v>
      </c>
      <c r="N21" s="20">
        <v>46039</v>
      </c>
      <c r="O21" s="21">
        <v>2</v>
      </c>
      <c r="P21" s="21">
        <v>0</v>
      </c>
      <c r="Q21" s="21"/>
      <c r="R21" s="21"/>
      <c r="S21" s="21"/>
      <c r="T21" s="21">
        <v>230</v>
      </c>
      <c r="U21" s="21">
        <v>184</v>
      </c>
      <c r="V21" s="21"/>
      <c r="W21" s="22">
        <f>AVERAGE(Q21:V21)</f>
        <v>207</v>
      </c>
    </row>
    <row r="22" spans="1:24" ht="17.25" customHeight="1" x14ac:dyDescent="0.25">
      <c r="A22" s="5">
        <v>4</v>
      </c>
      <c r="B22" s="21" t="s">
        <v>145</v>
      </c>
      <c r="C22" s="13">
        <v>45674</v>
      </c>
      <c r="D22" s="13">
        <v>46131</v>
      </c>
      <c r="E22" s="21">
        <v>3</v>
      </c>
      <c r="F22" s="21">
        <v>0</v>
      </c>
      <c r="G22" s="21">
        <v>109</v>
      </c>
      <c r="H22" s="21"/>
      <c r="I22" s="21"/>
      <c r="J22" s="21">
        <v>112</v>
      </c>
      <c r="K22" s="21">
        <v>117</v>
      </c>
      <c r="L22" s="21"/>
      <c r="M22" s="21">
        <f>AVERAGE(G22:L22)</f>
        <v>112.66666666666667</v>
      </c>
      <c r="N22" s="20">
        <v>46150</v>
      </c>
      <c r="O22" s="21">
        <v>2</v>
      </c>
      <c r="P22" s="21">
        <v>3</v>
      </c>
      <c r="Q22" s="21">
        <v>210</v>
      </c>
      <c r="R22" s="21"/>
      <c r="S22" s="21"/>
      <c r="T22" s="21">
        <v>250</v>
      </c>
      <c r="U22" s="21">
        <v>220</v>
      </c>
      <c r="V22" s="21"/>
      <c r="W22" s="40">
        <f>AVERAGE(Q22:V22)</f>
        <v>226.66666666666666</v>
      </c>
    </row>
    <row r="23" spans="1:24" ht="17.25" customHeight="1" x14ac:dyDescent="0.25">
      <c r="A23" s="5">
        <v>5</v>
      </c>
      <c r="B23" s="21" t="s">
        <v>162</v>
      </c>
      <c r="C23" s="13">
        <v>46181</v>
      </c>
      <c r="D23" s="8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4" ht="14.25" customHeight="1" thickBot="1" x14ac:dyDescent="0.3">
      <c r="A24" s="7">
        <v>6</v>
      </c>
      <c r="B24" s="37"/>
      <c r="C24" s="10"/>
      <c r="D24" s="10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9"/>
    </row>
    <row r="25" spans="1:24" ht="20.100000000000001" customHeight="1" x14ac:dyDescent="0.25"/>
    <row r="26" spans="1:24" ht="20.100000000000001" customHeight="1" thickBot="1" x14ac:dyDescent="0.3"/>
    <row r="27" spans="1:24" ht="20.100000000000001" customHeight="1" x14ac:dyDescent="0.25">
      <c r="A27" s="100" t="s">
        <v>2</v>
      </c>
      <c r="B27" s="101"/>
      <c r="C27" s="184" t="s">
        <v>142</v>
      </c>
      <c r="D27" s="185"/>
      <c r="E27" s="111" t="s">
        <v>393</v>
      </c>
      <c r="F27" s="112"/>
      <c r="G27" s="101" t="s">
        <v>4</v>
      </c>
      <c r="H27" s="101"/>
      <c r="I27" s="102" t="s">
        <v>139</v>
      </c>
      <c r="J27" s="102"/>
      <c r="K27" s="102"/>
      <c r="L27" s="102"/>
      <c r="M27" s="102"/>
      <c r="N27" s="102"/>
      <c r="O27" s="101" t="s">
        <v>6</v>
      </c>
      <c r="P27" s="101"/>
      <c r="Q27" s="103"/>
      <c r="R27" s="104"/>
      <c r="S27" s="104"/>
      <c r="T27" s="104"/>
      <c r="U27" s="104"/>
      <c r="V27" s="104"/>
      <c r="W27" s="105"/>
      <c r="X27" s="1"/>
    </row>
    <row r="28" spans="1:24" ht="20.100000000000001" customHeight="1" x14ac:dyDescent="0.25">
      <c r="A28" s="106" t="s">
        <v>7</v>
      </c>
      <c r="B28" s="107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7"/>
      <c r="R28" s="107"/>
      <c r="S28" s="107"/>
      <c r="T28" s="107"/>
      <c r="U28" s="107"/>
      <c r="V28" s="107"/>
      <c r="W28" s="110"/>
      <c r="X28" s="1"/>
    </row>
    <row r="29" spans="1:24" ht="24.95" customHeight="1" x14ac:dyDescent="0.25">
      <c r="A29" s="113" t="s">
        <v>8</v>
      </c>
      <c r="B29" s="114" t="s">
        <v>9</v>
      </c>
      <c r="C29" s="114" t="s">
        <v>10</v>
      </c>
      <c r="D29" s="114" t="s">
        <v>11</v>
      </c>
      <c r="E29" s="114" t="s">
        <v>12</v>
      </c>
      <c r="F29" s="114" t="s">
        <v>13</v>
      </c>
      <c r="G29" s="114" t="s">
        <v>14</v>
      </c>
      <c r="H29" s="114"/>
      <c r="I29" s="114"/>
      <c r="J29" s="114"/>
      <c r="K29" s="114"/>
      <c r="L29" s="114"/>
      <c r="M29" s="114" t="s">
        <v>15</v>
      </c>
      <c r="N29" s="114" t="s">
        <v>16</v>
      </c>
      <c r="O29" s="114" t="s">
        <v>17</v>
      </c>
      <c r="P29" s="114" t="s">
        <v>18</v>
      </c>
      <c r="Q29" s="114" t="s">
        <v>19</v>
      </c>
      <c r="R29" s="114"/>
      <c r="S29" s="114"/>
      <c r="T29" s="114"/>
      <c r="U29" s="114"/>
      <c r="V29" s="114"/>
      <c r="W29" s="115" t="s">
        <v>20</v>
      </c>
      <c r="X29" s="3"/>
    </row>
    <row r="30" spans="1:24" ht="24.95" customHeight="1" x14ac:dyDescent="0.25">
      <c r="A30" s="113"/>
      <c r="B30" s="114"/>
      <c r="C30" s="114"/>
      <c r="D30" s="114"/>
      <c r="E30" s="114"/>
      <c r="F30" s="114"/>
      <c r="G30" s="31" t="s">
        <v>21</v>
      </c>
      <c r="H30" s="31" t="s">
        <v>21</v>
      </c>
      <c r="I30" s="31" t="s">
        <v>21</v>
      </c>
      <c r="J30" s="31" t="s">
        <v>22</v>
      </c>
      <c r="K30" s="31" t="s">
        <v>22</v>
      </c>
      <c r="L30" s="31" t="s">
        <v>22</v>
      </c>
      <c r="M30" s="114"/>
      <c r="N30" s="114"/>
      <c r="O30" s="114"/>
      <c r="P30" s="114"/>
      <c r="Q30" s="31" t="s">
        <v>21</v>
      </c>
      <c r="R30" s="31" t="s">
        <v>21</v>
      </c>
      <c r="S30" s="31" t="s">
        <v>21</v>
      </c>
      <c r="T30" s="31" t="s">
        <v>22</v>
      </c>
      <c r="U30" s="31" t="s">
        <v>22</v>
      </c>
      <c r="V30" s="31" t="s">
        <v>22</v>
      </c>
      <c r="W30" s="115"/>
      <c r="X30" s="3"/>
    </row>
    <row r="31" spans="1:24" ht="18.75" customHeight="1" x14ac:dyDescent="0.25">
      <c r="A31" s="5">
        <v>1</v>
      </c>
      <c r="B31" s="14" t="s">
        <v>140</v>
      </c>
      <c r="C31" s="14" t="s">
        <v>141</v>
      </c>
      <c r="D31" s="15">
        <v>45828</v>
      </c>
      <c r="E31" s="14">
        <v>1</v>
      </c>
      <c r="F31" s="14">
        <v>0</v>
      </c>
      <c r="G31" s="14"/>
      <c r="H31" s="14"/>
      <c r="I31" s="14"/>
      <c r="J31" s="14">
        <v>165</v>
      </c>
      <c r="K31" s="14"/>
      <c r="L31" s="14"/>
      <c r="M31" s="14">
        <f>AVERAGE(G31:L31)</f>
        <v>165</v>
      </c>
      <c r="N31" s="15">
        <v>45848</v>
      </c>
      <c r="O31" s="14">
        <v>1</v>
      </c>
      <c r="P31" s="14">
        <v>0</v>
      </c>
      <c r="Q31" s="14"/>
      <c r="R31" s="14"/>
      <c r="S31" s="14"/>
      <c r="T31" s="14">
        <v>268</v>
      </c>
      <c r="U31" s="14"/>
      <c r="V31" s="14"/>
      <c r="W31" s="14">
        <f>AVERAGE(Q31:V31)</f>
        <v>268</v>
      </c>
    </row>
    <row r="32" spans="1:24" ht="16.5" customHeight="1" x14ac:dyDescent="0.25">
      <c r="A32" s="6">
        <v>2</v>
      </c>
      <c r="B32" s="14" t="s">
        <v>145</v>
      </c>
      <c r="C32" s="15">
        <v>45851</v>
      </c>
      <c r="D32" s="15">
        <v>45928</v>
      </c>
      <c r="E32" s="14">
        <v>3</v>
      </c>
      <c r="F32" s="14">
        <v>0</v>
      </c>
      <c r="G32" s="14">
        <v>127</v>
      </c>
      <c r="H32" s="14"/>
      <c r="I32" s="14"/>
      <c r="J32" s="14">
        <v>136</v>
      </c>
      <c r="K32" s="14">
        <v>126</v>
      </c>
      <c r="L32" s="14"/>
      <c r="M32" s="19">
        <f>AVERAGE(G32:L32)</f>
        <v>129.66666666666666</v>
      </c>
      <c r="N32" s="15">
        <v>45944</v>
      </c>
      <c r="O32" s="14">
        <v>3</v>
      </c>
      <c r="P32" s="14">
        <v>0</v>
      </c>
      <c r="Q32" s="14">
        <v>194</v>
      </c>
      <c r="R32" s="14"/>
      <c r="S32" s="14"/>
      <c r="T32" s="14">
        <v>199</v>
      </c>
      <c r="U32" s="14">
        <v>156</v>
      </c>
      <c r="V32" s="14"/>
      <c r="W32" s="16">
        <f>AVERAGE(Q32:V32)</f>
        <v>183</v>
      </c>
    </row>
    <row r="33" spans="1:24" ht="16.5" customHeight="1" x14ac:dyDescent="0.25">
      <c r="A33" s="6">
        <v>3</v>
      </c>
      <c r="B33" s="14" t="s">
        <v>140</v>
      </c>
      <c r="C33" s="15">
        <v>45950</v>
      </c>
      <c r="D33" s="15">
        <v>46022</v>
      </c>
      <c r="E33" s="14">
        <v>3</v>
      </c>
      <c r="F33" s="14">
        <v>0</v>
      </c>
      <c r="G33" s="14"/>
      <c r="H33" s="14"/>
      <c r="I33" s="14"/>
      <c r="J33" s="14">
        <v>120</v>
      </c>
      <c r="K33" s="14">
        <v>119</v>
      </c>
      <c r="L33" s="14">
        <v>125</v>
      </c>
      <c r="M33" s="19">
        <f>AVERAGE(G33:L33)</f>
        <v>121.33333333333333</v>
      </c>
      <c r="N33" s="15">
        <v>46039</v>
      </c>
      <c r="O33" s="14">
        <v>3</v>
      </c>
      <c r="P33" s="14">
        <v>0</v>
      </c>
      <c r="Q33" s="14"/>
      <c r="R33" s="14"/>
      <c r="S33" s="14"/>
      <c r="T33" s="14">
        <v>218</v>
      </c>
      <c r="U33" s="14">
        <v>179</v>
      </c>
      <c r="V33" s="14">
        <v>208</v>
      </c>
      <c r="W33" s="76">
        <f>AVERAGE(Q33:V33)</f>
        <v>201.66666666666666</v>
      </c>
    </row>
    <row r="34" spans="1:24" ht="17.25" customHeight="1" x14ac:dyDescent="0.25">
      <c r="A34" s="5">
        <v>4</v>
      </c>
      <c r="B34" s="14" t="s">
        <v>140</v>
      </c>
      <c r="C34" s="15">
        <v>46039</v>
      </c>
      <c r="D34" s="15">
        <v>46113</v>
      </c>
      <c r="E34" s="14">
        <v>3</v>
      </c>
      <c r="F34" s="14">
        <v>0</v>
      </c>
      <c r="G34" s="14"/>
      <c r="H34" s="14"/>
      <c r="I34" s="14"/>
      <c r="J34" s="14">
        <v>198</v>
      </c>
      <c r="K34" s="14">
        <v>143</v>
      </c>
      <c r="L34" s="14">
        <v>150</v>
      </c>
      <c r="M34" s="19">
        <f>AVERAGE(G34:L34)</f>
        <v>163.66666666666666</v>
      </c>
      <c r="N34" s="15">
        <v>46139</v>
      </c>
      <c r="O34" s="14">
        <v>3</v>
      </c>
      <c r="P34" s="14">
        <v>0</v>
      </c>
      <c r="Q34" s="14"/>
      <c r="R34" s="14"/>
      <c r="S34" s="14"/>
      <c r="T34" s="14">
        <v>380</v>
      </c>
      <c r="U34" s="14">
        <v>339</v>
      </c>
      <c r="V34" s="14">
        <v>440</v>
      </c>
      <c r="W34" s="76">
        <f>AVERAGE(Q34:V34)</f>
        <v>386.33333333333331</v>
      </c>
    </row>
    <row r="35" spans="1:24" ht="16.5" customHeight="1" x14ac:dyDescent="0.25">
      <c r="A35" s="5">
        <v>5</v>
      </c>
      <c r="B35" s="14" t="s">
        <v>159</v>
      </c>
      <c r="C35" s="15">
        <v>46148</v>
      </c>
      <c r="D35" s="14"/>
      <c r="E35" s="14"/>
      <c r="F35" s="14"/>
      <c r="G35" s="14"/>
      <c r="H35" s="14"/>
      <c r="I35" s="14"/>
      <c r="J35" s="14"/>
      <c r="K35" s="14"/>
      <c r="L35" s="14"/>
      <c r="M35" s="19"/>
      <c r="N35" s="14"/>
      <c r="O35" s="14"/>
      <c r="P35" s="14"/>
      <c r="Q35" s="14"/>
      <c r="R35" s="14"/>
      <c r="S35" s="14"/>
      <c r="T35" s="14"/>
      <c r="U35" s="14"/>
      <c r="V35" s="14"/>
      <c r="W35" s="16"/>
    </row>
    <row r="36" spans="1:24" ht="15.75" customHeight="1" thickBot="1" x14ac:dyDescent="0.3">
      <c r="A36" s="7">
        <v>6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67"/>
      <c r="N36" s="17"/>
      <c r="O36" s="17"/>
      <c r="P36" s="17"/>
      <c r="Q36" s="17"/>
      <c r="R36" s="17"/>
      <c r="S36" s="17"/>
      <c r="T36" s="17"/>
      <c r="U36" s="17"/>
      <c r="V36" s="17"/>
      <c r="W36" s="18"/>
    </row>
    <row r="37" spans="1:24" ht="20.100000000000001" customHeight="1" x14ac:dyDescent="0.25"/>
    <row r="38" spans="1:24" ht="20.100000000000001" customHeight="1" thickBot="1" x14ac:dyDescent="0.3"/>
    <row r="39" spans="1:24" ht="20.100000000000001" customHeight="1" x14ac:dyDescent="0.25">
      <c r="A39" s="100" t="s">
        <v>2</v>
      </c>
      <c r="B39" s="101"/>
      <c r="C39" s="178" t="s">
        <v>143</v>
      </c>
      <c r="D39" s="179"/>
      <c r="E39" s="111" t="s">
        <v>393</v>
      </c>
      <c r="F39" s="112"/>
      <c r="G39" s="101" t="s">
        <v>4</v>
      </c>
      <c r="H39" s="101"/>
      <c r="I39" s="102" t="s">
        <v>139</v>
      </c>
      <c r="J39" s="102"/>
      <c r="K39" s="102"/>
      <c r="L39" s="102"/>
      <c r="M39" s="102"/>
      <c r="N39" s="102"/>
      <c r="O39" s="101" t="s">
        <v>6</v>
      </c>
      <c r="P39" s="101"/>
      <c r="Q39" s="103"/>
      <c r="R39" s="104"/>
      <c r="S39" s="104"/>
      <c r="T39" s="104"/>
      <c r="U39" s="104"/>
      <c r="V39" s="104"/>
      <c r="W39" s="105"/>
      <c r="X39" s="1"/>
    </row>
    <row r="40" spans="1:24" ht="20.100000000000001" customHeight="1" x14ac:dyDescent="0.25">
      <c r="A40" s="106" t="s">
        <v>7</v>
      </c>
      <c r="B40" s="107"/>
      <c r="C40" s="116" t="s">
        <v>44</v>
      </c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09"/>
      <c r="P40" s="109"/>
      <c r="Q40" s="107"/>
      <c r="R40" s="107"/>
      <c r="S40" s="107"/>
      <c r="T40" s="107"/>
      <c r="U40" s="107"/>
      <c r="V40" s="107"/>
      <c r="W40" s="110"/>
      <c r="X40" s="1"/>
    </row>
    <row r="41" spans="1:24" ht="24.95" customHeight="1" x14ac:dyDescent="0.25">
      <c r="A41" s="113" t="s">
        <v>8</v>
      </c>
      <c r="B41" s="114" t="s">
        <v>9</v>
      </c>
      <c r="C41" s="114" t="s">
        <v>10</v>
      </c>
      <c r="D41" s="114" t="s">
        <v>11</v>
      </c>
      <c r="E41" s="114" t="s">
        <v>12</v>
      </c>
      <c r="F41" s="114" t="s">
        <v>13</v>
      </c>
      <c r="G41" s="114" t="s">
        <v>14</v>
      </c>
      <c r="H41" s="114"/>
      <c r="I41" s="114"/>
      <c r="J41" s="114"/>
      <c r="K41" s="114"/>
      <c r="L41" s="114"/>
      <c r="M41" s="114" t="s">
        <v>15</v>
      </c>
      <c r="N41" s="114" t="s">
        <v>16</v>
      </c>
      <c r="O41" s="114" t="s">
        <v>17</v>
      </c>
      <c r="P41" s="114" t="s">
        <v>18</v>
      </c>
      <c r="Q41" s="114" t="s">
        <v>19</v>
      </c>
      <c r="R41" s="114"/>
      <c r="S41" s="114"/>
      <c r="T41" s="114"/>
      <c r="U41" s="114"/>
      <c r="V41" s="114"/>
      <c r="W41" s="115" t="s">
        <v>20</v>
      </c>
      <c r="X41" s="3"/>
    </row>
    <row r="42" spans="1:24" ht="24.95" customHeight="1" x14ac:dyDescent="0.25">
      <c r="A42" s="113"/>
      <c r="B42" s="114"/>
      <c r="C42" s="114"/>
      <c r="D42" s="114"/>
      <c r="E42" s="114"/>
      <c r="F42" s="114"/>
      <c r="G42" s="31" t="s">
        <v>21</v>
      </c>
      <c r="H42" s="31" t="s">
        <v>21</v>
      </c>
      <c r="I42" s="31" t="s">
        <v>21</v>
      </c>
      <c r="J42" s="31" t="s">
        <v>22</v>
      </c>
      <c r="K42" s="31" t="s">
        <v>22</v>
      </c>
      <c r="L42" s="31" t="s">
        <v>22</v>
      </c>
      <c r="M42" s="114"/>
      <c r="N42" s="114"/>
      <c r="O42" s="114"/>
      <c r="P42" s="114"/>
      <c r="Q42" s="31" t="s">
        <v>21</v>
      </c>
      <c r="R42" s="31" t="s">
        <v>21</v>
      </c>
      <c r="S42" s="31" t="s">
        <v>21</v>
      </c>
      <c r="T42" s="31" t="s">
        <v>22</v>
      </c>
      <c r="U42" s="31" t="s">
        <v>22</v>
      </c>
      <c r="V42" s="31" t="s">
        <v>22</v>
      </c>
      <c r="W42" s="115"/>
      <c r="X42" s="3"/>
    </row>
    <row r="43" spans="1:24" ht="15" customHeight="1" x14ac:dyDescent="0.25">
      <c r="A43" s="5">
        <v>1</v>
      </c>
      <c r="B43" s="21" t="s">
        <v>144</v>
      </c>
      <c r="C43" s="12">
        <v>45738</v>
      </c>
      <c r="D43" s="13">
        <v>45828</v>
      </c>
      <c r="E43" s="21">
        <v>1</v>
      </c>
      <c r="F43" s="21">
        <v>0</v>
      </c>
      <c r="G43" s="21"/>
      <c r="H43" s="21"/>
      <c r="I43" s="21"/>
      <c r="J43" s="21">
        <v>165</v>
      </c>
      <c r="K43" s="21"/>
      <c r="L43" s="21"/>
      <c r="M43" s="21">
        <f>J43</f>
        <v>165</v>
      </c>
      <c r="N43" s="20">
        <v>45848</v>
      </c>
      <c r="O43" s="21">
        <v>1</v>
      </c>
      <c r="P43" s="21">
        <v>0</v>
      </c>
      <c r="Q43" s="21"/>
      <c r="R43" s="21"/>
      <c r="S43" s="21"/>
      <c r="T43" s="21">
        <v>268</v>
      </c>
      <c r="U43" s="21"/>
      <c r="V43" s="21"/>
      <c r="W43" s="22">
        <f>T43</f>
        <v>268</v>
      </c>
    </row>
    <row r="44" spans="1:24" ht="15.75" customHeight="1" x14ac:dyDescent="0.25">
      <c r="A44" s="6">
        <v>2</v>
      </c>
      <c r="B44" s="21" t="s">
        <v>145</v>
      </c>
      <c r="C44" s="13">
        <v>45851</v>
      </c>
      <c r="D44" s="13">
        <v>45931</v>
      </c>
      <c r="E44" s="21">
        <v>2</v>
      </c>
      <c r="F44" s="21">
        <v>0</v>
      </c>
      <c r="G44" s="21">
        <v>113</v>
      </c>
      <c r="H44" s="21">
        <v>125</v>
      </c>
      <c r="I44" s="21"/>
      <c r="J44" s="21"/>
      <c r="K44" s="21"/>
      <c r="L44" s="38"/>
      <c r="M44" s="41">
        <f>AVERAGE(G44,J44,K44)</f>
        <v>113</v>
      </c>
      <c r="N44" s="20">
        <v>45944</v>
      </c>
      <c r="O44" s="21">
        <v>2</v>
      </c>
      <c r="P44" s="21">
        <v>0</v>
      </c>
      <c r="Q44" s="21">
        <v>146</v>
      </c>
      <c r="R44" s="21">
        <v>158</v>
      </c>
      <c r="S44" s="21"/>
      <c r="T44" s="21"/>
      <c r="U44" s="21"/>
      <c r="V44" s="21"/>
      <c r="W44" s="68">
        <f>AVERAGE(Q44,T44,U44)</f>
        <v>146</v>
      </c>
    </row>
    <row r="45" spans="1:24" ht="15" customHeight="1" x14ac:dyDescent="0.25">
      <c r="A45" s="6">
        <v>3</v>
      </c>
      <c r="B45" s="21" t="s">
        <v>140</v>
      </c>
      <c r="C45" s="13">
        <v>45950</v>
      </c>
      <c r="D45" s="8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2"/>
    </row>
    <row r="46" spans="1:24" ht="15" customHeight="1" x14ac:dyDescent="0.25">
      <c r="A46" s="5">
        <v>4</v>
      </c>
      <c r="B46" s="21" t="s">
        <v>140</v>
      </c>
      <c r="C46" s="13">
        <v>46039</v>
      </c>
      <c r="D46" s="13">
        <v>46110</v>
      </c>
      <c r="E46" s="21">
        <v>2</v>
      </c>
      <c r="F46" s="21">
        <v>0</v>
      </c>
      <c r="G46" s="21">
        <v>156</v>
      </c>
      <c r="H46" s="21"/>
      <c r="I46" s="21"/>
      <c r="J46" s="21">
        <v>151</v>
      </c>
      <c r="K46" s="21"/>
      <c r="L46" s="21"/>
      <c r="M46" s="21">
        <f>AVERAGE(G46:L46)</f>
        <v>153.5</v>
      </c>
      <c r="N46" s="20">
        <v>46133</v>
      </c>
      <c r="O46" s="21">
        <v>2</v>
      </c>
      <c r="P46" s="21">
        <v>0</v>
      </c>
      <c r="Q46" s="21">
        <v>327</v>
      </c>
      <c r="R46" s="21"/>
      <c r="S46" s="21"/>
      <c r="T46" s="21">
        <v>264</v>
      </c>
      <c r="U46" s="21"/>
      <c r="V46" s="21"/>
      <c r="W46" s="22">
        <f>AVERAGE(Q46:V46)</f>
        <v>295.5</v>
      </c>
    </row>
    <row r="47" spans="1:24" ht="17.25" customHeight="1" x14ac:dyDescent="0.25">
      <c r="A47" s="5">
        <v>5</v>
      </c>
      <c r="B47" s="21" t="s">
        <v>159</v>
      </c>
      <c r="C47" s="13">
        <v>46148</v>
      </c>
      <c r="D47" s="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</row>
    <row r="48" spans="1:24" ht="15.75" customHeight="1" thickBot="1" x14ac:dyDescent="0.3">
      <c r="A48" s="7">
        <v>6</v>
      </c>
      <c r="B48" s="37"/>
      <c r="C48" s="10"/>
      <c r="D48" s="10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9"/>
    </row>
    <row r="49" spans="1:24" ht="20.100000000000001" customHeight="1" x14ac:dyDescent="0.25"/>
    <row r="50" spans="1:24" ht="20.100000000000001" customHeight="1" thickBot="1" x14ac:dyDescent="0.3"/>
    <row r="51" spans="1:24" ht="20.100000000000001" customHeight="1" x14ac:dyDescent="0.25">
      <c r="A51" s="100" t="s">
        <v>2</v>
      </c>
      <c r="B51" s="101"/>
      <c r="C51" s="184" t="s">
        <v>146</v>
      </c>
      <c r="D51" s="185"/>
      <c r="E51" s="111" t="s">
        <v>392</v>
      </c>
      <c r="F51" s="112"/>
      <c r="G51" s="101" t="s">
        <v>4</v>
      </c>
      <c r="H51" s="101"/>
      <c r="I51" s="102" t="s">
        <v>139</v>
      </c>
      <c r="J51" s="102"/>
      <c r="K51" s="102"/>
      <c r="L51" s="102"/>
      <c r="M51" s="102"/>
      <c r="N51" s="102"/>
      <c r="O51" s="101" t="s">
        <v>6</v>
      </c>
      <c r="P51" s="101"/>
      <c r="Q51" s="103"/>
      <c r="R51" s="104"/>
      <c r="S51" s="104"/>
      <c r="T51" s="104"/>
      <c r="U51" s="104"/>
      <c r="V51" s="104"/>
      <c r="W51" s="105"/>
      <c r="X51" s="1"/>
    </row>
    <row r="52" spans="1:24" ht="20.100000000000001" customHeight="1" x14ac:dyDescent="0.25">
      <c r="A52" s="106" t="s">
        <v>7</v>
      </c>
      <c r="B52" s="107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7"/>
      <c r="R52" s="107"/>
      <c r="S52" s="107"/>
      <c r="T52" s="107"/>
      <c r="U52" s="107"/>
      <c r="V52" s="107"/>
      <c r="W52" s="110"/>
      <c r="X52" s="1"/>
    </row>
    <row r="53" spans="1:24" ht="24.95" customHeight="1" x14ac:dyDescent="0.25">
      <c r="A53" s="113" t="s">
        <v>8</v>
      </c>
      <c r="B53" s="114" t="s">
        <v>9</v>
      </c>
      <c r="C53" s="114" t="s">
        <v>10</v>
      </c>
      <c r="D53" s="114" t="s">
        <v>11</v>
      </c>
      <c r="E53" s="114" t="s">
        <v>12</v>
      </c>
      <c r="F53" s="114" t="s">
        <v>13</v>
      </c>
      <c r="G53" s="114" t="s">
        <v>14</v>
      </c>
      <c r="H53" s="114"/>
      <c r="I53" s="114"/>
      <c r="J53" s="114"/>
      <c r="K53" s="114"/>
      <c r="L53" s="114"/>
      <c r="M53" s="114" t="s">
        <v>15</v>
      </c>
      <c r="N53" s="114" t="s">
        <v>16</v>
      </c>
      <c r="O53" s="114" t="s">
        <v>17</v>
      </c>
      <c r="P53" s="114" t="s">
        <v>18</v>
      </c>
      <c r="Q53" s="114" t="s">
        <v>19</v>
      </c>
      <c r="R53" s="114"/>
      <c r="S53" s="114"/>
      <c r="T53" s="114"/>
      <c r="U53" s="114"/>
      <c r="V53" s="114"/>
      <c r="W53" s="115" t="s">
        <v>20</v>
      </c>
      <c r="X53" s="3"/>
    </row>
    <row r="54" spans="1:24" ht="24.95" customHeight="1" x14ac:dyDescent="0.25">
      <c r="A54" s="113"/>
      <c r="B54" s="114"/>
      <c r="C54" s="114"/>
      <c r="D54" s="114"/>
      <c r="E54" s="114"/>
      <c r="F54" s="114"/>
      <c r="G54" s="31" t="s">
        <v>21</v>
      </c>
      <c r="H54" s="31" t="s">
        <v>21</v>
      </c>
      <c r="I54" s="31" t="s">
        <v>21</v>
      </c>
      <c r="J54" s="31" t="s">
        <v>22</v>
      </c>
      <c r="K54" s="31" t="s">
        <v>22</v>
      </c>
      <c r="L54" s="31" t="s">
        <v>22</v>
      </c>
      <c r="M54" s="114"/>
      <c r="N54" s="114"/>
      <c r="O54" s="114"/>
      <c r="P54" s="114"/>
      <c r="Q54" s="31" t="s">
        <v>21</v>
      </c>
      <c r="R54" s="31" t="s">
        <v>21</v>
      </c>
      <c r="S54" s="31" t="s">
        <v>21</v>
      </c>
      <c r="T54" s="31" t="s">
        <v>22</v>
      </c>
      <c r="U54" s="31" t="s">
        <v>22</v>
      </c>
      <c r="V54" s="31" t="s">
        <v>22</v>
      </c>
      <c r="W54" s="115"/>
      <c r="X54" s="3"/>
    </row>
    <row r="55" spans="1:24" ht="17.25" customHeight="1" x14ac:dyDescent="0.25">
      <c r="A55" s="5">
        <v>1</v>
      </c>
      <c r="B55" s="21" t="s">
        <v>144</v>
      </c>
      <c r="C55" s="13">
        <v>45738</v>
      </c>
      <c r="D55" s="20">
        <v>45818</v>
      </c>
      <c r="E55" s="21">
        <v>2</v>
      </c>
      <c r="F55" s="21">
        <v>0</v>
      </c>
      <c r="G55" s="21">
        <v>149</v>
      </c>
      <c r="H55" s="21"/>
      <c r="I55" s="21"/>
      <c r="J55" s="21">
        <v>165</v>
      </c>
      <c r="K55" s="21"/>
      <c r="L55" s="21"/>
      <c r="M55" s="21">
        <f>AVERAGE(G55:L55)</f>
        <v>157</v>
      </c>
      <c r="N55" s="20">
        <v>45833</v>
      </c>
      <c r="O55" s="21">
        <v>2</v>
      </c>
      <c r="P55" s="21">
        <v>0</v>
      </c>
      <c r="Q55" s="21">
        <v>236</v>
      </c>
      <c r="R55" s="21"/>
      <c r="S55" s="21"/>
      <c r="T55" s="21">
        <v>251</v>
      </c>
      <c r="U55" s="21"/>
      <c r="V55" s="21"/>
      <c r="W55" s="22">
        <f>AVERAGE(Q55:V55)</f>
        <v>243.5</v>
      </c>
    </row>
    <row r="56" spans="1:24" ht="15.75" customHeight="1" x14ac:dyDescent="0.25">
      <c r="A56" s="6">
        <v>2</v>
      </c>
      <c r="B56" s="21" t="s">
        <v>140</v>
      </c>
      <c r="C56" s="13">
        <v>45851</v>
      </c>
      <c r="D56" s="20">
        <v>45921</v>
      </c>
      <c r="E56" s="21">
        <v>3</v>
      </c>
      <c r="F56" s="21">
        <v>0</v>
      </c>
      <c r="G56" s="21">
        <v>128</v>
      </c>
      <c r="H56" s="21">
        <v>103</v>
      </c>
      <c r="I56" s="21">
        <v>111</v>
      </c>
      <c r="J56" s="21"/>
      <c r="K56" s="21"/>
      <c r="L56" s="21"/>
      <c r="M56" s="21">
        <f>AVERAGE(G56:H56)</f>
        <v>115.5</v>
      </c>
      <c r="N56" s="20">
        <v>45944</v>
      </c>
      <c r="O56" s="21">
        <v>3</v>
      </c>
      <c r="P56" s="21">
        <v>0</v>
      </c>
      <c r="Q56" s="21">
        <v>211</v>
      </c>
      <c r="R56" s="21">
        <v>184</v>
      </c>
      <c r="S56" s="21">
        <v>190</v>
      </c>
      <c r="T56" s="21"/>
      <c r="U56" s="21"/>
      <c r="V56" s="21"/>
      <c r="W56" s="22">
        <f>AVERAGE(Q56:R56)</f>
        <v>197.5</v>
      </c>
    </row>
    <row r="57" spans="1:24" ht="15" customHeight="1" x14ac:dyDescent="0.25">
      <c r="A57" s="6">
        <v>3</v>
      </c>
      <c r="B57" s="21" t="s">
        <v>145</v>
      </c>
      <c r="C57" s="13">
        <v>45950</v>
      </c>
      <c r="D57" s="20">
        <v>46020</v>
      </c>
      <c r="E57" s="21">
        <v>3</v>
      </c>
      <c r="F57" s="21">
        <v>0</v>
      </c>
      <c r="G57" s="21">
        <v>176</v>
      </c>
      <c r="H57" s="21"/>
      <c r="I57" s="21"/>
      <c r="J57" s="21">
        <v>173</v>
      </c>
      <c r="K57" s="21">
        <v>162</v>
      </c>
      <c r="L57" s="21"/>
      <c r="M57" s="41">
        <f>AVERAGE(G57:L57)</f>
        <v>170.33333333333334</v>
      </c>
      <c r="N57" s="20">
        <v>46039</v>
      </c>
      <c r="O57" s="21">
        <v>3</v>
      </c>
      <c r="P57" s="21">
        <v>0</v>
      </c>
      <c r="Q57" s="21">
        <v>218</v>
      </c>
      <c r="R57" s="21"/>
      <c r="S57" s="21"/>
      <c r="T57" s="21">
        <v>263</v>
      </c>
      <c r="U57" s="21">
        <v>202</v>
      </c>
      <c r="V57" s="21"/>
      <c r="W57" s="40">
        <f>AVERAGE(Q57:V57)</f>
        <v>227.66666666666666</v>
      </c>
    </row>
    <row r="58" spans="1:24" ht="15.75" customHeight="1" x14ac:dyDescent="0.25">
      <c r="A58" s="5">
        <v>4</v>
      </c>
      <c r="B58" s="21" t="s">
        <v>145</v>
      </c>
      <c r="C58" s="13">
        <v>46039</v>
      </c>
      <c r="D58" s="20">
        <v>46118</v>
      </c>
      <c r="E58" s="21">
        <v>2</v>
      </c>
      <c r="F58" s="21">
        <v>0</v>
      </c>
      <c r="G58" s="21"/>
      <c r="H58" s="21"/>
      <c r="I58" s="21"/>
      <c r="J58" s="21">
        <v>122</v>
      </c>
      <c r="K58" s="21">
        <v>130</v>
      </c>
      <c r="L58" s="21"/>
      <c r="M58" s="21">
        <f>AVERAGE(G58:L58)</f>
        <v>126</v>
      </c>
      <c r="N58" s="20">
        <v>46139</v>
      </c>
      <c r="O58" s="21">
        <v>2</v>
      </c>
      <c r="P58" s="21">
        <v>0</v>
      </c>
      <c r="Q58" s="21"/>
      <c r="R58" s="21"/>
      <c r="S58" s="21"/>
      <c r="T58" s="21">
        <v>270</v>
      </c>
      <c r="U58" s="21">
        <v>200</v>
      </c>
      <c r="V58" s="21"/>
      <c r="W58" s="22">
        <f>AVERAGE(Q58:V58)</f>
        <v>235</v>
      </c>
    </row>
    <row r="59" spans="1:24" ht="15.75" customHeight="1" x14ac:dyDescent="0.25">
      <c r="A59" s="5">
        <v>5</v>
      </c>
      <c r="B59" s="21" t="s">
        <v>162</v>
      </c>
      <c r="C59" s="13">
        <v>46181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2"/>
    </row>
    <row r="60" spans="1:24" ht="15.75" customHeight="1" thickBot="1" x14ac:dyDescent="0.3">
      <c r="A60" s="7">
        <v>6</v>
      </c>
      <c r="B60" s="37"/>
      <c r="C60" s="10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9"/>
    </row>
    <row r="61" spans="1:24" ht="20.100000000000001" customHeight="1" x14ac:dyDescent="0.25"/>
    <row r="62" spans="1:24" ht="20.100000000000001" customHeight="1" thickBot="1" x14ac:dyDescent="0.3"/>
    <row r="63" spans="1:24" ht="20.100000000000001" customHeight="1" x14ac:dyDescent="0.25">
      <c r="A63" s="100" t="s">
        <v>2</v>
      </c>
      <c r="B63" s="101"/>
      <c r="C63" s="190" t="s">
        <v>147</v>
      </c>
      <c r="D63" s="190"/>
      <c r="E63" s="111" t="s">
        <v>392</v>
      </c>
      <c r="F63" s="112"/>
      <c r="G63" s="101" t="s">
        <v>4</v>
      </c>
      <c r="H63" s="101"/>
      <c r="I63" s="102" t="s">
        <v>139</v>
      </c>
      <c r="J63" s="102"/>
      <c r="K63" s="102"/>
      <c r="L63" s="102"/>
      <c r="M63" s="102"/>
      <c r="N63" s="102"/>
      <c r="O63" s="101" t="s">
        <v>6</v>
      </c>
      <c r="P63" s="101"/>
      <c r="Q63" s="103"/>
      <c r="R63" s="104"/>
      <c r="S63" s="104"/>
      <c r="T63" s="104"/>
      <c r="U63" s="104"/>
      <c r="V63" s="104"/>
      <c r="W63" s="105"/>
      <c r="X63" s="1"/>
    </row>
    <row r="64" spans="1:24" ht="20.100000000000001" customHeight="1" x14ac:dyDescent="0.25">
      <c r="A64" s="106" t="s">
        <v>7</v>
      </c>
      <c r="B64" s="107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7"/>
      <c r="R64" s="107"/>
      <c r="S64" s="107"/>
      <c r="T64" s="107"/>
      <c r="U64" s="107"/>
      <c r="V64" s="107"/>
      <c r="W64" s="110"/>
      <c r="X64" s="1"/>
    </row>
    <row r="65" spans="1:24" ht="24.95" customHeight="1" x14ac:dyDescent="0.25">
      <c r="A65" s="113" t="s">
        <v>8</v>
      </c>
      <c r="B65" s="114" t="s">
        <v>9</v>
      </c>
      <c r="C65" s="114" t="s">
        <v>10</v>
      </c>
      <c r="D65" s="114" t="s">
        <v>11</v>
      </c>
      <c r="E65" s="114" t="s">
        <v>12</v>
      </c>
      <c r="F65" s="114" t="s">
        <v>13</v>
      </c>
      <c r="G65" s="114" t="s">
        <v>14</v>
      </c>
      <c r="H65" s="114"/>
      <c r="I65" s="114"/>
      <c r="J65" s="114"/>
      <c r="K65" s="114"/>
      <c r="L65" s="114"/>
      <c r="M65" s="114" t="s">
        <v>15</v>
      </c>
      <c r="N65" s="114" t="s">
        <v>16</v>
      </c>
      <c r="O65" s="114" t="s">
        <v>17</v>
      </c>
      <c r="P65" s="114" t="s">
        <v>18</v>
      </c>
      <c r="Q65" s="114" t="s">
        <v>19</v>
      </c>
      <c r="R65" s="114"/>
      <c r="S65" s="114"/>
      <c r="T65" s="114"/>
      <c r="U65" s="114"/>
      <c r="V65" s="114"/>
      <c r="W65" s="115" t="s">
        <v>20</v>
      </c>
      <c r="X65" s="3"/>
    </row>
    <row r="66" spans="1:24" ht="24.95" customHeight="1" x14ac:dyDescent="0.25">
      <c r="A66" s="113"/>
      <c r="B66" s="114"/>
      <c r="C66" s="114"/>
      <c r="D66" s="114"/>
      <c r="E66" s="114"/>
      <c r="F66" s="114"/>
      <c r="G66" s="31" t="s">
        <v>21</v>
      </c>
      <c r="H66" s="31" t="s">
        <v>21</v>
      </c>
      <c r="I66" s="31" t="s">
        <v>21</v>
      </c>
      <c r="J66" s="31" t="s">
        <v>22</v>
      </c>
      <c r="K66" s="31" t="s">
        <v>22</v>
      </c>
      <c r="L66" s="31" t="s">
        <v>22</v>
      </c>
      <c r="M66" s="114"/>
      <c r="N66" s="114"/>
      <c r="O66" s="114"/>
      <c r="P66" s="114"/>
      <c r="Q66" s="31" t="s">
        <v>21</v>
      </c>
      <c r="R66" s="31" t="s">
        <v>21</v>
      </c>
      <c r="S66" s="31" t="s">
        <v>21</v>
      </c>
      <c r="T66" s="31" t="s">
        <v>22</v>
      </c>
      <c r="U66" s="31" t="s">
        <v>22</v>
      </c>
      <c r="V66" s="31" t="s">
        <v>22</v>
      </c>
      <c r="W66" s="115"/>
      <c r="X66" s="3"/>
    </row>
    <row r="67" spans="1:24" ht="18" customHeight="1" x14ac:dyDescent="0.25">
      <c r="A67" s="5">
        <v>1</v>
      </c>
      <c r="B67" s="21" t="s">
        <v>140</v>
      </c>
      <c r="C67" s="13">
        <v>45738</v>
      </c>
      <c r="D67" s="20">
        <v>45818</v>
      </c>
      <c r="E67" s="21">
        <v>3</v>
      </c>
      <c r="F67" s="21">
        <v>0</v>
      </c>
      <c r="G67" s="21">
        <v>101</v>
      </c>
      <c r="H67" s="21">
        <v>120</v>
      </c>
      <c r="I67" s="21"/>
      <c r="J67" s="21">
        <v>121</v>
      </c>
      <c r="K67" s="21"/>
      <c r="L67" s="21"/>
      <c r="M67" s="21">
        <f>AVERAGE(G67:L67)</f>
        <v>114</v>
      </c>
      <c r="N67" s="20">
        <v>45833</v>
      </c>
      <c r="O67" s="21">
        <v>3</v>
      </c>
      <c r="P67" s="21">
        <v>0</v>
      </c>
      <c r="Q67" s="21">
        <v>210</v>
      </c>
      <c r="R67" s="21">
        <v>218</v>
      </c>
      <c r="S67" s="21"/>
      <c r="T67" s="21">
        <v>262</v>
      </c>
      <c r="U67" s="21"/>
      <c r="V67" s="21"/>
      <c r="W67" s="22">
        <f>AVERAGE(Q67:V67)</f>
        <v>230</v>
      </c>
    </row>
    <row r="68" spans="1:24" ht="14.25" customHeight="1" x14ac:dyDescent="0.25">
      <c r="A68" s="6">
        <v>2</v>
      </c>
      <c r="B68" s="21" t="s">
        <v>140</v>
      </c>
      <c r="C68" s="13">
        <v>45851</v>
      </c>
      <c r="D68" s="20">
        <v>45928</v>
      </c>
      <c r="E68" s="21">
        <v>2</v>
      </c>
      <c r="F68" s="21">
        <v>0</v>
      </c>
      <c r="G68" s="21">
        <v>155</v>
      </c>
      <c r="H68" s="21"/>
      <c r="I68" s="21"/>
      <c r="J68" s="21">
        <v>133</v>
      </c>
      <c r="K68" s="21"/>
      <c r="L68" s="21"/>
      <c r="M68" s="21">
        <f>AVERAGE(G68:I68)</f>
        <v>155</v>
      </c>
      <c r="N68" s="20">
        <v>45944</v>
      </c>
      <c r="O68" s="21">
        <v>2</v>
      </c>
      <c r="P68" s="21">
        <v>0</v>
      </c>
      <c r="Q68" s="21">
        <v>194</v>
      </c>
      <c r="R68" s="21"/>
      <c r="S68" s="21"/>
      <c r="T68" s="21">
        <v>205</v>
      </c>
      <c r="U68" s="21"/>
      <c r="V68" s="21"/>
      <c r="W68" s="22">
        <f>AVERAGE(Q68:S68)</f>
        <v>194</v>
      </c>
    </row>
    <row r="69" spans="1:24" ht="16.5" customHeight="1" x14ac:dyDescent="0.25">
      <c r="A69" s="6">
        <v>3</v>
      </c>
      <c r="B69" s="21" t="s">
        <v>145</v>
      </c>
      <c r="C69" s="13">
        <v>45950</v>
      </c>
      <c r="D69" s="20">
        <v>46034</v>
      </c>
      <c r="E69" s="21">
        <v>3</v>
      </c>
      <c r="F69" s="21">
        <v>0</v>
      </c>
      <c r="G69" s="21">
        <v>125</v>
      </c>
      <c r="H69" s="21">
        <v>122</v>
      </c>
      <c r="I69" s="21"/>
      <c r="J69" s="21">
        <v>120</v>
      </c>
      <c r="K69" s="21"/>
      <c r="L69" s="21"/>
      <c r="M69" s="21"/>
      <c r="N69" s="41">
        <f>AVERAGE(G69:M69)</f>
        <v>122.33333333333333</v>
      </c>
      <c r="O69" s="21">
        <v>0</v>
      </c>
      <c r="P69" s="21">
        <v>3</v>
      </c>
      <c r="Q69" s="21"/>
      <c r="R69" s="21"/>
      <c r="S69" s="21"/>
      <c r="T69" s="21"/>
      <c r="U69" s="21"/>
      <c r="V69" s="21"/>
      <c r="W69" s="22"/>
    </row>
    <row r="70" spans="1:24" ht="17.25" customHeight="1" x14ac:dyDescent="0.25">
      <c r="A70" s="5">
        <v>4</v>
      </c>
      <c r="B70" s="21" t="s">
        <v>145</v>
      </c>
      <c r="C70" s="13">
        <v>46039</v>
      </c>
      <c r="D70" s="20">
        <v>46114</v>
      </c>
      <c r="E70" s="21">
        <v>3</v>
      </c>
      <c r="F70" s="21">
        <v>0</v>
      </c>
      <c r="G70" s="21">
        <v>122</v>
      </c>
      <c r="H70" s="21">
        <v>133</v>
      </c>
      <c r="I70" s="21"/>
      <c r="J70" s="21">
        <v>127</v>
      </c>
      <c r="K70" s="21"/>
      <c r="L70" s="21"/>
      <c r="M70" s="41">
        <f>AVERAGE(G70:L70)</f>
        <v>127.33333333333333</v>
      </c>
      <c r="N70" s="20">
        <v>46139</v>
      </c>
      <c r="O70" s="21">
        <v>3</v>
      </c>
      <c r="P70" s="21">
        <v>0</v>
      </c>
      <c r="Q70" s="21">
        <v>237</v>
      </c>
      <c r="R70" s="21">
        <v>274</v>
      </c>
      <c r="S70" s="21"/>
      <c r="T70" s="21">
        <v>258</v>
      </c>
      <c r="U70" s="21"/>
      <c r="V70" s="21"/>
      <c r="W70" s="40">
        <f>AVERAGE(Q70:V70)</f>
        <v>256.33333333333331</v>
      </c>
    </row>
    <row r="71" spans="1:24" ht="16.5" customHeight="1" x14ac:dyDescent="0.25">
      <c r="A71" s="5">
        <v>5</v>
      </c>
      <c r="B71" s="21" t="s">
        <v>162</v>
      </c>
      <c r="C71" s="13">
        <v>46181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2"/>
    </row>
    <row r="72" spans="1:24" ht="17.25" customHeight="1" thickBot="1" x14ac:dyDescent="0.3">
      <c r="A72" s="7">
        <v>6</v>
      </c>
      <c r="B72" s="37"/>
      <c r="C72" s="10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9"/>
    </row>
    <row r="73" spans="1:24" ht="20.100000000000001" customHeight="1" x14ac:dyDescent="0.25"/>
    <row r="74" spans="1:24" ht="20.100000000000001" customHeight="1" thickBot="1" x14ac:dyDescent="0.3"/>
    <row r="75" spans="1:24" ht="20.100000000000001" customHeight="1" x14ac:dyDescent="0.25">
      <c r="A75" s="100" t="s">
        <v>2</v>
      </c>
      <c r="B75" s="101"/>
      <c r="C75" s="184" t="s">
        <v>148</v>
      </c>
      <c r="D75" s="185"/>
      <c r="E75" s="111" t="s">
        <v>392</v>
      </c>
      <c r="F75" s="112"/>
      <c r="G75" s="101" t="s">
        <v>4</v>
      </c>
      <c r="H75" s="101"/>
      <c r="I75" s="134" t="s">
        <v>139</v>
      </c>
      <c r="J75" s="102"/>
      <c r="K75" s="102"/>
      <c r="L75" s="102"/>
      <c r="M75" s="102"/>
      <c r="N75" s="102"/>
      <c r="O75" s="101" t="s">
        <v>6</v>
      </c>
      <c r="P75" s="101"/>
      <c r="Q75" s="103"/>
      <c r="R75" s="104"/>
      <c r="S75" s="104"/>
      <c r="T75" s="104"/>
      <c r="U75" s="104"/>
      <c r="V75" s="104"/>
      <c r="W75" s="105"/>
      <c r="X75" s="1"/>
    </row>
    <row r="76" spans="1:24" ht="20.100000000000001" customHeight="1" x14ac:dyDescent="0.25">
      <c r="A76" s="106" t="s">
        <v>7</v>
      </c>
      <c r="B76" s="107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7"/>
      <c r="R76" s="107"/>
      <c r="S76" s="107"/>
      <c r="T76" s="107"/>
      <c r="U76" s="107"/>
      <c r="V76" s="107"/>
      <c r="W76" s="110"/>
      <c r="X76" s="1"/>
    </row>
    <row r="77" spans="1:24" ht="24.95" customHeight="1" x14ac:dyDescent="0.25">
      <c r="A77" s="113" t="s">
        <v>8</v>
      </c>
      <c r="B77" s="114" t="s">
        <v>9</v>
      </c>
      <c r="C77" s="114" t="s">
        <v>10</v>
      </c>
      <c r="D77" s="114" t="s">
        <v>11</v>
      </c>
      <c r="E77" s="114" t="s">
        <v>12</v>
      </c>
      <c r="F77" s="114" t="s">
        <v>13</v>
      </c>
      <c r="G77" s="114" t="s">
        <v>14</v>
      </c>
      <c r="H77" s="114"/>
      <c r="I77" s="114"/>
      <c r="J77" s="114"/>
      <c r="K77" s="114"/>
      <c r="L77" s="114"/>
      <c r="M77" s="114" t="s">
        <v>15</v>
      </c>
      <c r="N77" s="114" t="s">
        <v>16</v>
      </c>
      <c r="O77" s="114" t="s">
        <v>17</v>
      </c>
      <c r="P77" s="114" t="s">
        <v>18</v>
      </c>
      <c r="Q77" s="114" t="s">
        <v>19</v>
      </c>
      <c r="R77" s="114"/>
      <c r="S77" s="114"/>
      <c r="T77" s="114"/>
      <c r="U77" s="114"/>
      <c r="V77" s="114"/>
      <c r="W77" s="115" t="s">
        <v>20</v>
      </c>
      <c r="X77" s="3"/>
    </row>
    <row r="78" spans="1:24" ht="24.95" customHeight="1" x14ac:dyDescent="0.25">
      <c r="A78" s="113"/>
      <c r="B78" s="114"/>
      <c r="C78" s="114"/>
      <c r="D78" s="114"/>
      <c r="E78" s="114"/>
      <c r="F78" s="114"/>
      <c r="G78" s="31" t="s">
        <v>21</v>
      </c>
      <c r="H78" s="31" t="s">
        <v>21</v>
      </c>
      <c r="I78" s="31" t="s">
        <v>21</v>
      </c>
      <c r="J78" s="31" t="s">
        <v>22</v>
      </c>
      <c r="K78" s="31" t="s">
        <v>22</v>
      </c>
      <c r="L78" s="31" t="s">
        <v>22</v>
      </c>
      <c r="M78" s="114"/>
      <c r="N78" s="114"/>
      <c r="O78" s="114"/>
      <c r="P78" s="114"/>
      <c r="Q78" s="31" t="s">
        <v>21</v>
      </c>
      <c r="R78" s="31" t="s">
        <v>21</v>
      </c>
      <c r="S78" s="31" t="s">
        <v>21</v>
      </c>
      <c r="T78" s="31" t="s">
        <v>22</v>
      </c>
      <c r="U78" s="31" t="s">
        <v>22</v>
      </c>
      <c r="V78" s="31" t="s">
        <v>22</v>
      </c>
      <c r="W78" s="115"/>
      <c r="X78" s="3"/>
    </row>
    <row r="79" spans="1:24" ht="16.5" customHeight="1" x14ac:dyDescent="0.25">
      <c r="A79" s="5">
        <v>1</v>
      </c>
      <c r="B79" s="21" t="s">
        <v>140</v>
      </c>
      <c r="C79" s="13">
        <v>45738</v>
      </c>
      <c r="D79" s="13">
        <v>45810</v>
      </c>
      <c r="E79" s="21">
        <v>2</v>
      </c>
      <c r="F79" s="21">
        <v>1</v>
      </c>
      <c r="G79" s="21">
        <v>145</v>
      </c>
      <c r="H79" s="21"/>
      <c r="I79" s="21"/>
      <c r="J79" s="21"/>
      <c r="K79" s="21"/>
      <c r="L79" s="21"/>
      <c r="M79" s="21">
        <v>145</v>
      </c>
      <c r="N79" s="20">
        <v>45833</v>
      </c>
      <c r="O79" s="21">
        <v>1</v>
      </c>
      <c r="P79" s="21">
        <v>0</v>
      </c>
      <c r="Q79" s="21">
        <v>276</v>
      </c>
      <c r="R79" s="21"/>
      <c r="S79" s="21"/>
      <c r="T79" s="21"/>
      <c r="U79" s="21"/>
      <c r="V79" s="21"/>
      <c r="W79" s="22">
        <v>276</v>
      </c>
    </row>
    <row r="80" spans="1:24" ht="16.5" customHeight="1" x14ac:dyDescent="0.25">
      <c r="A80" s="6">
        <v>2</v>
      </c>
      <c r="B80" s="21" t="s">
        <v>140</v>
      </c>
      <c r="C80" s="13">
        <v>45851</v>
      </c>
      <c r="D80" s="13">
        <v>45921</v>
      </c>
      <c r="E80" s="21">
        <v>3</v>
      </c>
      <c r="F80" s="21">
        <v>0</v>
      </c>
      <c r="G80" s="21">
        <v>145</v>
      </c>
      <c r="H80" s="21">
        <v>127</v>
      </c>
      <c r="I80" s="21"/>
      <c r="J80" s="21">
        <v>151</v>
      </c>
      <c r="K80" s="21"/>
      <c r="L80" s="21"/>
      <c r="M80" s="21">
        <f>AVERAGE(G80,J80)</f>
        <v>148</v>
      </c>
      <c r="N80" s="20">
        <v>45944</v>
      </c>
      <c r="O80" s="21">
        <v>2</v>
      </c>
      <c r="P80" s="21">
        <v>0</v>
      </c>
      <c r="Q80" s="21">
        <v>253</v>
      </c>
      <c r="R80" s="21">
        <v>198</v>
      </c>
      <c r="S80" s="21"/>
      <c r="T80" s="21">
        <v>299</v>
      </c>
      <c r="U80" s="21"/>
      <c r="V80" s="21"/>
      <c r="W80" s="22">
        <f>AVERAGE(Q80,T80)</f>
        <v>276</v>
      </c>
    </row>
    <row r="81" spans="1:24" ht="18.75" customHeight="1" x14ac:dyDescent="0.25">
      <c r="A81" s="6">
        <v>3</v>
      </c>
      <c r="B81" s="21" t="s">
        <v>145</v>
      </c>
      <c r="C81" s="13">
        <v>45950</v>
      </c>
      <c r="D81" s="13">
        <v>46030</v>
      </c>
      <c r="E81" s="21">
        <v>2</v>
      </c>
      <c r="F81" s="21">
        <v>0</v>
      </c>
      <c r="G81" s="21">
        <v>128</v>
      </c>
      <c r="H81" s="21"/>
      <c r="I81" s="21"/>
      <c r="J81" s="21">
        <v>110</v>
      </c>
      <c r="K81" s="21"/>
      <c r="L81" s="21"/>
      <c r="M81" s="21">
        <f>AVERAGE(G81:L81)</f>
        <v>119</v>
      </c>
      <c r="N81" s="20">
        <v>46055</v>
      </c>
      <c r="O81" s="21">
        <v>1</v>
      </c>
      <c r="P81" s="21">
        <v>1</v>
      </c>
      <c r="Q81" s="21"/>
      <c r="R81" s="21"/>
      <c r="S81" s="21"/>
      <c r="T81" s="21">
        <v>193</v>
      </c>
      <c r="U81" s="21"/>
      <c r="V81" s="21"/>
      <c r="W81" s="22">
        <v>193</v>
      </c>
    </row>
    <row r="82" spans="1:24" ht="16.5" customHeight="1" x14ac:dyDescent="0.25">
      <c r="A82" s="5">
        <v>4</v>
      </c>
      <c r="B82" s="21" t="s">
        <v>145</v>
      </c>
      <c r="C82" s="13">
        <v>46039</v>
      </c>
      <c r="D82" s="13">
        <v>46113</v>
      </c>
      <c r="E82" s="21">
        <v>2</v>
      </c>
      <c r="F82" s="21">
        <v>0</v>
      </c>
      <c r="G82" s="21"/>
      <c r="H82" s="21"/>
      <c r="I82" s="21"/>
      <c r="J82" s="21">
        <v>123</v>
      </c>
      <c r="K82" s="21">
        <v>139</v>
      </c>
      <c r="L82" s="21"/>
      <c r="M82" s="21">
        <f>AVERAGE(G82:L82)</f>
        <v>131</v>
      </c>
      <c r="N82" s="20">
        <v>46139</v>
      </c>
      <c r="O82" s="21">
        <v>2</v>
      </c>
      <c r="P82" s="21">
        <v>0</v>
      </c>
      <c r="Q82" s="21"/>
      <c r="R82" s="21"/>
      <c r="S82" s="21"/>
      <c r="T82" s="21">
        <v>223</v>
      </c>
      <c r="U82" s="21">
        <v>217</v>
      </c>
      <c r="V82" s="21"/>
      <c r="W82" s="22">
        <f>AVERAGE(Q82:V82)</f>
        <v>220</v>
      </c>
    </row>
    <row r="83" spans="1:24" ht="15.75" customHeight="1" x14ac:dyDescent="0.25">
      <c r="A83" s="5">
        <v>5</v>
      </c>
      <c r="B83" s="21" t="s">
        <v>162</v>
      </c>
      <c r="C83" s="13">
        <v>46181</v>
      </c>
      <c r="D83" s="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2"/>
    </row>
    <row r="84" spans="1:24" ht="17.25" customHeight="1" thickBot="1" x14ac:dyDescent="0.3">
      <c r="A84" s="7">
        <v>6</v>
      </c>
      <c r="B84" s="37"/>
      <c r="C84" s="10"/>
      <c r="D84" s="10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9"/>
    </row>
    <row r="85" spans="1:24" ht="20.100000000000001" customHeight="1" x14ac:dyDescent="0.25"/>
    <row r="86" spans="1:24" ht="20.100000000000001" customHeight="1" thickBot="1" x14ac:dyDescent="0.3"/>
    <row r="87" spans="1:24" ht="20.100000000000001" customHeight="1" x14ac:dyDescent="0.25">
      <c r="A87" s="100" t="s">
        <v>2</v>
      </c>
      <c r="B87" s="101"/>
      <c r="C87" s="111" t="s">
        <v>149</v>
      </c>
      <c r="D87" s="112"/>
      <c r="E87" s="111" t="s">
        <v>393</v>
      </c>
      <c r="F87" s="112"/>
      <c r="G87" s="101" t="s">
        <v>4</v>
      </c>
      <c r="H87" s="101"/>
      <c r="I87" s="134" t="s">
        <v>139</v>
      </c>
      <c r="J87" s="102"/>
      <c r="K87" s="102"/>
      <c r="L87" s="102"/>
      <c r="M87" s="102"/>
      <c r="N87" s="102"/>
      <c r="O87" s="101" t="s">
        <v>6</v>
      </c>
      <c r="P87" s="101"/>
      <c r="Q87" s="103"/>
      <c r="R87" s="104"/>
      <c r="S87" s="104"/>
      <c r="T87" s="104"/>
      <c r="U87" s="104"/>
      <c r="V87" s="104"/>
      <c r="W87" s="105"/>
      <c r="X87" s="1"/>
    </row>
    <row r="88" spans="1:24" ht="20.100000000000001" customHeight="1" x14ac:dyDescent="0.25">
      <c r="A88" s="106" t="s">
        <v>7</v>
      </c>
      <c r="B88" s="107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7"/>
      <c r="R88" s="107"/>
      <c r="S88" s="107"/>
      <c r="T88" s="107"/>
      <c r="U88" s="107"/>
      <c r="V88" s="107"/>
      <c r="W88" s="110"/>
      <c r="X88" s="1"/>
    </row>
    <row r="89" spans="1:24" ht="24.95" customHeight="1" x14ac:dyDescent="0.25">
      <c r="A89" s="113" t="s">
        <v>8</v>
      </c>
      <c r="B89" s="114" t="s">
        <v>9</v>
      </c>
      <c r="C89" s="114" t="s">
        <v>10</v>
      </c>
      <c r="D89" s="114" t="s">
        <v>11</v>
      </c>
      <c r="E89" s="114" t="s">
        <v>12</v>
      </c>
      <c r="F89" s="114" t="s">
        <v>13</v>
      </c>
      <c r="G89" s="114" t="s">
        <v>14</v>
      </c>
      <c r="H89" s="114"/>
      <c r="I89" s="114"/>
      <c r="J89" s="114"/>
      <c r="K89" s="114"/>
      <c r="L89" s="114"/>
      <c r="M89" s="114" t="s">
        <v>15</v>
      </c>
      <c r="N89" s="114" t="s">
        <v>16</v>
      </c>
      <c r="O89" s="114" t="s">
        <v>17</v>
      </c>
      <c r="P89" s="114" t="s">
        <v>18</v>
      </c>
      <c r="Q89" s="114" t="s">
        <v>19</v>
      </c>
      <c r="R89" s="114"/>
      <c r="S89" s="114"/>
      <c r="T89" s="114"/>
      <c r="U89" s="114"/>
      <c r="V89" s="114"/>
      <c r="W89" s="115" t="s">
        <v>20</v>
      </c>
      <c r="X89" s="3"/>
    </row>
    <row r="90" spans="1:24" ht="24.95" customHeight="1" x14ac:dyDescent="0.25">
      <c r="A90" s="113"/>
      <c r="B90" s="114"/>
      <c r="C90" s="114"/>
      <c r="D90" s="114"/>
      <c r="E90" s="114"/>
      <c r="F90" s="114"/>
      <c r="G90" s="31" t="s">
        <v>21</v>
      </c>
      <c r="H90" s="31" t="s">
        <v>21</v>
      </c>
      <c r="I90" s="31" t="s">
        <v>21</v>
      </c>
      <c r="J90" s="31" t="s">
        <v>22</v>
      </c>
      <c r="K90" s="31" t="s">
        <v>22</v>
      </c>
      <c r="L90" s="31" t="s">
        <v>22</v>
      </c>
      <c r="M90" s="114"/>
      <c r="N90" s="114"/>
      <c r="O90" s="114"/>
      <c r="P90" s="114"/>
      <c r="Q90" s="31" t="s">
        <v>21</v>
      </c>
      <c r="R90" s="31" t="s">
        <v>21</v>
      </c>
      <c r="S90" s="31" t="s">
        <v>21</v>
      </c>
      <c r="T90" s="31" t="s">
        <v>22</v>
      </c>
      <c r="U90" s="31" t="s">
        <v>22</v>
      </c>
      <c r="V90" s="31" t="s">
        <v>22</v>
      </c>
      <c r="W90" s="115"/>
      <c r="X90" s="3"/>
    </row>
    <row r="91" spans="1:24" ht="16.5" customHeight="1" x14ac:dyDescent="0.25">
      <c r="A91" s="5">
        <v>1</v>
      </c>
      <c r="B91" s="21" t="s">
        <v>144</v>
      </c>
      <c r="C91" s="13">
        <v>45738</v>
      </c>
      <c r="D91" s="20">
        <v>45810</v>
      </c>
      <c r="E91" s="21">
        <v>1</v>
      </c>
      <c r="F91" s="21">
        <v>0</v>
      </c>
      <c r="G91" s="21"/>
      <c r="H91" s="21"/>
      <c r="I91" s="21"/>
      <c r="J91" s="21">
        <v>158</v>
      </c>
      <c r="K91" s="21"/>
      <c r="L91" s="21"/>
      <c r="M91" s="21">
        <v>158</v>
      </c>
      <c r="N91" s="48">
        <v>45848</v>
      </c>
      <c r="O91" s="49">
        <v>1</v>
      </c>
      <c r="P91" s="21">
        <v>0</v>
      </c>
      <c r="Q91" s="21"/>
      <c r="R91" s="21"/>
      <c r="S91" s="21"/>
      <c r="T91" s="21">
        <v>302</v>
      </c>
      <c r="U91" s="21"/>
      <c r="V91" s="21"/>
      <c r="W91" s="22">
        <v>302</v>
      </c>
    </row>
    <row r="92" spans="1:24" ht="16.5" customHeight="1" x14ac:dyDescent="0.25">
      <c r="A92" s="6">
        <v>2</v>
      </c>
      <c r="B92" s="21" t="s">
        <v>145</v>
      </c>
      <c r="C92" s="13">
        <v>45851</v>
      </c>
      <c r="D92" s="20">
        <v>45917</v>
      </c>
      <c r="E92" s="21">
        <v>2</v>
      </c>
      <c r="F92" s="21">
        <v>1</v>
      </c>
      <c r="G92" s="21">
        <v>125</v>
      </c>
      <c r="H92" s="21"/>
      <c r="I92" s="21"/>
      <c r="J92" s="21"/>
      <c r="K92" s="21"/>
      <c r="L92" s="21"/>
      <c r="M92" s="21">
        <f>AVERAGE(G92,H92,J92)</f>
        <v>125</v>
      </c>
      <c r="N92" s="20">
        <v>45944</v>
      </c>
      <c r="O92" s="21">
        <v>1</v>
      </c>
      <c r="P92" s="21">
        <v>0</v>
      </c>
      <c r="Q92" s="21">
        <v>229</v>
      </c>
      <c r="R92" s="21"/>
      <c r="S92" s="21"/>
      <c r="T92" s="21"/>
      <c r="U92" s="21"/>
      <c r="V92" s="21"/>
      <c r="W92" s="22">
        <f>AVERAGE(Q92,R92,T92)</f>
        <v>229</v>
      </c>
    </row>
    <row r="93" spans="1:24" ht="14.25" customHeight="1" x14ac:dyDescent="0.25">
      <c r="A93" s="6">
        <v>3</v>
      </c>
      <c r="B93" s="21" t="s">
        <v>140</v>
      </c>
      <c r="C93" s="13">
        <v>45950</v>
      </c>
      <c r="D93" s="20">
        <v>46023</v>
      </c>
      <c r="E93" s="21">
        <v>3</v>
      </c>
      <c r="F93" s="21">
        <v>0</v>
      </c>
      <c r="G93" s="21">
        <v>120</v>
      </c>
      <c r="H93" s="21"/>
      <c r="I93" s="21"/>
      <c r="J93" s="21">
        <v>118</v>
      </c>
      <c r="K93" s="21">
        <v>122</v>
      </c>
      <c r="L93" s="21"/>
      <c r="M93" s="21">
        <f>AVERAGE(G93:L93)</f>
        <v>120</v>
      </c>
      <c r="N93" s="20">
        <v>46039</v>
      </c>
      <c r="O93" s="21">
        <v>3</v>
      </c>
      <c r="P93" s="21">
        <v>0</v>
      </c>
      <c r="Q93" s="21">
        <v>184</v>
      </c>
      <c r="R93" s="21"/>
      <c r="S93" s="21"/>
      <c r="T93" s="21">
        <v>196</v>
      </c>
      <c r="U93" s="21">
        <v>168</v>
      </c>
      <c r="V93" s="21"/>
      <c r="W93" s="40">
        <f>AVERAGE(Q93:V93)</f>
        <v>182.66666666666666</v>
      </c>
    </row>
    <row r="94" spans="1:24" ht="15.75" customHeight="1" x14ac:dyDescent="0.25">
      <c r="A94" s="5">
        <v>4</v>
      </c>
      <c r="B94" s="21" t="s">
        <v>140</v>
      </c>
      <c r="C94" s="13">
        <v>46312</v>
      </c>
      <c r="D94" s="20">
        <v>46119</v>
      </c>
      <c r="E94" s="21">
        <v>2</v>
      </c>
      <c r="F94" s="21">
        <v>0</v>
      </c>
      <c r="G94" s="21"/>
      <c r="H94" s="21"/>
      <c r="I94" s="21"/>
      <c r="J94" s="21">
        <v>128</v>
      </c>
      <c r="K94" s="21">
        <v>125</v>
      </c>
      <c r="L94" s="21"/>
      <c r="M94" s="21">
        <f>AVERAGE(G94:L94)</f>
        <v>126.5</v>
      </c>
      <c r="N94" s="20">
        <v>46139</v>
      </c>
      <c r="O94" s="21">
        <v>2</v>
      </c>
      <c r="P94" s="21">
        <v>0</v>
      </c>
      <c r="Q94" s="21"/>
      <c r="R94" s="21"/>
      <c r="S94" s="21"/>
      <c r="T94" s="21">
        <v>222</v>
      </c>
      <c r="U94" s="21">
        <v>262</v>
      </c>
      <c r="V94" s="21"/>
      <c r="W94" s="22">
        <f>AVERAGE(Q94:V94)</f>
        <v>242</v>
      </c>
    </row>
    <row r="95" spans="1:24" ht="14.25" customHeight="1" x14ac:dyDescent="0.25">
      <c r="A95" s="5">
        <v>5</v>
      </c>
      <c r="B95" s="21" t="s">
        <v>159</v>
      </c>
      <c r="C95" s="13">
        <v>46148</v>
      </c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2"/>
    </row>
    <row r="96" spans="1:24" ht="16.5" customHeight="1" thickBot="1" x14ac:dyDescent="0.3">
      <c r="A96" s="7">
        <v>6</v>
      </c>
      <c r="B96" s="37"/>
      <c r="C96" s="10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9"/>
    </row>
    <row r="97" spans="1:24" ht="20.100000000000001" customHeight="1" x14ac:dyDescent="0.25"/>
    <row r="98" spans="1:24" ht="20.100000000000001" customHeight="1" thickBot="1" x14ac:dyDescent="0.3"/>
    <row r="99" spans="1:24" ht="20.100000000000001" customHeight="1" x14ac:dyDescent="0.25">
      <c r="A99" s="100" t="s">
        <v>2</v>
      </c>
      <c r="B99" s="101"/>
      <c r="C99" s="184" t="s">
        <v>150</v>
      </c>
      <c r="D99" s="185"/>
      <c r="E99" s="111" t="s">
        <v>393</v>
      </c>
      <c r="F99" s="112"/>
      <c r="G99" s="101" t="s">
        <v>4</v>
      </c>
      <c r="H99" s="101"/>
      <c r="I99" s="102" t="s">
        <v>139</v>
      </c>
      <c r="J99" s="102"/>
      <c r="K99" s="102"/>
      <c r="L99" s="102"/>
      <c r="M99" s="102"/>
      <c r="N99" s="102"/>
      <c r="O99" s="101" t="s">
        <v>6</v>
      </c>
      <c r="P99" s="101"/>
      <c r="Q99" s="103"/>
      <c r="R99" s="104"/>
      <c r="S99" s="104"/>
      <c r="T99" s="104"/>
      <c r="U99" s="104"/>
      <c r="V99" s="104"/>
      <c r="W99" s="105"/>
      <c r="X99" s="1"/>
    </row>
    <row r="100" spans="1:24" ht="20.100000000000001" customHeight="1" x14ac:dyDescent="0.25">
      <c r="A100" s="106" t="s">
        <v>7</v>
      </c>
      <c r="B100" s="107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7"/>
      <c r="R100" s="107"/>
      <c r="S100" s="107"/>
      <c r="T100" s="107"/>
      <c r="U100" s="107"/>
      <c r="V100" s="107"/>
      <c r="W100" s="110"/>
      <c r="X100" s="1"/>
    </row>
    <row r="101" spans="1:24" ht="24.95" customHeight="1" x14ac:dyDescent="0.25">
      <c r="A101" s="113" t="s">
        <v>8</v>
      </c>
      <c r="B101" s="114" t="s">
        <v>9</v>
      </c>
      <c r="C101" s="114" t="s">
        <v>10</v>
      </c>
      <c r="D101" s="114" t="s">
        <v>11</v>
      </c>
      <c r="E101" s="114" t="s">
        <v>12</v>
      </c>
      <c r="F101" s="114" t="s">
        <v>13</v>
      </c>
      <c r="G101" s="114" t="s">
        <v>14</v>
      </c>
      <c r="H101" s="114"/>
      <c r="I101" s="114"/>
      <c r="J101" s="114"/>
      <c r="K101" s="114"/>
      <c r="L101" s="114"/>
      <c r="M101" s="114" t="s">
        <v>15</v>
      </c>
      <c r="N101" s="114" t="s">
        <v>16</v>
      </c>
      <c r="O101" s="114" t="s">
        <v>17</v>
      </c>
      <c r="P101" s="114" t="s">
        <v>18</v>
      </c>
      <c r="Q101" s="114" t="s">
        <v>19</v>
      </c>
      <c r="R101" s="114"/>
      <c r="S101" s="114"/>
      <c r="T101" s="114"/>
      <c r="U101" s="114"/>
      <c r="V101" s="114"/>
      <c r="W101" s="115" t="s">
        <v>20</v>
      </c>
      <c r="X101" s="3"/>
    </row>
    <row r="102" spans="1:24" ht="24.95" customHeight="1" x14ac:dyDescent="0.25">
      <c r="A102" s="113"/>
      <c r="B102" s="114"/>
      <c r="C102" s="114"/>
      <c r="D102" s="114"/>
      <c r="E102" s="114"/>
      <c r="F102" s="114"/>
      <c r="G102" s="31" t="s">
        <v>21</v>
      </c>
      <c r="H102" s="31" t="s">
        <v>21</v>
      </c>
      <c r="I102" s="31" t="s">
        <v>21</v>
      </c>
      <c r="J102" s="31" t="s">
        <v>22</v>
      </c>
      <c r="K102" s="31" t="s">
        <v>22</v>
      </c>
      <c r="L102" s="31" t="s">
        <v>22</v>
      </c>
      <c r="M102" s="114"/>
      <c r="N102" s="114"/>
      <c r="O102" s="114"/>
      <c r="P102" s="114"/>
      <c r="Q102" s="31" t="s">
        <v>21</v>
      </c>
      <c r="R102" s="31" t="s">
        <v>21</v>
      </c>
      <c r="S102" s="31" t="s">
        <v>21</v>
      </c>
      <c r="T102" s="31" t="s">
        <v>22</v>
      </c>
      <c r="U102" s="31" t="s">
        <v>22</v>
      </c>
      <c r="V102" s="31" t="s">
        <v>22</v>
      </c>
      <c r="W102" s="115"/>
      <c r="X102" s="3"/>
    </row>
    <row r="103" spans="1:24" ht="15.75" customHeight="1" x14ac:dyDescent="0.25">
      <c r="A103" s="5">
        <v>1</v>
      </c>
      <c r="B103" s="21" t="s">
        <v>144</v>
      </c>
      <c r="C103" s="13">
        <v>45738</v>
      </c>
      <c r="D103" s="20">
        <v>45807</v>
      </c>
      <c r="E103" s="21">
        <v>2</v>
      </c>
      <c r="F103" s="21">
        <v>1</v>
      </c>
      <c r="G103" s="21">
        <v>120</v>
      </c>
      <c r="H103" s="21"/>
      <c r="I103" s="21"/>
      <c r="J103" s="21"/>
      <c r="K103" s="21"/>
      <c r="L103" s="21"/>
      <c r="M103" s="21">
        <v>120</v>
      </c>
      <c r="N103" s="20">
        <v>45833</v>
      </c>
      <c r="O103" s="21">
        <v>1</v>
      </c>
      <c r="P103" s="21">
        <v>0</v>
      </c>
      <c r="Q103" s="21">
        <v>242</v>
      </c>
      <c r="R103" s="21"/>
      <c r="S103" s="21"/>
      <c r="T103" s="21"/>
      <c r="U103" s="21"/>
      <c r="V103" s="21"/>
      <c r="W103" s="22">
        <v>242</v>
      </c>
    </row>
    <row r="104" spans="1:24" ht="16.5" customHeight="1" x14ac:dyDescent="0.25">
      <c r="A104" s="6">
        <v>2</v>
      </c>
      <c r="B104" s="21" t="s">
        <v>145</v>
      </c>
      <c r="C104" s="13">
        <v>45851</v>
      </c>
      <c r="D104" s="20">
        <v>45921</v>
      </c>
      <c r="E104" s="21">
        <v>2</v>
      </c>
      <c r="F104" s="21">
        <v>0</v>
      </c>
      <c r="G104" s="21">
        <v>168</v>
      </c>
      <c r="H104" s="21"/>
      <c r="I104" s="21"/>
      <c r="J104" s="21">
        <v>179</v>
      </c>
      <c r="K104" s="21"/>
      <c r="L104" s="21"/>
      <c r="M104" s="21">
        <f>AVERAGE(G104:H104)</f>
        <v>168</v>
      </c>
      <c r="N104" s="20">
        <v>45944</v>
      </c>
      <c r="O104" s="21">
        <v>1</v>
      </c>
      <c r="P104" s="21">
        <v>0</v>
      </c>
      <c r="Q104" s="21">
        <v>235</v>
      </c>
      <c r="R104" s="21"/>
      <c r="S104" s="21"/>
      <c r="T104" s="21">
        <v>281</v>
      </c>
      <c r="U104" s="21"/>
      <c r="V104" s="21"/>
      <c r="W104" s="22">
        <f>AVERAGE(Q104:V104)</f>
        <v>258</v>
      </c>
    </row>
    <row r="105" spans="1:24" ht="15.75" customHeight="1" x14ac:dyDescent="0.25">
      <c r="A105" s="6">
        <v>3</v>
      </c>
      <c r="B105" s="21" t="s">
        <v>140</v>
      </c>
      <c r="C105" s="13">
        <v>45950</v>
      </c>
      <c r="D105" s="20">
        <v>46020</v>
      </c>
      <c r="E105" s="21">
        <v>2</v>
      </c>
      <c r="F105" s="21">
        <v>0</v>
      </c>
      <c r="G105" s="21">
        <v>148</v>
      </c>
      <c r="H105" s="21"/>
      <c r="I105" s="21"/>
      <c r="J105" s="21">
        <v>145</v>
      </c>
      <c r="K105" s="21"/>
      <c r="L105" s="21"/>
      <c r="M105" s="21">
        <f>AVERAGE(G105:L105)</f>
        <v>146.5</v>
      </c>
      <c r="N105" s="20">
        <v>46039</v>
      </c>
      <c r="O105" s="21">
        <v>2</v>
      </c>
      <c r="P105" s="21">
        <v>0</v>
      </c>
      <c r="Q105" s="21">
        <v>268</v>
      </c>
      <c r="R105" s="21"/>
      <c r="S105" s="21"/>
      <c r="T105" s="21">
        <v>245</v>
      </c>
      <c r="U105" s="21"/>
      <c r="V105" s="21"/>
      <c r="W105" s="22">
        <f>AVERAGE(Q105:V105)</f>
        <v>256.5</v>
      </c>
    </row>
    <row r="106" spans="1:24" ht="15.75" customHeight="1" x14ac:dyDescent="0.25">
      <c r="A106" s="5">
        <v>4</v>
      </c>
      <c r="B106" s="21" t="s">
        <v>140</v>
      </c>
      <c r="C106" s="13">
        <v>46039</v>
      </c>
      <c r="D106" s="20">
        <v>46114</v>
      </c>
      <c r="E106" s="21">
        <v>2</v>
      </c>
      <c r="F106" s="21">
        <v>0</v>
      </c>
      <c r="G106" s="21">
        <v>150</v>
      </c>
      <c r="H106" s="21"/>
      <c r="I106" s="21"/>
      <c r="J106" s="21">
        <v>145</v>
      </c>
      <c r="K106" s="21"/>
      <c r="L106" s="21"/>
      <c r="M106" s="21">
        <f>AVERAGE(G106:L106)</f>
        <v>147.5</v>
      </c>
      <c r="N106" s="20">
        <v>46139</v>
      </c>
      <c r="O106" s="21">
        <v>2</v>
      </c>
      <c r="P106" s="21">
        <v>0</v>
      </c>
      <c r="Q106" s="21">
        <v>280</v>
      </c>
      <c r="R106" s="21"/>
      <c r="S106" s="21"/>
      <c r="T106" s="21">
        <v>302</v>
      </c>
      <c r="U106" s="21"/>
      <c r="V106" s="21"/>
      <c r="W106" s="22">
        <f>AVERAGE(Q106:V106)</f>
        <v>291</v>
      </c>
    </row>
    <row r="107" spans="1:24" ht="17.25" customHeight="1" x14ac:dyDescent="0.25">
      <c r="A107" s="5">
        <v>5</v>
      </c>
      <c r="B107" s="21" t="s">
        <v>159</v>
      </c>
      <c r="C107" s="13">
        <v>46148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2"/>
    </row>
    <row r="108" spans="1:24" ht="17.25" customHeight="1" thickBot="1" x14ac:dyDescent="0.3">
      <c r="A108" s="7">
        <v>6</v>
      </c>
      <c r="B108" s="37"/>
      <c r="C108" s="10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9"/>
    </row>
    <row r="109" spans="1:24" ht="20.100000000000001" customHeight="1" x14ac:dyDescent="0.25"/>
    <row r="110" spans="1:24" ht="20.100000000000001" customHeight="1" thickBot="1" x14ac:dyDescent="0.3"/>
    <row r="111" spans="1:24" ht="20.100000000000001" customHeight="1" x14ac:dyDescent="0.25">
      <c r="A111" s="100" t="s">
        <v>2</v>
      </c>
      <c r="B111" s="101"/>
      <c r="C111" s="184" t="s">
        <v>152</v>
      </c>
      <c r="D111" s="185"/>
      <c r="E111" s="111" t="s">
        <v>392</v>
      </c>
      <c r="F111" s="112"/>
      <c r="G111" s="101" t="s">
        <v>4</v>
      </c>
      <c r="H111" s="101"/>
      <c r="I111" s="102" t="s">
        <v>151</v>
      </c>
      <c r="J111" s="102"/>
      <c r="K111" s="102"/>
      <c r="L111" s="102"/>
      <c r="M111" s="102"/>
      <c r="N111" s="102"/>
      <c r="O111" s="101" t="s">
        <v>6</v>
      </c>
      <c r="P111" s="101"/>
      <c r="Q111" s="103"/>
      <c r="R111" s="104"/>
      <c r="S111" s="104"/>
      <c r="T111" s="104"/>
      <c r="U111" s="104"/>
      <c r="V111" s="104"/>
      <c r="W111" s="105"/>
      <c r="X111" s="1"/>
    </row>
    <row r="112" spans="1:24" ht="20.100000000000001" customHeight="1" x14ac:dyDescent="0.25">
      <c r="A112" s="106" t="s">
        <v>7</v>
      </c>
      <c r="B112" s="107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7"/>
      <c r="R112" s="107"/>
      <c r="S112" s="107"/>
      <c r="T112" s="107"/>
      <c r="U112" s="107"/>
      <c r="V112" s="107"/>
      <c r="W112" s="110"/>
      <c r="X112" s="1"/>
    </row>
    <row r="113" spans="1:24" ht="24.95" customHeight="1" x14ac:dyDescent="0.25">
      <c r="A113" s="113" t="s">
        <v>8</v>
      </c>
      <c r="B113" s="114" t="s">
        <v>9</v>
      </c>
      <c r="C113" s="114" t="s">
        <v>10</v>
      </c>
      <c r="D113" s="114" t="s">
        <v>11</v>
      </c>
      <c r="E113" s="114" t="s">
        <v>12</v>
      </c>
      <c r="F113" s="114" t="s">
        <v>13</v>
      </c>
      <c r="G113" s="114" t="s">
        <v>14</v>
      </c>
      <c r="H113" s="114"/>
      <c r="I113" s="114"/>
      <c r="J113" s="114"/>
      <c r="K113" s="114"/>
      <c r="L113" s="114"/>
      <c r="M113" s="114" t="s">
        <v>15</v>
      </c>
      <c r="N113" s="114" t="s">
        <v>16</v>
      </c>
      <c r="O113" s="114" t="s">
        <v>17</v>
      </c>
      <c r="P113" s="114" t="s">
        <v>18</v>
      </c>
      <c r="Q113" s="114" t="s">
        <v>19</v>
      </c>
      <c r="R113" s="114"/>
      <c r="S113" s="114"/>
      <c r="T113" s="114"/>
      <c r="U113" s="114"/>
      <c r="V113" s="114"/>
      <c r="W113" s="115" t="s">
        <v>20</v>
      </c>
      <c r="X113" s="3"/>
    </row>
    <row r="114" spans="1:24" ht="24.95" customHeight="1" x14ac:dyDescent="0.25">
      <c r="A114" s="113"/>
      <c r="B114" s="114"/>
      <c r="C114" s="114"/>
      <c r="D114" s="114"/>
      <c r="E114" s="114"/>
      <c r="F114" s="114"/>
      <c r="G114" s="31" t="s">
        <v>21</v>
      </c>
      <c r="H114" s="31" t="s">
        <v>21</v>
      </c>
      <c r="I114" s="31" t="s">
        <v>21</v>
      </c>
      <c r="J114" s="31" t="s">
        <v>22</v>
      </c>
      <c r="K114" s="31" t="s">
        <v>22</v>
      </c>
      <c r="L114" s="31" t="s">
        <v>22</v>
      </c>
      <c r="M114" s="114"/>
      <c r="N114" s="114"/>
      <c r="O114" s="114"/>
      <c r="P114" s="114"/>
      <c r="Q114" s="31" t="s">
        <v>21</v>
      </c>
      <c r="R114" s="31" t="s">
        <v>21</v>
      </c>
      <c r="S114" s="31" t="s">
        <v>21</v>
      </c>
      <c r="T114" s="31" t="s">
        <v>22</v>
      </c>
      <c r="U114" s="31" t="s">
        <v>22</v>
      </c>
      <c r="V114" s="31" t="s">
        <v>22</v>
      </c>
      <c r="W114" s="115"/>
      <c r="X114" s="3"/>
    </row>
    <row r="115" spans="1:24" ht="17.25" customHeight="1" x14ac:dyDescent="0.25">
      <c r="A115" s="5">
        <v>1</v>
      </c>
      <c r="B115" s="21" t="s">
        <v>140</v>
      </c>
      <c r="C115" s="13">
        <v>45738</v>
      </c>
      <c r="D115" s="13">
        <v>45807</v>
      </c>
      <c r="E115" s="21">
        <v>2</v>
      </c>
      <c r="F115" s="21">
        <v>1</v>
      </c>
      <c r="G115" s="21"/>
      <c r="H115" s="21"/>
      <c r="I115" s="21"/>
      <c r="J115" s="21">
        <v>120</v>
      </c>
      <c r="K115" s="21"/>
      <c r="L115" s="21"/>
      <c r="M115" s="21">
        <v>120</v>
      </c>
      <c r="N115" s="20">
        <v>45833</v>
      </c>
      <c r="O115" s="21">
        <v>1</v>
      </c>
      <c r="P115" s="21">
        <v>0</v>
      </c>
      <c r="Q115" s="21"/>
      <c r="R115" s="21"/>
      <c r="S115" s="21"/>
      <c r="T115" s="21">
        <v>242</v>
      </c>
      <c r="U115" s="21"/>
      <c r="V115" s="21"/>
      <c r="W115" s="22">
        <v>242</v>
      </c>
    </row>
    <row r="116" spans="1:24" ht="15" customHeight="1" x14ac:dyDescent="0.25">
      <c r="A116" s="6">
        <v>2</v>
      </c>
      <c r="B116" s="21" t="s">
        <v>140</v>
      </c>
      <c r="C116" s="13">
        <v>45851</v>
      </c>
      <c r="D116" s="13">
        <v>45923</v>
      </c>
      <c r="E116" s="21">
        <v>2</v>
      </c>
      <c r="F116" s="21">
        <v>0</v>
      </c>
      <c r="G116" s="21"/>
      <c r="H116" s="21"/>
      <c r="I116" s="21"/>
      <c r="J116" s="21">
        <v>181</v>
      </c>
      <c r="K116" s="21">
        <v>182</v>
      </c>
      <c r="L116" s="21"/>
      <c r="M116" s="21">
        <f>AVERAGE(G116:L116)</f>
        <v>181.5</v>
      </c>
      <c r="N116" s="20">
        <v>45944</v>
      </c>
      <c r="O116" s="21">
        <v>2</v>
      </c>
      <c r="P116" s="21">
        <v>0</v>
      </c>
      <c r="Q116" s="21">
        <v>192</v>
      </c>
      <c r="R116" s="21"/>
      <c r="S116" s="21"/>
      <c r="T116" s="21">
        <v>202</v>
      </c>
      <c r="U116" s="21"/>
      <c r="V116" s="21"/>
      <c r="W116" s="22">
        <f>AVERAGE(Q116,T116)</f>
        <v>197</v>
      </c>
    </row>
    <row r="117" spans="1:24" ht="15.75" customHeight="1" x14ac:dyDescent="0.25">
      <c r="A117" s="6">
        <v>3</v>
      </c>
      <c r="B117" s="21" t="s">
        <v>145</v>
      </c>
      <c r="C117" s="13">
        <v>45950</v>
      </c>
      <c r="D117" s="13">
        <v>46034</v>
      </c>
      <c r="E117" s="21">
        <v>3</v>
      </c>
      <c r="F117" s="21">
        <v>0</v>
      </c>
      <c r="G117" s="21">
        <v>115</v>
      </c>
      <c r="H117" s="21">
        <v>120</v>
      </c>
      <c r="I117" s="21"/>
      <c r="J117" s="21">
        <v>119</v>
      </c>
      <c r="K117" s="21"/>
      <c r="L117" s="21"/>
      <c r="M117" s="21">
        <f>AVERAGE(G117:L117)</f>
        <v>118</v>
      </c>
      <c r="N117" s="20">
        <v>46055</v>
      </c>
      <c r="O117" s="21">
        <v>1</v>
      </c>
      <c r="P117" s="21">
        <v>2</v>
      </c>
      <c r="Q117" s="21"/>
      <c r="R117" s="21"/>
      <c r="S117" s="21"/>
      <c r="T117" s="21">
        <v>210</v>
      </c>
      <c r="U117" s="21"/>
      <c r="V117" s="21"/>
      <c r="W117" s="22">
        <v>210</v>
      </c>
    </row>
    <row r="118" spans="1:24" ht="15" customHeight="1" x14ac:dyDescent="0.25">
      <c r="A118" s="5">
        <v>4</v>
      </c>
      <c r="B118" s="21" t="s">
        <v>145</v>
      </c>
      <c r="C118" s="13">
        <v>46039</v>
      </c>
      <c r="D118" s="13">
        <v>46132</v>
      </c>
      <c r="E118" s="21">
        <v>2</v>
      </c>
      <c r="F118" s="21">
        <v>0</v>
      </c>
      <c r="G118" s="21"/>
      <c r="H118" s="21"/>
      <c r="I118" s="21"/>
      <c r="J118" s="21">
        <v>130</v>
      </c>
      <c r="K118" s="21">
        <v>132</v>
      </c>
      <c r="L118" s="21"/>
      <c r="M118" s="21">
        <f>AVERAGE(G118:L118)</f>
        <v>131</v>
      </c>
      <c r="N118" s="20">
        <v>46150</v>
      </c>
      <c r="O118" s="21">
        <v>2</v>
      </c>
      <c r="P118" s="21">
        <v>0</v>
      </c>
      <c r="Q118" s="21"/>
      <c r="R118" s="21"/>
      <c r="S118" s="21"/>
      <c r="T118" s="21">
        <v>250</v>
      </c>
      <c r="U118" s="21">
        <v>288</v>
      </c>
      <c r="V118" s="21"/>
      <c r="W118" s="22">
        <f>AVERAGE(Q118:V118)</f>
        <v>269</v>
      </c>
    </row>
    <row r="119" spans="1:24" ht="14.25" customHeight="1" x14ac:dyDescent="0.25">
      <c r="A119" s="5">
        <v>5</v>
      </c>
      <c r="B119" s="21" t="s">
        <v>162</v>
      </c>
      <c r="C119" s="13">
        <v>46181</v>
      </c>
      <c r="D119" s="8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2"/>
    </row>
    <row r="120" spans="1:24" ht="15" customHeight="1" thickBot="1" x14ac:dyDescent="0.3">
      <c r="A120" s="7">
        <v>6</v>
      </c>
      <c r="B120" s="37"/>
      <c r="C120" s="10"/>
      <c r="D120" s="10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9"/>
    </row>
    <row r="121" spans="1:24" ht="20.100000000000001" customHeight="1" x14ac:dyDescent="0.25"/>
    <row r="122" spans="1:24" ht="20.100000000000001" customHeight="1" thickBot="1" x14ac:dyDescent="0.3"/>
    <row r="123" spans="1:24" ht="20.100000000000001" customHeight="1" x14ac:dyDescent="0.25">
      <c r="A123" s="100" t="s">
        <v>2</v>
      </c>
      <c r="B123" s="101"/>
      <c r="C123" s="178" t="s">
        <v>154</v>
      </c>
      <c r="D123" s="179"/>
      <c r="E123" s="111" t="s">
        <v>393</v>
      </c>
      <c r="F123" s="112"/>
      <c r="G123" s="101" t="s">
        <v>4</v>
      </c>
      <c r="H123" s="101"/>
      <c r="I123" s="102" t="s">
        <v>139</v>
      </c>
      <c r="J123" s="102"/>
      <c r="K123" s="102"/>
      <c r="L123" s="102"/>
      <c r="M123" s="102"/>
      <c r="N123" s="102"/>
      <c r="O123" s="101" t="s">
        <v>6</v>
      </c>
      <c r="P123" s="101"/>
      <c r="Q123" s="103"/>
      <c r="R123" s="104"/>
      <c r="S123" s="104"/>
      <c r="T123" s="104"/>
      <c r="U123" s="104"/>
      <c r="V123" s="104"/>
      <c r="W123" s="105"/>
      <c r="X123" s="1"/>
    </row>
    <row r="124" spans="1:24" ht="20.100000000000001" customHeight="1" x14ac:dyDescent="0.25">
      <c r="A124" s="106" t="s">
        <v>7</v>
      </c>
      <c r="B124" s="107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7"/>
      <c r="R124" s="107"/>
      <c r="S124" s="107"/>
      <c r="T124" s="107"/>
      <c r="U124" s="107"/>
      <c r="V124" s="107"/>
      <c r="W124" s="110"/>
      <c r="X124" s="1"/>
    </row>
    <row r="125" spans="1:24" ht="24.95" customHeight="1" x14ac:dyDescent="0.25">
      <c r="A125" s="113" t="s">
        <v>8</v>
      </c>
      <c r="B125" s="114" t="s">
        <v>9</v>
      </c>
      <c r="C125" s="114" t="s">
        <v>10</v>
      </c>
      <c r="D125" s="114" t="s">
        <v>11</v>
      </c>
      <c r="E125" s="114" t="s">
        <v>12</v>
      </c>
      <c r="F125" s="114" t="s">
        <v>13</v>
      </c>
      <c r="G125" s="114" t="s">
        <v>14</v>
      </c>
      <c r="H125" s="114"/>
      <c r="I125" s="114"/>
      <c r="J125" s="114"/>
      <c r="K125" s="114"/>
      <c r="L125" s="114"/>
      <c r="M125" s="114" t="s">
        <v>15</v>
      </c>
      <c r="N125" s="114" t="s">
        <v>16</v>
      </c>
      <c r="O125" s="114" t="s">
        <v>17</v>
      </c>
      <c r="P125" s="114" t="s">
        <v>18</v>
      </c>
      <c r="Q125" s="114" t="s">
        <v>19</v>
      </c>
      <c r="R125" s="114"/>
      <c r="S125" s="114"/>
      <c r="T125" s="114"/>
      <c r="U125" s="114"/>
      <c r="V125" s="114"/>
      <c r="W125" s="115" t="s">
        <v>20</v>
      </c>
      <c r="X125" s="3"/>
    </row>
    <row r="126" spans="1:24" ht="24.95" customHeight="1" x14ac:dyDescent="0.25">
      <c r="A126" s="113"/>
      <c r="B126" s="114"/>
      <c r="C126" s="114"/>
      <c r="D126" s="114"/>
      <c r="E126" s="114"/>
      <c r="F126" s="114"/>
      <c r="G126" s="31" t="s">
        <v>21</v>
      </c>
      <c r="H126" s="31" t="s">
        <v>21</v>
      </c>
      <c r="I126" s="31" t="s">
        <v>21</v>
      </c>
      <c r="J126" s="31" t="s">
        <v>22</v>
      </c>
      <c r="K126" s="31" t="s">
        <v>22</v>
      </c>
      <c r="L126" s="31" t="s">
        <v>22</v>
      </c>
      <c r="M126" s="114"/>
      <c r="N126" s="114"/>
      <c r="O126" s="114"/>
      <c r="P126" s="114"/>
      <c r="Q126" s="31" t="s">
        <v>21</v>
      </c>
      <c r="R126" s="31" t="s">
        <v>21</v>
      </c>
      <c r="S126" s="31" t="s">
        <v>21</v>
      </c>
      <c r="T126" s="31" t="s">
        <v>22</v>
      </c>
      <c r="U126" s="31" t="s">
        <v>22</v>
      </c>
      <c r="V126" s="31" t="s">
        <v>22</v>
      </c>
      <c r="W126" s="115"/>
      <c r="X126" s="3"/>
    </row>
    <row r="127" spans="1:24" ht="17.25" customHeight="1" x14ac:dyDescent="0.25">
      <c r="A127" s="5">
        <v>1</v>
      </c>
      <c r="B127" s="21" t="s">
        <v>144</v>
      </c>
      <c r="C127" s="13">
        <v>45738</v>
      </c>
      <c r="D127" s="20">
        <v>45832</v>
      </c>
      <c r="E127" s="21">
        <v>2</v>
      </c>
      <c r="F127" s="21">
        <v>0</v>
      </c>
      <c r="G127" s="21">
        <v>116</v>
      </c>
      <c r="H127" s="21"/>
      <c r="I127" s="21"/>
      <c r="J127" s="21">
        <v>145</v>
      </c>
      <c r="K127" s="21"/>
      <c r="L127" s="21"/>
      <c r="M127" s="21">
        <f>AVERAGE(G127:L127)</f>
        <v>130.5</v>
      </c>
      <c r="N127" s="20">
        <v>45848</v>
      </c>
      <c r="O127" s="21">
        <v>2</v>
      </c>
      <c r="P127" s="21">
        <v>0</v>
      </c>
      <c r="Q127" s="21">
        <v>244</v>
      </c>
      <c r="R127" s="21"/>
      <c r="S127" s="21"/>
      <c r="T127" s="21">
        <v>285</v>
      </c>
      <c r="U127" s="21"/>
      <c r="V127" s="21"/>
      <c r="W127" s="22">
        <v>285</v>
      </c>
    </row>
    <row r="128" spans="1:24" ht="15" customHeight="1" x14ac:dyDescent="0.25">
      <c r="A128" s="6">
        <v>2</v>
      </c>
      <c r="B128" s="21" t="s">
        <v>145</v>
      </c>
      <c r="C128" s="13">
        <v>45851</v>
      </c>
      <c r="D128" s="20">
        <v>45935</v>
      </c>
      <c r="E128" s="20">
        <v>3</v>
      </c>
      <c r="F128" s="21">
        <v>1</v>
      </c>
      <c r="G128" s="21">
        <v>114</v>
      </c>
      <c r="H128" s="21"/>
      <c r="I128" s="21"/>
      <c r="J128" s="21">
        <v>126</v>
      </c>
      <c r="K128" s="21"/>
      <c r="L128" s="21"/>
      <c r="M128" s="21">
        <f>AVERAGE(J128:K128)</f>
        <v>126</v>
      </c>
      <c r="N128" s="20">
        <v>45957</v>
      </c>
      <c r="O128" s="21">
        <v>2</v>
      </c>
      <c r="P128" s="21">
        <v>0</v>
      </c>
      <c r="Q128" s="21">
        <v>219</v>
      </c>
      <c r="R128" s="21"/>
      <c r="S128" s="21"/>
      <c r="T128" s="21">
        <v>188</v>
      </c>
      <c r="U128" s="21"/>
      <c r="V128" s="21"/>
      <c r="W128" s="22">
        <f>AVERAGE(T128:U128)</f>
        <v>188</v>
      </c>
    </row>
    <row r="129" spans="1:24" ht="15" customHeight="1" x14ac:dyDescent="0.25">
      <c r="A129" s="6">
        <v>3</v>
      </c>
      <c r="B129" s="21" t="s">
        <v>140</v>
      </c>
      <c r="C129" s="13">
        <v>45950</v>
      </c>
      <c r="D129" s="21" t="s">
        <v>428</v>
      </c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2"/>
    </row>
    <row r="130" spans="1:24" ht="15" customHeight="1" x14ac:dyDescent="0.25">
      <c r="A130" s="5">
        <v>4</v>
      </c>
      <c r="B130" s="21" t="s">
        <v>140</v>
      </c>
      <c r="C130" s="13">
        <v>46039</v>
      </c>
      <c r="D130" s="21" t="s">
        <v>428</v>
      </c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2"/>
    </row>
    <row r="131" spans="1:24" ht="16.5" customHeight="1" x14ac:dyDescent="0.25">
      <c r="A131" s="5">
        <v>5</v>
      </c>
      <c r="B131" s="21" t="s">
        <v>159</v>
      </c>
      <c r="C131" s="13">
        <v>46148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2"/>
    </row>
    <row r="132" spans="1:24" ht="16.5" customHeight="1" thickBot="1" x14ac:dyDescent="0.3">
      <c r="A132" s="7">
        <v>6</v>
      </c>
      <c r="B132" s="37"/>
      <c r="C132" s="10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9"/>
    </row>
    <row r="133" spans="1:24" ht="20.100000000000001" customHeight="1" x14ac:dyDescent="0.25"/>
    <row r="134" spans="1:24" ht="20.100000000000001" customHeight="1" thickBot="1" x14ac:dyDescent="0.3"/>
    <row r="135" spans="1:24" ht="20.100000000000001" customHeight="1" x14ac:dyDescent="0.25">
      <c r="A135" s="100" t="s">
        <v>2</v>
      </c>
      <c r="B135" s="101"/>
      <c r="C135" s="191" t="s">
        <v>155</v>
      </c>
      <c r="D135" s="192"/>
      <c r="E135" s="111" t="s">
        <v>392</v>
      </c>
      <c r="F135" s="112"/>
      <c r="G135" s="101" t="s">
        <v>4</v>
      </c>
      <c r="H135" s="101"/>
      <c r="I135" s="102" t="s">
        <v>139</v>
      </c>
      <c r="J135" s="102"/>
      <c r="K135" s="102"/>
      <c r="L135" s="102"/>
      <c r="M135" s="102"/>
      <c r="N135" s="102"/>
      <c r="O135" s="101" t="s">
        <v>6</v>
      </c>
      <c r="P135" s="101"/>
      <c r="Q135" s="103"/>
      <c r="R135" s="104"/>
      <c r="S135" s="104"/>
      <c r="T135" s="104"/>
      <c r="U135" s="104"/>
      <c r="V135" s="104"/>
      <c r="W135" s="105"/>
      <c r="X135" s="1"/>
    </row>
    <row r="136" spans="1:24" ht="20.100000000000001" customHeight="1" x14ac:dyDescent="0.25">
      <c r="A136" s="106" t="s">
        <v>7</v>
      </c>
      <c r="B136" s="107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7"/>
      <c r="R136" s="107"/>
      <c r="S136" s="107"/>
      <c r="T136" s="107"/>
      <c r="U136" s="107"/>
      <c r="V136" s="107"/>
      <c r="W136" s="110"/>
      <c r="X136" s="1"/>
    </row>
    <row r="137" spans="1:24" ht="24.95" customHeight="1" x14ac:dyDescent="0.25">
      <c r="A137" s="113" t="s">
        <v>8</v>
      </c>
      <c r="B137" s="114" t="s">
        <v>9</v>
      </c>
      <c r="C137" s="114" t="s">
        <v>10</v>
      </c>
      <c r="D137" s="114" t="s">
        <v>11</v>
      </c>
      <c r="E137" s="114" t="s">
        <v>12</v>
      </c>
      <c r="F137" s="114" t="s">
        <v>13</v>
      </c>
      <c r="G137" s="114" t="s">
        <v>14</v>
      </c>
      <c r="H137" s="114"/>
      <c r="I137" s="114"/>
      <c r="J137" s="114"/>
      <c r="K137" s="114"/>
      <c r="L137" s="114"/>
      <c r="M137" s="114" t="s">
        <v>15</v>
      </c>
      <c r="N137" s="114" t="s">
        <v>16</v>
      </c>
      <c r="O137" s="114" t="s">
        <v>17</v>
      </c>
      <c r="P137" s="114" t="s">
        <v>18</v>
      </c>
      <c r="Q137" s="114" t="s">
        <v>19</v>
      </c>
      <c r="R137" s="114"/>
      <c r="S137" s="114"/>
      <c r="T137" s="114"/>
      <c r="U137" s="114"/>
      <c r="V137" s="114"/>
      <c r="W137" s="115" t="s">
        <v>20</v>
      </c>
      <c r="X137" s="3"/>
    </row>
    <row r="138" spans="1:24" ht="24.95" customHeight="1" x14ac:dyDescent="0.25">
      <c r="A138" s="113"/>
      <c r="B138" s="114"/>
      <c r="C138" s="114"/>
      <c r="D138" s="114"/>
      <c r="E138" s="114"/>
      <c r="F138" s="114"/>
      <c r="G138" s="31" t="s">
        <v>21</v>
      </c>
      <c r="H138" s="31" t="s">
        <v>21</v>
      </c>
      <c r="I138" s="31" t="s">
        <v>21</v>
      </c>
      <c r="J138" s="31" t="s">
        <v>22</v>
      </c>
      <c r="K138" s="31" t="s">
        <v>22</v>
      </c>
      <c r="L138" s="31" t="s">
        <v>22</v>
      </c>
      <c r="M138" s="114"/>
      <c r="N138" s="114"/>
      <c r="O138" s="114"/>
      <c r="P138" s="114"/>
      <c r="Q138" s="31" t="s">
        <v>21</v>
      </c>
      <c r="R138" s="31" t="s">
        <v>21</v>
      </c>
      <c r="S138" s="31" t="s">
        <v>21</v>
      </c>
      <c r="T138" s="31" t="s">
        <v>22</v>
      </c>
      <c r="U138" s="31" t="s">
        <v>22</v>
      </c>
      <c r="V138" s="31" t="s">
        <v>22</v>
      </c>
      <c r="W138" s="115"/>
      <c r="X138" s="3"/>
    </row>
    <row r="139" spans="1:24" ht="14.25" customHeight="1" x14ac:dyDescent="0.25">
      <c r="A139" s="5">
        <v>1</v>
      </c>
      <c r="B139" s="21" t="s">
        <v>140</v>
      </c>
      <c r="C139" s="13">
        <v>45738</v>
      </c>
      <c r="D139" s="13">
        <v>45832</v>
      </c>
      <c r="E139" s="21">
        <v>2</v>
      </c>
      <c r="F139" s="21">
        <v>0</v>
      </c>
      <c r="G139" s="21">
        <v>134</v>
      </c>
      <c r="H139" s="21"/>
      <c r="I139" s="21"/>
      <c r="J139" s="21">
        <v>157</v>
      </c>
      <c r="K139" s="21"/>
      <c r="L139" s="21"/>
      <c r="M139" s="21">
        <f>(G139+J139)/2</f>
        <v>145.5</v>
      </c>
      <c r="N139" s="20">
        <v>45848</v>
      </c>
      <c r="O139" s="21">
        <v>2</v>
      </c>
      <c r="P139" s="21">
        <v>0</v>
      </c>
      <c r="Q139" s="21">
        <v>244</v>
      </c>
      <c r="R139" s="21"/>
      <c r="S139" s="21"/>
      <c r="T139" s="21">
        <v>285</v>
      </c>
      <c r="U139" s="21"/>
      <c r="V139" s="21"/>
      <c r="W139" s="22">
        <f>(Q139+T139)/2</f>
        <v>264.5</v>
      </c>
    </row>
    <row r="140" spans="1:24" ht="15" customHeight="1" x14ac:dyDescent="0.25">
      <c r="A140" s="6">
        <v>2</v>
      </c>
      <c r="B140" s="21" t="s">
        <v>140</v>
      </c>
      <c r="C140" s="13">
        <v>45851</v>
      </c>
      <c r="D140" s="13">
        <v>45926</v>
      </c>
      <c r="E140" s="21">
        <v>2</v>
      </c>
      <c r="F140" s="21">
        <v>0</v>
      </c>
      <c r="G140" s="21">
        <v>123</v>
      </c>
      <c r="H140" s="21">
        <v>136</v>
      </c>
      <c r="I140" s="21"/>
      <c r="J140" s="21"/>
      <c r="K140" s="21"/>
      <c r="L140" s="21"/>
      <c r="M140" s="21">
        <f>AVERAGE(G140:L140)</f>
        <v>129.5</v>
      </c>
      <c r="N140" s="20">
        <v>45944</v>
      </c>
      <c r="O140" s="21">
        <v>2</v>
      </c>
      <c r="P140" s="21">
        <v>0</v>
      </c>
      <c r="Q140" s="21">
        <v>185</v>
      </c>
      <c r="R140" s="21">
        <v>225</v>
      </c>
      <c r="S140" s="21"/>
      <c r="T140" s="21"/>
      <c r="U140" s="21"/>
      <c r="V140" s="21"/>
      <c r="W140" s="22">
        <f>AVERAGE(Q140:V140)</f>
        <v>205</v>
      </c>
    </row>
    <row r="141" spans="1:24" ht="15" customHeight="1" x14ac:dyDescent="0.25">
      <c r="A141" s="6">
        <v>3</v>
      </c>
      <c r="B141" s="21" t="s">
        <v>145</v>
      </c>
      <c r="C141" s="13">
        <v>45950</v>
      </c>
      <c r="D141" s="13">
        <v>46021</v>
      </c>
      <c r="E141" s="21">
        <v>3</v>
      </c>
      <c r="F141" s="21">
        <v>0</v>
      </c>
      <c r="G141" s="21">
        <v>129</v>
      </c>
      <c r="H141" s="21">
        <v>120</v>
      </c>
      <c r="I141" s="21"/>
      <c r="J141" s="21">
        <v>125</v>
      </c>
      <c r="K141" s="21"/>
      <c r="L141" s="21"/>
      <c r="M141" s="41">
        <f>AVERAGE(G141:L141)</f>
        <v>124.66666666666667</v>
      </c>
      <c r="N141" s="20">
        <v>46039</v>
      </c>
      <c r="O141" s="21">
        <v>3</v>
      </c>
      <c r="P141" s="21">
        <v>0</v>
      </c>
      <c r="Q141" s="21">
        <v>168</v>
      </c>
      <c r="R141" s="21">
        <v>150</v>
      </c>
      <c r="S141" s="21"/>
      <c r="T141" s="21">
        <v>158</v>
      </c>
      <c r="U141" s="21"/>
      <c r="V141" s="21"/>
      <c r="W141" s="40">
        <f>AVERAGE(Q141:V141)</f>
        <v>158.66666666666666</v>
      </c>
    </row>
    <row r="142" spans="1:24" ht="15.75" customHeight="1" x14ac:dyDescent="0.25">
      <c r="A142" s="5">
        <v>4</v>
      </c>
      <c r="B142" s="21" t="s">
        <v>145</v>
      </c>
      <c r="C142" s="13">
        <v>46039</v>
      </c>
      <c r="D142" s="13">
        <v>46117</v>
      </c>
      <c r="E142" s="21">
        <v>3</v>
      </c>
      <c r="F142" s="21">
        <v>0</v>
      </c>
      <c r="G142" s="21"/>
      <c r="H142" s="21"/>
      <c r="I142" s="21"/>
      <c r="J142" s="21">
        <v>115</v>
      </c>
      <c r="K142" s="21">
        <v>120</v>
      </c>
      <c r="L142" s="21">
        <v>125</v>
      </c>
      <c r="M142" s="21">
        <f>AVERAGE(G142:L142)</f>
        <v>120</v>
      </c>
      <c r="N142" s="20">
        <v>46139</v>
      </c>
      <c r="O142" s="21">
        <v>3</v>
      </c>
      <c r="P142" s="21">
        <v>0</v>
      </c>
      <c r="Q142" s="21"/>
      <c r="R142" s="21"/>
      <c r="S142" s="21"/>
      <c r="T142" s="21">
        <v>226</v>
      </c>
      <c r="U142" s="21">
        <v>225</v>
      </c>
      <c r="V142" s="21">
        <v>211</v>
      </c>
      <c r="W142" s="40">
        <f>AVERAGE(Q142:V142)</f>
        <v>220.66666666666666</v>
      </c>
    </row>
    <row r="143" spans="1:24" ht="14.25" customHeight="1" x14ac:dyDescent="0.25">
      <c r="A143" s="5">
        <v>5</v>
      </c>
      <c r="B143" s="21" t="s">
        <v>162</v>
      </c>
      <c r="C143" s="13">
        <v>46181</v>
      </c>
      <c r="D143" s="8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2"/>
    </row>
    <row r="144" spans="1:24" ht="15" customHeight="1" thickBot="1" x14ac:dyDescent="0.3">
      <c r="A144" s="7">
        <v>6</v>
      </c>
      <c r="B144" s="37"/>
      <c r="C144" s="10"/>
      <c r="D144" s="10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9"/>
    </row>
    <row r="145" spans="1:24" ht="20.100000000000001" customHeight="1" x14ac:dyDescent="0.25"/>
    <row r="146" spans="1:24" ht="20.100000000000001" customHeight="1" thickBot="1" x14ac:dyDescent="0.3"/>
    <row r="147" spans="1:24" ht="20.100000000000001" customHeight="1" x14ac:dyDescent="0.25">
      <c r="A147" s="100" t="s">
        <v>2</v>
      </c>
      <c r="B147" s="101"/>
      <c r="C147" s="178" t="s">
        <v>156</v>
      </c>
      <c r="D147" s="179"/>
      <c r="E147" s="111" t="s">
        <v>393</v>
      </c>
      <c r="F147" s="112"/>
      <c r="G147" s="101" t="s">
        <v>4</v>
      </c>
      <c r="H147" s="101"/>
      <c r="I147" s="102" t="s">
        <v>139</v>
      </c>
      <c r="J147" s="102"/>
      <c r="K147" s="102"/>
      <c r="L147" s="102"/>
      <c r="M147" s="102"/>
      <c r="N147" s="102"/>
      <c r="O147" s="101" t="s">
        <v>6</v>
      </c>
      <c r="P147" s="101"/>
      <c r="Q147" s="103"/>
      <c r="R147" s="104"/>
      <c r="S147" s="104"/>
      <c r="T147" s="104"/>
      <c r="U147" s="104"/>
      <c r="V147" s="104"/>
      <c r="W147" s="105"/>
      <c r="X147" s="1"/>
    </row>
    <row r="148" spans="1:24" ht="20.100000000000001" customHeight="1" x14ac:dyDescent="0.25">
      <c r="A148" s="106" t="s">
        <v>7</v>
      </c>
      <c r="B148" s="107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7"/>
      <c r="R148" s="107"/>
      <c r="S148" s="107"/>
      <c r="T148" s="107"/>
      <c r="U148" s="107"/>
      <c r="V148" s="107"/>
      <c r="W148" s="110"/>
      <c r="X148" s="1"/>
    </row>
    <row r="149" spans="1:24" ht="24.95" customHeight="1" x14ac:dyDescent="0.25">
      <c r="A149" s="113" t="s">
        <v>8</v>
      </c>
      <c r="B149" s="114" t="s">
        <v>9</v>
      </c>
      <c r="C149" s="114" t="s">
        <v>10</v>
      </c>
      <c r="D149" s="114" t="s">
        <v>11</v>
      </c>
      <c r="E149" s="114" t="s">
        <v>12</v>
      </c>
      <c r="F149" s="114" t="s">
        <v>13</v>
      </c>
      <c r="G149" s="114" t="s">
        <v>14</v>
      </c>
      <c r="H149" s="114"/>
      <c r="I149" s="114"/>
      <c r="J149" s="114"/>
      <c r="K149" s="114"/>
      <c r="L149" s="114"/>
      <c r="M149" s="114" t="s">
        <v>15</v>
      </c>
      <c r="N149" s="114" t="s">
        <v>16</v>
      </c>
      <c r="O149" s="114" t="s">
        <v>17</v>
      </c>
      <c r="P149" s="114" t="s">
        <v>18</v>
      </c>
      <c r="Q149" s="114" t="s">
        <v>19</v>
      </c>
      <c r="R149" s="114"/>
      <c r="S149" s="114"/>
      <c r="T149" s="114"/>
      <c r="U149" s="114"/>
      <c r="V149" s="114"/>
      <c r="W149" s="115" t="s">
        <v>20</v>
      </c>
      <c r="X149" s="3"/>
    </row>
    <row r="150" spans="1:24" ht="24.95" customHeight="1" x14ac:dyDescent="0.25">
      <c r="A150" s="113"/>
      <c r="B150" s="114"/>
      <c r="C150" s="114"/>
      <c r="D150" s="114"/>
      <c r="E150" s="114"/>
      <c r="F150" s="114"/>
      <c r="G150" s="31" t="s">
        <v>21</v>
      </c>
      <c r="H150" s="31" t="s">
        <v>21</v>
      </c>
      <c r="I150" s="31" t="s">
        <v>21</v>
      </c>
      <c r="J150" s="31" t="s">
        <v>22</v>
      </c>
      <c r="K150" s="31" t="s">
        <v>22</v>
      </c>
      <c r="L150" s="31" t="s">
        <v>22</v>
      </c>
      <c r="M150" s="114"/>
      <c r="N150" s="114"/>
      <c r="O150" s="114"/>
      <c r="P150" s="114"/>
      <c r="Q150" s="31" t="s">
        <v>21</v>
      </c>
      <c r="R150" s="31" t="s">
        <v>21</v>
      </c>
      <c r="S150" s="31" t="s">
        <v>21</v>
      </c>
      <c r="T150" s="31" t="s">
        <v>22</v>
      </c>
      <c r="U150" s="31" t="s">
        <v>22</v>
      </c>
      <c r="V150" s="31" t="s">
        <v>22</v>
      </c>
      <c r="W150" s="115"/>
      <c r="X150" s="3"/>
    </row>
    <row r="151" spans="1:24" ht="16.5" customHeight="1" x14ac:dyDescent="0.25">
      <c r="A151" s="5">
        <v>1</v>
      </c>
      <c r="B151" s="21" t="s">
        <v>144</v>
      </c>
      <c r="C151" s="13">
        <v>45738</v>
      </c>
      <c r="D151" s="20">
        <v>45826</v>
      </c>
      <c r="E151" s="21">
        <v>2</v>
      </c>
      <c r="F151" s="21">
        <v>0</v>
      </c>
      <c r="G151" s="21">
        <v>160</v>
      </c>
      <c r="H151" s="21"/>
      <c r="I151" s="21"/>
      <c r="J151" s="21">
        <v>164</v>
      </c>
      <c r="K151" s="21"/>
      <c r="L151" s="21"/>
      <c r="M151" s="21">
        <f>AVERAGE(G151:L151)</f>
        <v>162</v>
      </c>
      <c r="N151" s="20">
        <v>45848</v>
      </c>
      <c r="O151" s="21">
        <v>2</v>
      </c>
      <c r="P151" s="21">
        <v>0</v>
      </c>
      <c r="Q151" s="21">
        <v>330</v>
      </c>
      <c r="R151" s="21"/>
      <c r="S151" s="21"/>
      <c r="T151" s="21">
        <v>297</v>
      </c>
      <c r="U151" s="21"/>
      <c r="V151" s="21"/>
      <c r="W151" s="22">
        <f>AVERAGE(Q151:V151)</f>
        <v>313.5</v>
      </c>
    </row>
    <row r="152" spans="1:24" ht="16.5" customHeight="1" x14ac:dyDescent="0.25">
      <c r="A152" s="6">
        <v>2</v>
      </c>
      <c r="B152" s="21" t="s">
        <v>145</v>
      </c>
      <c r="C152" s="13">
        <v>45851</v>
      </c>
      <c r="D152" s="20">
        <v>45928</v>
      </c>
      <c r="E152" s="21">
        <v>5</v>
      </c>
      <c r="F152" s="21">
        <v>1</v>
      </c>
      <c r="G152" s="21">
        <v>81</v>
      </c>
      <c r="H152" s="21">
        <v>75</v>
      </c>
      <c r="I152" s="21">
        <v>76</v>
      </c>
      <c r="J152" s="21">
        <v>99</v>
      </c>
      <c r="K152" s="21"/>
      <c r="L152" s="21"/>
      <c r="M152" s="21">
        <f>AVERAGE(G152:H152)</f>
        <v>78</v>
      </c>
      <c r="N152" s="20">
        <v>45944</v>
      </c>
      <c r="O152" s="21">
        <v>2</v>
      </c>
      <c r="P152" s="21">
        <v>2</v>
      </c>
      <c r="Q152" s="21">
        <v>173</v>
      </c>
      <c r="R152" s="21"/>
      <c r="S152" s="21"/>
      <c r="T152" s="21">
        <v>178</v>
      </c>
      <c r="U152" s="21"/>
      <c r="V152" s="21"/>
      <c r="W152" s="22">
        <f>AVERAGE(Q152:R152)</f>
        <v>173</v>
      </c>
    </row>
    <row r="153" spans="1:24" ht="15" customHeight="1" x14ac:dyDescent="0.25">
      <c r="A153" s="6">
        <v>3</v>
      </c>
      <c r="B153" s="21" t="s">
        <v>140</v>
      </c>
      <c r="C153" s="13">
        <v>45950</v>
      </c>
      <c r="D153" s="21" t="s">
        <v>428</v>
      </c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2"/>
    </row>
    <row r="154" spans="1:24" ht="18" customHeight="1" x14ac:dyDescent="0.25">
      <c r="A154" s="5">
        <v>4</v>
      </c>
      <c r="B154" s="21" t="s">
        <v>140</v>
      </c>
      <c r="C154" s="13">
        <v>46039</v>
      </c>
      <c r="D154" s="21" t="s">
        <v>428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2"/>
    </row>
    <row r="155" spans="1:24" ht="16.5" customHeight="1" x14ac:dyDescent="0.25">
      <c r="A155" s="5">
        <v>5</v>
      </c>
      <c r="B155" s="21" t="s">
        <v>159</v>
      </c>
      <c r="C155" s="13">
        <v>46148</v>
      </c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2"/>
    </row>
    <row r="156" spans="1:24" ht="17.25" customHeight="1" thickBot="1" x14ac:dyDescent="0.3">
      <c r="A156" s="7">
        <v>6</v>
      </c>
      <c r="B156" s="37"/>
      <c r="C156" s="10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9"/>
    </row>
    <row r="157" spans="1:24" ht="20.100000000000001" customHeight="1" x14ac:dyDescent="0.25"/>
    <row r="158" spans="1:24" ht="20.100000000000001" customHeight="1" thickBot="1" x14ac:dyDescent="0.3"/>
    <row r="159" spans="1:24" ht="20.100000000000001" customHeight="1" x14ac:dyDescent="0.25">
      <c r="A159" s="100" t="s">
        <v>2</v>
      </c>
      <c r="B159" s="101"/>
      <c r="C159" s="111" t="s">
        <v>157</v>
      </c>
      <c r="D159" s="112"/>
      <c r="E159" s="111" t="s">
        <v>393</v>
      </c>
      <c r="F159" s="112"/>
      <c r="G159" s="101" t="s">
        <v>4</v>
      </c>
      <c r="H159" s="101"/>
      <c r="I159" s="102" t="s">
        <v>139</v>
      </c>
      <c r="J159" s="102"/>
      <c r="K159" s="102"/>
      <c r="L159" s="102"/>
      <c r="M159" s="102"/>
      <c r="N159" s="102"/>
      <c r="O159" s="101" t="s">
        <v>6</v>
      </c>
      <c r="P159" s="101"/>
      <c r="Q159" s="103"/>
      <c r="R159" s="104"/>
      <c r="S159" s="104"/>
      <c r="T159" s="104"/>
      <c r="U159" s="104"/>
      <c r="V159" s="104"/>
      <c r="W159" s="105"/>
      <c r="X159" s="1"/>
    </row>
    <row r="160" spans="1:24" ht="20.100000000000001" customHeight="1" x14ac:dyDescent="0.25">
      <c r="A160" s="106" t="s">
        <v>7</v>
      </c>
      <c r="B160" s="107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7"/>
      <c r="R160" s="107"/>
      <c r="S160" s="107"/>
      <c r="T160" s="107"/>
      <c r="U160" s="107"/>
      <c r="V160" s="107"/>
      <c r="W160" s="110"/>
      <c r="X160" s="1"/>
    </row>
    <row r="161" spans="1:24" ht="24.95" customHeight="1" x14ac:dyDescent="0.25">
      <c r="A161" s="113" t="s">
        <v>8</v>
      </c>
      <c r="B161" s="114" t="s">
        <v>9</v>
      </c>
      <c r="C161" s="114" t="s">
        <v>10</v>
      </c>
      <c r="D161" s="114" t="s">
        <v>11</v>
      </c>
      <c r="E161" s="114" t="s">
        <v>12</v>
      </c>
      <c r="F161" s="114" t="s">
        <v>13</v>
      </c>
      <c r="G161" s="114" t="s">
        <v>14</v>
      </c>
      <c r="H161" s="114"/>
      <c r="I161" s="114"/>
      <c r="J161" s="114"/>
      <c r="K161" s="114"/>
      <c r="L161" s="114"/>
      <c r="M161" s="114" t="s">
        <v>15</v>
      </c>
      <c r="N161" s="114" t="s">
        <v>16</v>
      </c>
      <c r="O161" s="114" t="s">
        <v>17</v>
      </c>
      <c r="P161" s="114" t="s">
        <v>18</v>
      </c>
      <c r="Q161" s="114" t="s">
        <v>19</v>
      </c>
      <c r="R161" s="114"/>
      <c r="S161" s="114"/>
      <c r="T161" s="114"/>
      <c r="U161" s="114"/>
      <c r="V161" s="114"/>
      <c r="W161" s="115" t="s">
        <v>20</v>
      </c>
      <c r="X161" s="3"/>
    </row>
    <row r="162" spans="1:24" ht="24.95" customHeight="1" x14ac:dyDescent="0.25">
      <c r="A162" s="113"/>
      <c r="B162" s="114"/>
      <c r="C162" s="114"/>
      <c r="D162" s="114"/>
      <c r="E162" s="114"/>
      <c r="F162" s="114"/>
      <c r="G162" s="31" t="s">
        <v>21</v>
      </c>
      <c r="H162" s="31" t="s">
        <v>21</v>
      </c>
      <c r="I162" s="31" t="s">
        <v>21</v>
      </c>
      <c r="J162" s="31" t="s">
        <v>22</v>
      </c>
      <c r="K162" s="31" t="s">
        <v>22</v>
      </c>
      <c r="L162" s="31" t="s">
        <v>22</v>
      </c>
      <c r="M162" s="114"/>
      <c r="N162" s="114"/>
      <c r="O162" s="114"/>
      <c r="P162" s="114"/>
      <c r="Q162" s="31" t="s">
        <v>21</v>
      </c>
      <c r="R162" s="31" t="s">
        <v>21</v>
      </c>
      <c r="S162" s="31" t="s">
        <v>21</v>
      </c>
      <c r="T162" s="31" t="s">
        <v>22</v>
      </c>
      <c r="U162" s="31" t="s">
        <v>22</v>
      </c>
      <c r="V162" s="31" t="s">
        <v>22</v>
      </c>
      <c r="W162" s="115"/>
      <c r="X162" s="3"/>
    </row>
    <row r="163" spans="1:24" ht="15.75" customHeight="1" x14ac:dyDescent="0.25">
      <c r="A163" s="5">
        <v>1</v>
      </c>
      <c r="B163" s="21" t="s">
        <v>144</v>
      </c>
      <c r="C163" s="13">
        <v>45738</v>
      </c>
      <c r="D163" s="20">
        <v>45811</v>
      </c>
      <c r="E163" s="21">
        <v>3</v>
      </c>
      <c r="F163" s="21">
        <v>0</v>
      </c>
      <c r="G163" s="21">
        <v>152</v>
      </c>
      <c r="H163" s="21">
        <v>144</v>
      </c>
      <c r="I163" s="21">
        <v>156</v>
      </c>
      <c r="J163" s="21"/>
      <c r="K163" s="21"/>
      <c r="L163" s="21"/>
      <c r="M163" s="41">
        <f>AVERAGE(G163,H163,I163)</f>
        <v>150.66666666666666</v>
      </c>
      <c r="N163" s="20">
        <v>45833</v>
      </c>
      <c r="O163" s="21">
        <v>3</v>
      </c>
      <c r="P163" s="21">
        <v>0</v>
      </c>
      <c r="Q163" s="21">
        <v>271</v>
      </c>
      <c r="R163" s="21">
        <v>299</v>
      </c>
      <c r="S163" s="21">
        <v>281</v>
      </c>
      <c r="T163" s="21"/>
      <c r="U163" s="21"/>
      <c r="V163" s="21"/>
      <c r="W163" s="40">
        <f>AVERAGE(Q163,R163,S163)</f>
        <v>283.66666666666669</v>
      </c>
    </row>
    <row r="164" spans="1:24" ht="17.25" customHeight="1" x14ac:dyDescent="0.25">
      <c r="A164" s="6">
        <v>2</v>
      </c>
      <c r="B164" s="21" t="s">
        <v>145</v>
      </c>
      <c r="C164" s="13">
        <v>45851</v>
      </c>
      <c r="D164" s="20">
        <v>45935</v>
      </c>
      <c r="E164" s="21">
        <v>3</v>
      </c>
      <c r="F164" s="21">
        <v>0</v>
      </c>
      <c r="G164" s="21">
        <v>113</v>
      </c>
      <c r="H164" s="21"/>
      <c r="I164" s="21"/>
      <c r="J164" s="21">
        <v>120</v>
      </c>
      <c r="K164" s="21">
        <v>84</v>
      </c>
      <c r="L164" s="21"/>
      <c r="M164" s="41">
        <f>AVERAGE(G164,J164)</f>
        <v>116.5</v>
      </c>
      <c r="N164" s="20">
        <v>45957</v>
      </c>
      <c r="O164" s="21">
        <v>2</v>
      </c>
      <c r="P164" s="21">
        <v>0</v>
      </c>
      <c r="Q164" s="21"/>
      <c r="R164" s="21"/>
      <c r="S164" s="21"/>
      <c r="T164" s="21">
        <v>216</v>
      </c>
      <c r="U164" s="21">
        <v>212</v>
      </c>
      <c r="V164" s="21"/>
      <c r="W164" s="40">
        <f>AVERAGE(Q164,T164)</f>
        <v>216</v>
      </c>
    </row>
    <row r="165" spans="1:24" ht="16.5" customHeight="1" x14ac:dyDescent="0.25">
      <c r="A165" s="6">
        <v>3</v>
      </c>
      <c r="B165" s="21" t="s">
        <v>140</v>
      </c>
      <c r="C165" s="13">
        <v>45950</v>
      </c>
      <c r="D165" s="20">
        <v>46035</v>
      </c>
      <c r="E165" s="21">
        <v>2</v>
      </c>
      <c r="F165" s="21">
        <v>0</v>
      </c>
      <c r="G165" s="21">
        <v>128</v>
      </c>
      <c r="H165" s="21"/>
      <c r="I165" s="21"/>
      <c r="J165" s="21">
        <v>125</v>
      </c>
      <c r="K165" s="21"/>
      <c r="L165" s="21"/>
      <c r="M165" s="41">
        <f>AVERAGE(G165:L165)</f>
        <v>126.5</v>
      </c>
      <c r="N165" s="20">
        <v>46055</v>
      </c>
      <c r="O165" s="21">
        <v>2</v>
      </c>
      <c r="P165" s="21">
        <v>0</v>
      </c>
      <c r="Q165" s="21">
        <v>242</v>
      </c>
      <c r="R165" s="21"/>
      <c r="S165" s="21"/>
      <c r="T165" s="21">
        <v>224</v>
      </c>
      <c r="U165" s="21"/>
      <c r="V165" s="21"/>
      <c r="W165" s="40">
        <f>AVERAGE(Q165:V165)</f>
        <v>233</v>
      </c>
    </row>
    <row r="166" spans="1:24" ht="17.25" customHeight="1" x14ac:dyDescent="0.25">
      <c r="A166" s="5">
        <v>4</v>
      </c>
      <c r="B166" s="21" t="s">
        <v>140</v>
      </c>
      <c r="C166" s="13">
        <v>46039</v>
      </c>
      <c r="D166" s="21" t="s">
        <v>428</v>
      </c>
      <c r="E166" s="21"/>
      <c r="F166" s="21"/>
      <c r="G166" s="21"/>
      <c r="H166" s="21"/>
      <c r="I166" s="21"/>
      <c r="J166" s="21"/>
      <c r="K166" s="21"/>
      <c r="L166" s="21"/>
      <c r="M166" s="41"/>
      <c r="N166" s="21"/>
      <c r="O166" s="21"/>
      <c r="P166" s="21"/>
      <c r="Q166" s="21"/>
      <c r="R166" s="21"/>
      <c r="S166" s="21"/>
      <c r="T166" s="21"/>
      <c r="U166" s="21"/>
      <c r="V166" s="21"/>
      <c r="W166" s="40"/>
    </row>
    <row r="167" spans="1:24" ht="17.25" customHeight="1" x14ac:dyDescent="0.25">
      <c r="A167" s="5">
        <v>5</v>
      </c>
      <c r="B167" s="21" t="s">
        <v>159</v>
      </c>
      <c r="C167" s="13">
        <v>46148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41"/>
      <c r="N167" s="21"/>
      <c r="O167" s="21"/>
      <c r="P167" s="21"/>
      <c r="Q167" s="21"/>
      <c r="R167" s="21"/>
      <c r="S167" s="21"/>
      <c r="T167" s="21"/>
      <c r="U167" s="21"/>
      <c r="V167" s="21"/>
      <c r="W167" s="40"/>
    </row>
    <row r="168" spans="1:24" ht="15.75" customHeight="1" thickBot="1" x14ac:dyDescent="0.3">
      <c r="A168" s="7">
        <v>6</v>
      </c>
      <c r="B168" s="37"/>
      <c r="C168" s="10"/>
      <c r="D168" s="37"/>
      <c r="E168" s="37"/>
      <c r="F168" s="37"/>
      <c r="G168" s="37"/>
      <c r="H168" s="37"/>
      <c r="I168" s="37"/>
      <c r="J168" s="37"/>
      <c r="K168" s="37"/>
      <c r="L168" s="37"/>
      <c r="M168" s="42"/>
      <c r="N168" s="37"/>
      <c r="O168" s="37"/>
      <c r="P168" s="37"/>
      <c r="Q168" s="37"/>
      <c r="R168" s="37"/>
      <c r="S168" s="37"/>
      <c r="T168" s="37"/>
      <c r="U168" s="37"/>
      <c r="V168" s="37"/>
      <c r="W168" s="43"/>
    </row>
    <row r="169" spans="1:24" ht="20.100000000000001" customHeight="1" x14ac:dyDescent="0.25"/>
    <row r="170" spans="1:24" ht="20.100000000000001" customHeight="1" thickBot="1" x14ac:dyDescent="0.3"/>
    <row r="171" spans="1:24" ht="20.100000000000001" customHeight="1" x14ac:dyDescent="0.25">
      <c r="A171" s="100" t="s">
        <v>2</v>
      </c>
      <c r="B171" s="101"/>
      <c r="C171" s="191" t="s">
        <v>158</v>
      </c>
      <c r="D171" s="192"/>
      <c r="E171" s="111" t="s">
        <v>394</v>
      </c>
      <c r="F171" s="112"/>
      <c r="G171" s="101" t="s">
        <v>4</v>
      </c>
      <c r="H171" s="101"/>
      <c r="I171" s="102" t="s">
        <v>139</v>
      </c>
      <c r="J171" s="102"/>
      <c r="K171" s="102"/>
      <c r="L171" s="102"/>
      <c r="M171" s="102"/>
      <c r="N171" s="102"/>
      <c r="O171" s="101" t="s">
        <v>6</v>
      </c>
      <c r="P171" s="101"/>
      <c r="Q171" s="103"/>
      <c r="R171" s="104"/>
      <c r="S171" s="104"/>
      <c r="T171" s="104"/>
      <c r="U171" s="104"/>
      <c r="V171" s="104"/>
      <c r="W171" s="105"/>
      <c r="X171" s="1"/>
    </row>
    <row r="172" spans="1:24" ht="20.100000000000001" customHeight="1" x14ac:dyDescent="0.25">
      <c r="A172" s="106" t="s">
        <v>7</v>
      </c>
      <c r="B172" s="107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7"/>
      <c r="R172" s="107"/>
      <c r="S172" s="107"/>
      <c r="T172" s="107"/>
      <c r="U172" s="107"/>
      <c r="V172" s="107"/>
      <c r="W172" s="110"/>
      <c r="X172" s="1"/>
    </row>
    <row r="173" spans="1:24" ht="24.95" customHeight="1" x14ac:dyDescent="0.25">
      <c r="A173" s="113" t="s">
        <v>8</v>
      </c>
      <c r="B173" s="114" t="s">
        <v>9</v>
      </c>
      <c r="C173" s="114" t="s">
        <v>10</v>
      </c>
      <c r="D173" s="114" t="s">
        <v>11</v>
      </c>
      <c r="E173" s="114" t="s">
        <v>12</v>
      </c>
      <c r="F173" s="114" t="s">
        <v>13</v>
      </c>
      <c r="G173" s="114" t="s">
        <v>14</v>
      </c>
      <c r="H173" s="114"/>
      <c r="I173" s="114"/>
      <c r="J173" s="114"/>
      <c r="K173" s="114"/>
      <c r="L173" s="114"/>
      <c r="M173" s="114" t="s">
        <v>15</v>
      </c>
      <c r="N173" s="114" t="s">
        <v>16</v>
      </c>
      <c r="O173" s="114" t="s">
        <v>17</v>
      </c>
      <c r="P173" s="114" t="s">
        <v>18</v>
      </c>
      <c r="Q173" s="114" t="s">
        <v>19</v>
      </c>
      <c r="R173" s="114"/>
      <c r="S173" s="114"/>
      <c r="T173" s="114"/>
      <c r="U173" s="114"/>
      <c r="V173" s="114"/>
      <c r="W173" s="115" t="s">
        <v>20</v>
      </c>
      <c r="X173" s="3"/>
    </row>
    <row r="174" spans="1:24" ht="24.95" customHeight="1" x14ac:dyDescent="0.25">
      <c r="A174" s="113"/>
      <c r="B174" s="114"/>
      <c r="C174" s="114"/>
      <c r="D174" s="114"/>
      <c r="E174" s="114"/>
      <c r="F174" s="114"/>
      <c r="G174" s="31" t="s">
        <v>21</v>
      </c>
      <c r="H174" s="31" t="s">
        <v>21</v>
      </c>
      <c r="I174" s="31" t="s">
        <v>21</v>
      </c>
      <c r="J174" s="31" t="s">
        <v>22</v>
      </c>
      <c r="K174" s="31" t="s">
        <v>22</v>
      </c>
      <c r="L174" s="31" t="s">
        <v>22</v>
      </c>
      <c r="M174" s="114"/>
      <c r="N174" s="114"/>
      <c r="O174" s="114"/>
      <c r="P174" s="114"/>
      <c r="Q174" s="31" t="s">
        <v>21</v>
      </c>
      <c r="R174" s="31" t="s">
        <v>21</v>
      </c>
      <c r="S174" s="31" t="s">
        <v>21</v>
      </c>
      <c r="T174" s="31" t="s">
        <v>22</v>
      </c>
      <c r="U174" s="31" t="s">
        <v>22</v>
      </c>
      <c r="V174" s="31" t="s">
        <v>22</v>
      </c>
      <c r="W174" s="115"/>
      <c r="X174" s="3"/>
    </row>
    <row r="175" spans="1:24" ht="17.25" customHeight="1" x14ac:dyDescent="0.25">
      <c r="A175" s="5">
        <v>1</v>
      </c>
      <c r="B175" s="21" t="s">
        <v>159</v>
      </c>
      <c r="C175" s="13">
        <v>45738</v>
      </c>
      <c r="D175" s="20">
        <v>45837</v>
      </c>
      <c r="E175" s="21">
        <v>2</v>
      </c>
      <c r="F175" s="21">
        <v>0</v>
      </c>
      <c r="G175" s="21">
        <v>158</v>
      </c>
      <c r="H175" s="21">
        <v>168</v>
      </c>
      <c r="I175" s="21"/>
      <c r="J175" s="21"/>
      <c r="K175" s="21"/>
      <c r="L175" s="21"/>
      <c r="M175" s="21">
        <f>AVERAGE(G175:L175)</f>
        <v>163</v>
      </c>
      <c r="N175" s="20">
        <v>45869</v>
      </c>
      <c r="O175" s="21">
        <v>2</v>
      </c>
      <c r="P175" s="21">
        <v>0</v>
      </c>
      <c r="Q175" s="21">
        <v>218</v>
      </c>
      <c r="R175" s="21">
        <v>227</v>
      </c>
      <c r="S175" s="21"/>
      <c r="T175" s="21"/>
      <c r="U175" s="21"/>
      <c r="V175" s="21"/>
      <c r="W175" s="22">
        <f>AVERAGE(Q175:V175)</f>
        <v>222.5</v>
      </c>
    </row>
    <row r="176" spans="1:24" ht="15" customHeight="1" x14ac:dyDescent="0.25">
      <c r="A176" s="6">
        <v>2</v>
      </c>
      <c r="B176" s="21" t="s">
        <v>159</v>
      </c>
      <c r="C176" s="13">
        <v>45851</v>
      </c>
      <c r="D176" s="20">
        <v>45933</v>
      </c>
      <c r="E176" s="21">
        <v>3</v>
      </c>
      <c r="F176" s="21">
        <v>0</v>
      </c>
      <c r="G176" s="21">
        <v>116</v>
      </c>
      <c r="H176" s="21"/>
      <c r="I176" s="21"/>
      <c r="J176" s="21">
        <v>136</v>
      </c>
      <c r="K176" s="21">
        <v>119</v>
      </c>
      <c r="L176" s="21">
        <v>120</v>
      </c>
      <c r="M176" s="41">
        <f>AVERAGE(J176:L176)</f>
        <v>125</v>
      </c>
      <c r="N176" s="20">
        <v>45957</v>
      </c>
      <c r="O176" s="21">
        <v>3</v>
      </c>
      <c r="P176" s="21">
        <v>0</v>
      </c>
      <c r="Q176" s="21">
        <v>251</v>
      </c>
      <c r="R176" s="21"/>
      <c r="S176" s="21"/>
      <c r="T176" s="21">
        <v>173</v>
      </c>
      <c r="U176" s="21">
        <v>237</v>
      </c>
      <c r="V176" s="21"/>
      <c r="W176" s="40">
        <f>AVERAGE(Q176:V176)</f>
        <v>220.33333333333334</v>
      </c>
    </row>
    <row r="177" spans="1:24" ht="15" customHeight="1" x14ac:dyDescent="0.25">
      <c r="A177" s="6">
        <v>3</v>
      </c>
      <c r="B177" s="21" t="s">
        <v>162</v>
      </c>
      <c r="C177" s="13">
        <v>45950</v>
      </c>
      <c r="D177" s="20">
        <v>46020</v>
      </c>
      <c r="E177" s="21">
        <v>3</v>
      </c>
      <c r="F177" s="21">
        <v>0</v>
      </c>
      <c r="G177" s="21">
        <v>163</v>
      </c>
      <c r="H177" s="21">
        <v>159</v>
      </c>
      <c r="I177" s="41"/>
      <c r="J177" s="21">
        <v>141</v>
      </c>
      <c r="K177" s="41"/>
      <c r="L177" s="41"/>
      <c r="M177" s="41">
        <f>AVERAGE(G177:L177)</f>
        <v>154.33333333333334</v>
      </c>
      <c r="N177" s="20">
        <v>46039</v>
      </c>
      <c r="O177" s="21">
        <v>3</v>
      </c>
      <c r="P177" s="21">
        <v>0</v>
      </c>
      <c r="Q177" s="21">
        <v>283</v>
      </c>
      <c r="R177" s="21">
        <v>255</v>
      </c>
      <c r="S177" s="21"/>
      <c r="T177" s="21">
        <v>247</v>
      </c>
      <c r="U177" s="21"/>
      <c r="V177" s="21"/>
      <c r="W177" s="40">
        <f>AVERAGE(Q177:V177)</f>
        <v>261.66666666666669</v>
      </c>
    </row>
    <row r="178" spans="1:24" ht="15.75" customHeight="1" x14ac:dyDescent="0.25">
      <c r="A178" s="5">
        <v>4</v>
      </c>
      <c r="B178" s="21" t="s">
        <v>212</v>
      </c>
      <c r="C178" s="13">
        <v>46039</v>
      </c>
      <c r="D178" s="20">
        <v>46116</v>
      </c>
      <c r="E178" s="21">
        <v>3</v>
      </c>
      <c r="F178" s="21">
        <v>0</v>
      </c>
      <c r="G178" s="21">
        <v>130</v>
      </c>
      <c r="H178" s="21">
        <v>119</v>
      </c>
      <c r="I178" s="21"/>
      <c r="J178" s="21">
        <v>115</v>
      </c>
      <c r="K178" s="21"/>
      <c r="L178" s="21"/>
      <c r="M178" s="41">
        <f>AVERAGE(G178:L178)</f>
        <v>121.33333333333333</v>
      </c>
      <c r="N178" s="20">
        <v>46139</v>
      </c>
      <c r="O178" s="21">
        <v>3</v>
      </c>
      <c r="P178" s="21">
        <v>0</v>
      </c>
      <c r="Q178" s="21">
        <v>260</v>
      </c>
      <c r="R178" s="21">
        <v>290</v>
      </c>
      <c r="S178" s="21"/>
      <c r="T178" s="21">
        <v>240</v>
      </c>
      <c r="U178" s="21"/>
      <c r="V178" s="21"/>
      <c r="W178" s="40">
        <f>AVERAGE(Q178:V178)</f>
        <v>263.33333333333331</v>
      </c>
    </row>
    <row r="179" spans="1:24" ht="16.5" customHeight="1" x14ac:dyDescent="0.25">
      <c r="A179" s="5">
        <v>5</v>
      </c>
      <c r="B179" s="21" t="s">
        <v>140</v>
      </c>
      <c r="C179" s="13">
        <v>46148</v>
      </c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40"/>
    </row>
    <row r="180" spans="1:24" ht="16.5" customHeight="1" thickBot="1" x14ac:dyDescent="0.3">
      <c r="A180" s="7">
        <v>6</v>
      </c>
      <c r="B180" s="37"/>
      <c r="C180" s="10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43"/>
    </row>
    <row r="181" spans="1:24" ht="20.100000000000001" customHeight="1" x14ac:dyDescent="0.25"/>
    <row r="182" spans="1:24" ht="20.100000000000001" customHeight="1" thickBot="1" x14ac:dyDescent="0.3"/>
    <row r="183" spans="1:24" ht="20.100000000000001" customHeight="1" x14ac:dyDescent="0.25">
      <c r="A183" s="100" t="s">
        <v>2</v>
      </c>
      <c r="B183" s="101"/>
      <c r="C183" s="191" t="s">
        <v>161</v>
      </c>
      <c r="D183" s="192"/>
      <c r="E183" s="111" t="s">
        <v>395</v>
      </c>
      <c r="F183" s="112"/>
      <c r="G183" s="101" t="s">
        <v>4</v>
      </c>
      <c r="H183" s="101"/>
      <c r="I183" s="102" t="s">
        <v>139</v>
      </c>
      <c r="J183" s="102"/>
      <c r="K183" s="102"/>
      <c r="L183" s="102"/>
      <c r="M183" s="102"/>
      <c r="N183" s="102"/>
      <c r="O183" s="101" t="s">
        <v>6</v>
      </c>
      <c r="P183" s="101"/>
      <c r="Q183" s="103"/>
      <c r="R183" s="104"/>
      <c r="S183" s="104"/>
      <c r="T183" s="104"/>
      <c r="U183" s="104"/>
      <c r="V183" s="104"/>
      <c r="W183" s="105"/>
      <c r="X183" s="1"/>
    </row>
    <row r="184" spans="1:24" ht="20.100000000000001" customHeight="1" x14ac:dyDescent="0.25">
      <c r="A184" s="106" t="s">
        <v>7</v>
      </c>
      <c r="B184" s="107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7"/>
      <c r="R184" s="107"/>
      <c r="S184" s="107"/>
      <c r="T184" s="107"/>
      <c r="U184" s="107"/>
      <c r="V184" s="107"/>
      <c r="W184" s="110"/>
      <c r="X184" s="1"/>
    </row>
    <row r="185" spans="1:24" ht="24.95" customHeight="1" x14ac:dyDescent="0.25">
      <c r="A185" s="113" t="s">
        <v>8</v>
      </c>
      <c r="B185" s="114" t="s">
        <v>9</v>
      </c>
      <c r="C185" s="114" t="s">
        <v>10</v>
      </c>
      <c r="D185" s="114" t="s">
        <v>11</v>
      </c>
      <c r="E185" s="114" t="s">
        <v>12</v>
      </c>
      <c r="F185" s="114" t="s">
        <v>13</v>
      </c>
      <c r="G185" s="114" t="s">
        <v>14</v>
      </c>
      <c r="H185" s="114"/>
      <c r="I185" s="114"/>
      <c r="J185" s="114"/>
      <c r="K185" s="114"/>
      <c r="L185" s="114"/>
      <c r="M185" s="114" t="s">
        <v>15</v>
      </c>
      <c r="N185" s="114" t="s">
        <v>16</v>
      </c>
      <c r="O185" s="114" t="s">
        <v>17</v>
      </c>
      <c r="P185" s="114" t="s">
        <v>18</v>
      </c>
      <c r="Q185" s="114" t="s">
        <v>19</v>
      </c>
      <c r="R185" s="114"/>
      <c r="S185" s="114"/>
      <c r="T185" s="114"/>
      <c r="U185" s="114"/>
      <c r="V185" s="114"/>
      <c r="W185" s="115" t="s">
        <v>20</v>
      </c>
      <c r="X185" s="3"/>
    </row>
    <row r="186" spans="1:24" ht="24.95" customHeight="1" x14ac:dyDescent="0.25">
      <c r="A186" s="113"/>
      <c r="B186" s="114"/>
      <c r="C186" s="114"/>
      <c r="D186" s="114"/>
      <c r="E186" s="114"/>
      <c r="F186" s="114"/>
      <c r="G186" s="31" t="s">
        <v>21</v>
      </c>
      <c r="H186" s="31" t="s">
        <v>21</v>
      </c>
      <c r="I186" s="31" t="s">
        <v>21</v>
      </c>
      <c r="J186" s="31" t="s">
        <v>22</v>
      </c>
      <c r="K186" s="31" t="s">
        <v>22</v>
      </c>
      <c r="L186" s="31" t="s">
        <v>22</v>
      </c>
      <c r="M186" s="114"/>
      <c r="N186" s="114"/>
      <c r="O186" s="114"/>
      <c r="P186" s="114"/>
      <c r="Q186" s="31" t="s">
        <v>21</v>
      </c>
      <c r="R186" s="31" t="s">
        <v>21</v>
      </c>
      <c r="S186" s="31" t="s">
        <v>21</v>
      </c>
      <c r="T186" s="31" t="s">
        <v>22</v>
      </c>
      <c r="U186" s="31" t="s">
        <v>22</v>
      </c>
      <c r="V186" s="31" t="s">
        <v>22</v>
      </c>
      <c r="W186" s="115"/>
      <c r="X186" s="3"/>
    </row>
    <row r="187" spans="1:24" ht="15.75" customHeight="1" x14ac:dyDescent="0.25">
      <c r="A187" s="5">
        <v>1</v>
      </c>
      <c r="B187" s="21" t="s">
        <v>162</v>
      </c>
      <c r="C187" s="13">
        <v>45738</v>
      </c>
      <c r="D187" s="20">
        <v>45837</v>
      </c>
      <c r="E187" s="21">
        <v>2</v>
      </c>
      <c r="F187" s="21">
        <v>0</v>
      </c>
      <c r="G187" s="21">
        <v>168</v>
      </c>
      <c r="H187" s="21">
        <v>158</v>
      </c>
      <c r="I187" s="21"/>
      <c r="J187" s="21"/>
      <c r="K187" s="21"/>
      <c r="L187" s="21"/>
      <c r="M187" s="21">
        <v>163</v>
      </c>
      <c r="N187" s="20">
        <v>45848</v>
      </c>
      <c r="O187" s="21">
        <v>2</v>
      </c>
      <c r="P187" s="21">
        <v>0</v>
      </c>
      <c r="Q187" s="21">
        <v>227</v>
      </c>
      <c r="R187" s="21">
        <v>218</v>
      </c>
      <c r="S187" s="21"/>
      <c r="T187" s="21"/>
      <c r="U187" s="21"/>
      <c r="V187" s="21"/>
      <c r="W187" s="22" t="s">
        <v>160</v>
      </c>
    </row>
    <row r="188" spans="1:24" ht="17.25" customHeight="1" x14ac:dyDescent="0.25">
      <c r="A188" s="6">
        <v>2</v>
      </c>
      <c r="B188" s="21" t="s">
        <v>162</v>
      </c>
      <c r="C188" s="13">
        <v>45851</v>
      </c>
      <c r="D188" s="20">
        <v>45932</v>
      </c>
      <c r="E188" s="21">
        <v>2</v>
      </c>
      <c r="F188" s="21">
        <v>0</v>
      </c>
      <c r="G188" s="21">
        <v>173</v>
      </c>
      <c r="H188" s="21"/>
      <c r="I188" s="21"/>
      <c r="J188" s="21">
        <v>168</v>
      </c>
      <c r="K188" s="21"/>
      <c r="L188" s="21"/>
      <c r="M188" s="21">
        <f>AVERAGE(G188:L188)</f>
        <v>170.5</v>
      </c>
      <c r="N188" s="20">
        <v>45944</v>
      </c>
      <c r="O188" s="21">
        <v>2</v>
      </c>
      <c r="P188" s="21">
        <v>0</v>
      </c>
      <c r="Q188" s="21">
        <v>345</v>
      </c>
      <c r="R188" s="21"/>
      <c r="S188" s="21"/>
      <c r="T188" s="21">
        <v>231</v>
      </c>
      <c r="U188" s="21"/>
      <c r="V188" s="21"/>
      <c r="W188" s="22">
        <f>AVERAGE(Q188:V188)</f>
        <v>288</v>
      </c>
    </row>
    <row r="189" spans="1:24" ht="15.75" customHeight="1" x14ac:dyDescent="0.25">
      <c r="A189" s="6">
        <v>3</v>
      </c>
      <c r="B189" s="21" t="s">
        <v>159</v>
      </c>
      <c r="C189" s="13">
        <v>45950</v>
      </c>
      <c r="D189" s="20">
        <v>46034</v>
      </c>
      <c r="E189" s="21">
        <v>3</v>
      </c>
      <c r="F189" s="21">
        <v>0</v>
      </c>
      <c r="G189" s="21">
        <v>122</v>
      </c>
      <c r="H189" s="21">
        <v>120</v>
      </c>
      <c r="I189" s="21">
        <v>118</v>
      </c>
      <c r="J189" s="21"/>
      <c r="K189" s="21"/>
      <c r="L189" s="21"/>
      <c r="M189" s="21">
        <f>AVERAGE(G189:L189)</f>
        <v>120</v>
      </c>
      <c r="N189" s="20">
        <v>46055</v>
      </c>
      <c r="O189" s="21">
        <v>3</v>
      </c>
      <c r="P189" s="21">
        <v>0</v>
      </c>
      <c r="Q189" s="21">
        <v>221</v>
      </c>
      <c r="R189" s="21">
        <v>217</v>
      </c>
      <c r="S189" s="21">
        <v>240</v>
      </c>
      <c r="T189" s="21"/>
      <c r="U189" s="21"/>
      <c r="V189" s="21"/>
      <c r="W189" s="22">
        <f>AVERAGE(Q189:V189)</f>
        <v>226</v>
      </c>
    </row>
    <row r="190" spans="1:24" ht="17.25" customHeight="1" x14ac:dyDescent="0.25">
      <c r="A190" s="5">
        <v>4</v>
      </c>
      <c r="B190" s="21" t="s">
        <v>159</v>
      </c>
      <c r="C190" s="13">
        <v>46070</v>
      </c>
      <c r="D190" s="20">
        <v>46138</v>
      </c>
      <c r="E190" s="21">
        <v>5</v>
      </c>
      <c r="F190" s="21">
        <v>0</v>
      </c>
      <c r="G190" s="21">
        <v>104</v>
      </c>
      <c r="H190" s="21">
        <v>117</v>
      </c>
      <c r="I190" s="21">
        <v>108</v>
      </c>
      <c r="J190" s="21">
        <v>126</v>
      </c>
      <c r="K190" s="21">
        <v>107</v>
      </c>
      <c r="L190" s="21"/>
      <c r="M190" s="80">
        <f>AVERAGE(G190:L190)</f>
        <v>112.4</v>
      </c>
      <c r="N190" s="20">
        <v>46176</v>
      </c>
      <c r="O190" s="21">
        <v>2</v>
      </c>
      <c r="P190" s="21">
        <v>3</v>
      </c>
      <c r="Q190" s="21">
        <v>200</v>
      </c>
      <c r="R190" s="21">
        <v>228</v>
      </c>
      <c r="S190" s="21"/>
      <c r="T190" s="21"/>
      <c r="U190" s="21"/>
      <c r="V190" s="21"/>
      <c r="W190" s="22">
        <f>AVERAGE(Q190:V190)</f>
        <v>214</v>
      </c>
    </row>
    <row r="191" spans="1:24" ht="18" customHeight="1" x14ac:dyDescent="0.25">
      <c r="A191" s="5">
        <v>5</v>
      </c>
      <c r="B191" s="21" t="s">
        <v>145</v>
      </c>
      <c r="C191" s="13">
        <v>46181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2"/>
    </row>
    <row r="192" spans="1:24" ht="15.75" customHeight="1" thickBot="1" x14ac:dyDescent="0.3">
      <c r="A192" s="7">
        <v>6</v>
      </c>
      <c r="B192" s="37"/>
      <c r="C192" s="10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9"/>
    </row>
    <row r="193" spans="1:24" ht="20.100000000000001" customHeight="1" x14ac:dyDescent="0.25"/>
    <row r="194" spans="1:24" ht="20.100000000000001" customHeight="1" thickBot="1" x14ac:dyDescent="0.3"/>
    <row r="195" spans="1:24" ht="20.100000000000001" customHeight="1" x14ac:dyDescent="0.25">
      <c r="A195" s="100" t="s">
        <v>2</v>
      </c>
      <c r="B195" s="101"/>
      <c r="C195" s="178" t="s">
        <v>163</v>
      </c>
      <c r="D195" s="179"/>
      <c r="E195" s="111" t="s">
        <v>395</v>
      </c>
      <c r="F195" s="112"/>
      <c r="G195" s="101" t="s">
        <v>4</v>
      </c>
      <c r="H195" s="101"/>
      <c r="I195" s="102" t="s">
        <v>139</v>
      </c>
      <c r="J195" s="102"/>
      <c r="K195" s="102"/>
      <c r="L195" s="102"/>
      <c r="M195" s="102"/>
      <c r="N195" s="102"/>
      <c r="O195" s="101" t="s">
        <v>6</v>
      </c>
      <c r="P195" s="101"/>
      <c r="Q195" s="103"/>
      <c r="R195" s="104"/>
      <c r="S195" s="104"/>
      <c r="T195" s="104"/>
      <c r="U195" s="104"/>
      <c r="V195" s="104"/>
      <c r="W195" s="105"/>
      <c r="X195" s="1"/>
    </row>
    <row r="196" spans="1:24" ht="20.100000000000001" customHeight="1" x14ac:dyDescent="0.25">
      <c r="A196" s="106" t="s">
        <v>7</v>
      </c>
      <c r="B196" s="107"/>
      <c r="C196" s="116" t="s">
        <v>44</v>
      </c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09"/>
      <c r="P196" s="109"/>
      <c r="Q196" s="107"/>
      <c r="R196" s="107"/>
      <c r="S196" s="107"/>
      <c r="T196" s="107"/>
      <c r="U196" s="107"/>
      <c r="V196" s="107"/>
      <c r="W196" s="110"/>
      <c r="X196" s="1"/>
    </row>
    <row r="197" spans="1:24" ht="24.95" customHeight="1" x14ac:dyDescent="0.25">
      <c r="A197" s="113" t="s">
        <v>8</v>
      </c>
      <c r="B197" s="114" t="s">
        <v>9</v>
      </c>
      <c r="C197" s="114" t="s">
        <v>10</v>
      </c>
      <c r="D197" s="114" t="s">
        <v>11</v>
      </c>
      <c r="E197" s="114" t="s">
        <v>12</v>
      </c>
      <c r="F197" s="114" t="s">
        <v>13</v>
      </c>
      <c r="G197" s="114" t="s">
        <v>14</v>
      </c>
      <c r="H197" s="114"/>
      <c r="I197" s="114"/>
      <c r="J197" s="114"/>
      <c r="K197" s="114"/>
      <c r="L197" s="114"/>
      <c r="M197" s="114" t="s">
        <v>15</v>
      </c>
      <c r="N197" s="114" t="s">
        <v>16</v>
      </c>
      <c r="O197" s="114" t="s">
        <v>17</v>
      </c>
      <c r="P197" s="114" t="s">
        <v>18</v>
      </c>
      <c r="Q197" s="114" t="s">
        <v>19</v>
      </c>
      <c r="R197" s="114"/>
      <c r="S197" s="114"/>
      <c r="T197" s="114"/>
      <c r="U197" s="114"/>
      <c r="V197" s="114"/>
      <c r="W197" s="115" t="s">
        <v>20</v>
      </c>
      <c r="X197" s="3"/>
    </row>
    <row r="198" spans="1:24" ht="24.95" customHeight="1" x14ac:dyDescent="0.25">
      <c r="A198" s="113"/>
      <c r="B198" s="114"/>
      <c r="C198" s="114"/>
      <c r="D198" s="114"/>
      <c r="E198" s="114"/>
      <c r="F198" s="114"/>
      <c r="G198" s="31" t="s">
        <v>21</v>
      </c>
      <c r="H198" s="31" t="s">
        <v>21</v>
      </c>
      <c r="I198" s="31" t="s">
        <v>21</v>
      </c>
      <c r="J198" s="31" t="s">
        <v>22</v>
      </c>
      <c r="K198" s="31" t="s">
        <v>22</v>
      </c>
      <c r="L198" s="31" t="s">
        <v>22</v>
      </c>
      <c r="M198" s="114"/>
      <c r="N198" s="114"/>
      <c r="O198" s="114"/>
      <c r="P198" s="114"/>
      <c r="Q198" s="31" t="s">
        <v>21</v>
      </c>
      <c r="R198" s="31" t="s">
        <v>21</v>
      </c>
      <c r="S198" s="31" t="s">
        <v>21</v>
      </c>
      <c r="T198" s="31" t="s">
        <v>22</v>
      </c>
      <c r="U198" s="31" t="s">
        <v>22</v>
      </c>
      <c r="V198" s="31" t="s">
        <v>22</v>
      </c>
      <c r="W198" s="115"/>
      <c r="X198" s="3"/>
    </row>
    <row r="199" spans="1:24" ht="15.75" customHeight="1" x14ac:dyDescent="0.25">
      <c r="A199" s="5">
        <v>1</v>
      </c>
      <c r="B199" s="21" t="s">
        <v>162</v>
      </c>
      <c r="C199" s="13">
        <v>45738</v>
      </c>
      <c r="D199" s="8" t="s">
        <v>153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</row>
    <row r="200" spans="1:24" ht="15.75" customHeight="1" x14ac:dyDescent="0.25">
      <c r="A200" s="6">
        <v>2</v>
      </c>
      <c r="B200" s="21" t="s">
        <v>162</v>
      </c>
      <c r="C200" s="13">
        <v>45851</v>
      </c>
      <c r="D200" s="13">
        <v>45929</v>
      </c>
      <c r="E200" s="21">
        <v>3</v>
      </c>
      <c r="F200" s="21">
        <v>0</v>
      </c>
      <c r="G200" s="21">
        <v>122</v>
      </c>
      <c r="H200" s="21"/>
      <c r="I200" s="21"/>
      <c r="J200" s="21">
        <v>110</v>
      </c>
      <c r="K200" s="21">
        <v>106</v>
      </c>
      <c r="L200" s="21"/>
      <c r="M200" s="21">
        <f>AVERAGE(G200:H200)</f>
        <v>122</v>
      </c>
      <c r="N200" s="20">
        <v>45944</v>
      </c>
      <c r="O200" s="21">
        <v>2</v>
      </c>
      <c r="P200" s="21">
        <v>1</v>
      </c>
      <c r="Q200" s="21">
        <v>232</v>
      </c>
      <c r="R200" s="21">
        <v>169</v>
      </c>
      <c r="S200" s="21"/>
      <c r="T200" s="21"/>
      <c r="U200" s="21"/>
      <c r="V200" s="21"/>
      <c r="W200" s="68">
        <f>AVERAGE(Q200:V200)</f>
        <v>200.5</v>
      </c>
    </row>
    <row r="201" spans="1:24" ht="15.75" customHeight="1" x14ac:dyDescent="0.25">
      <c r="A201" s="6">
        <v>3</v>
      </c>
      <c r="B201" s="21" t="s">
        <v>159</v>
      </c>
      <c r="C201" s="13">
        <v>45950</v>
      </c>
      <c r="D201" s="20">
        <v>46034</v>
      </c>
      <c r="E201" s="21">
        <v>3</v>
      </c>
      <c r="F201" s="21">
        <v>0</v>
      </c>
      <c r="G201" s="21">
        <v>135</v>
      </c>
      <c r="H201" s="21">
        <v>120</v>
      </c>
      <c r="I201" s="21"/>
      <c r="J201" s="21">
        <v>125</v>
      </c>
      <c r="K201" s="21"/>
      <c r="L201" s="21"/>
      <c r="M201" s="41">
        <f>AVERAGE(G201:L201)</f>
        <v>126.66666666666667</v>
      </c>
      <c r="N201" s="20">
        <v>46055</v>
      </c>
      <c r="O201" s="21">
        <v>3</v>
      </c>
      <c r="P201" s="21">
        <v>0</v>
      </c>
      <c r="Q201" s="21">
        <v>253</v>
      </c>
      <c r="R201" s="21">
        <v>190</v>
      </c>
      <c r="S201" s="21"/>
      <c r="T201" s="21">
        <v>270</v>
      </c>
      <c r="U201" s="21"/>
      <c r="V201" s="21"/>
      <c r="W201" s="68">
        <f>AVERAGE(Q201:V201)</f>
        <v>237.66666666666666</v>
      </c>
    </row>
    <row r="202" spans="1:24" ht="15.75" customHeight="1" x14ac:dyDescent="0.25">
      <c r="A202" s="5">
        <v>4</v>
      </c>
      <c r="B202" s="21" t="s">
        <v>159</v>
      </c>
      <c r="C202" s="13">
        <v>46070</v>
      </c>
      <c r="D202" s="20">
        <v>46148</v>
      </c>
      <c r="E202" s="21">
        <v>3</v>
      </c>
      <c r="F202" s="21">
        <v>0</v>
      </c>
      <c r="G202" s="21">
        <v>120</v>
      </c>
      <c r="H202" s="21">
        <v>121</v>
      </c>
      <c r="I202" s="21"/>
      <c r="J202" s="21">
        <v>125</v>
      </c>
      <c r="K202" s="21"/>
      <c r="L202" s="21"/>
      <c r="M202" s="21">
        <f>AVERAGE(G202:L202)</f>
        <v>122</v>
      </c>
      <c r="N202" s="20">
        <v>46176</v>
      </c>
      <c r="O202" s="21">
        <v>3</v>
      </c>
      <c r="P202" s="21">
        <v>0</v>
      </c>
      <c r="Q202" s="21">
        <v>250</v>
      </c>
      <c r="R202" s="21">
        <v>242</v>
      </c>
      <c r="S202" s="21"/>
      <c r="T202" s="21">
        <v>238</v>
      </c>
      <c r="U202" s="21"/>
      <c r="V202" s="21"/>
      <c r="W202" s="68">
        <f>AVERAGE(Q202:V202)</f>
        <v>243.33333333333334</v>
      </c>
    </row>
    <row r="203" spans="1:24" ht="16.5" customHeight="1" x14ac:dyDescent="0.25">
      <c r="A203" s="5">
        <v>5</v>
      </c>
      <c r="B203" s="21"/>
      <c r="C203" s="8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2"/>
    </row>
    <row r="204" spans="1:24" ht="17.25" customHeight="1" thickBot="1" x14ac:dyDescent="0.3">
      <c r="A204" s="7">
        <v>6</v>
      </c>
      <c r="B204" s="37"/>
      <c r="C204" s="10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9"/>
    </row>
    <row r="205" spans="1:24" ht="20.100000000000001" customHeight="1" x14ac:dyDescent="0.25">
      <c r="D205" s="38"/>
      <c r="E205" s="38"/>
      <c r="F205" s="38"/>
      <c r="G205" s="38"/>
      <c r="H205" s="38"/>
      <c r="I205" s="38"/>
      <c r="J205" s="38"/>
      <c r="K205" s="38"/>
      <c r="L205" s="38"/>
    </row>
    <row r="206" spans="1:24" ht="20.100000000000001" customHeight="1" thickBot="1" x14ac:dyDescent="0.3"/>
    <row r="207" spans="1:24" ht="20.100000000000001" customHeight="1" x14ac:dyDescent="0.25">
      <c r="A207" s="100" t="s">
        <v>2</v>
      </c>
      <c r="B207" s="101"/>
      <c r="C207" s="178" t="s">
        <v>164</v>
      </c>
      <c r="D207" s="179"/>
      <c r="E207" s="111" t="s">
        <v>395</v>
      </c>
      <c r="F207" s="112"/>
      <c r="G207" s="101" t="s">
        <v>4</v>
      </c>
      <c r="H207" s="101"/>
      <c r="I207" s="102" t="s">
        <v>139</v>
      </c>
      <c r="J207" s="102"/>
      <c r="K207" s="102"/>
      <c r="L207" s="102"/>
      <c r="M207" s="102"/>
      <c r="N207" s="102"/>
      <c r="O207" s="101" t="s">
        <v>6</v>
      </c>
      <c r="P207" s="101"/>
      <c r="Q207" s="103"/>
      <c r="R207" s="104"/>
      <c r="S207" s="104"/>
      <c r="T207" s="104"/>
      <c r="U207" s="104"/>
      <c r="V207" s="104"/>
      <c r="W207" s="105"/>
      <c r="X207" s="1"/>
    </row>
    <row r="208" spans="1:24" ht="20.100000000000001" customHeight="1" x14ac:dyDescent="0.25">
      <c r="A208" s="106" t="s">
        <v>7</v>
      </c>
      <c r="B208" s="107"/>
      <c r="C208" s="116" t="s">
        <v>44</v>
      </c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09"/>
      <c r="P208" s="109"/>
      <c r="Q208" s="107"/>
      <c r="R208" s="107"/>
      <c r="S208" s="107"/>
      <c r="T208" s="107"/>
      <c r="U208" s="107"/>
      <c r="V208" s="107"/>
      <c r="W208" s="110"/>
      <c r="X208" s="1"/>
    </row>
    <row r="209" spans="1:24" ht="24.95" customHeight="1" x14ac:dyDescent="0.25">
      <c r="A209" s="113" t="s">
        <v>8</v>
      </c>
      <c r="B209" s="114" t="s">
        <v>9</v>
      </c>
      <c r="C209" s="114" t="s">
        <v>10</v>
      </c>
      <c r="D209" s="114" t="s">
        <v>11</v>
      </c>
      <c r="E209" s="114" t="s">
        <v>12</v>
      </c>
      <c r="F209" s="114" t="s">
        <v>13</v>
      </c>
      <c r="G209" s="114" t="s">
        <v>14</v>
      </c>
      <c r="H209" s="114"/>
      <c r="I209" s="114"/>
      <c r="J209" s="114"/>
      <c r="K209" s="114"/>
      <c r="L209" s="114"/>
      <c r="M209" s="114" t="s">
        <v>15</v>
      </c>
      <c r="N209" s="114" t="s">
        <v>16</v>
      </c>
      <c r="O209" s="114" t="s">
        <v>17</v>
      </c>
      <c r="P209" s="114" t="s">
        <v>18</v>
      </c>
      <c r="Q209" s="114" t="s">
        <v>19</v>
      </c>
      <c r="R209" s="114"/>
      <c r="S209" s="114"/>
      <c r="T209" s="114"/>
      <c r="U209" s="114"/>
      <c r="V209" s="114"/>
      <c r="W209" s="115" t="s">
        <v>20</v>
      </c>
      <c r="X209" s="3"/>
    </row>
    <row r="210" spans="1:24" ht="24.95" customHeight="1" x14ac:dyDescent="0.25">
      <c r="A210" s="113"/>
      <c r="B210" s="114"/>
      <c r="C210" s="114"/>
      <c r="D210" s="114"/>
      <c r="E210" s="114"/>
      <c r="F210" s="114"/>
      <c r="G210" s="31" t="s">
        <v>21</v>
      </c>
      <c r="H210" s="31" t="s">
        <v>21</v>
      </c>
      <c r="I210" s="31" t="s">
        <v>21</v>
      </c>
      <c r="J210" s="31" t="s">
        <v>22</v>
      </c>
      <c r="K210" s="31" t="s">
        <v>22</v>
      </c>
      <c r="L210" s="31" t="s">
        <v>22</v>
      </c>
      <c r="M210" s="114"/>
      <c r="N210" s="114"/>
      <c r="O210" s="114"/>
      <c r="P210" s="114"/>
      <c r="Q210" s="31" t="s">
        <v>21</v>
      </c>
      <c r="R210" s="31" t="s">
        <v>21</v>
      </c>
      <c r="S210" s="31" t="s">
        <v>21</v>
      </c>
      <c r="T210" s="31" t="s">
        <v>22</v>
      </c>
      <c r="U210" s="31" t="s">
        <v>22</v>
      </c>
      <c r="V210" s="31" t="s">
        <v>22</v>
      </c>
      <c r="W210" s="115"/>
      <c r="X210" s="3"/>
    </row>
    <row r="211" spans="1:24" ht="16.5" customHeight="1" x14ac:dyDescent="0.25">
      <c r="A211" s="5">
        <v>1</v>
      </c>
      <c r="B211" s="8" t="s">
        <v>162</v>
      </c>
      <c r="C211" s="12">
        <v>45738</v>
      </c>
      <c r="D211" s="8" t="s">
        <v>153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</row>
    <row r="212" spans="1:24" ht="18" customHeight="1" x14ac:dyDescent="0.25">
      <c r="A212" s="6">
        <v>2</v>
      </c>
      <c r="B212" s="8" t="s">
        <v>162</v>
      </c>
      <c r="C212" s="12">
        <v>45851</v>
      </c>
      <c r="D212" s="13">
        <v>45929</v>
      </c>
      <c r="E212" s="21">
        <v>2</v>
      </c>
      <c r="F212" s="21">
        <v>0</v>
      </c>
      <c r="G212" s="21">
        <v>141</v>
      </c>
      <c r="H212" s="21"/>
      <c r="I212" s="21"/>
      <c r="J212" s="21">
        <v>136</v>
      </c>
      <c r="K212" s="21"/>
      <c r="L212" s="21"/>
      <c r="M212" s="21">
        <f>AVERAGE(G212,J212)</f>
        <v>138.5</v>
      </c>
      <c r="N212" s="20">
        <v>45944</v>
      </c>
      <c r="O212" s="21">
        <v>2</v>
      </c>
      <c r="P212" s="21">
        <v>0</v>
      </c>
      <c r="Q212" s="21">
        <v>215</v>
      </c>
      <c r="R212" s="21"/>
      <c r="S212" s="21"/>
      <c r="T212" s="21">
        <v>141</v>
      </c>
      <c r="U212" s="21"/>
      <c r="V212" s="21"/>
      <c r="W212" s="22">
        <f>AVERAGE(Q212,T212)</f>
        <v>178</v>
      </c>
    </row>
    <row r="213" spans="1:24" ht="15.75" customHeight="1" x14ac:dyDescent="0.25">
      <c r="A213" s="6">
        <v>3</v>
      </c>
      <c r="B213" s="8"/>
      <c r="C213" s="8"/>
      <c r="D213" s="8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2"/>
    </row>
    <row r="214" spans="1:24" ht="15.75" customHeight="1" x14ac:dyDescent="0.25">
      <c r="A214" s="5">
        <v>4</v>
      </c>
      <c r="B214" s="8"/>
      <c r="C214" s="8"/>
      <c r="D214" s="8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2"/>
    </row>
    <row r="215" spans="1:24" ht="17.25" customHeight="1" x14ac:dyDescent="0.25">
      <c r="A215" s="5">
        <v>5</v>
      </c>
      <c r="B215" s="8"/>
      <c r="C215" s="8"/>
      <c r="D215" s="8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2"/>
    </row>
    <row r="216" spans="1:24" ht="17.25" customHeight="1" thickBot="1" x14ac:dyDescent="0.3">
      <c r="A216" s="7">
        <v>6</v>
      </c>
      <c r="B216" s="10"/>
      <c r="C216" s="10"/>
      <c r="D216" s="10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9"/>
    </row>
    <row r="217" spans="1:24" ht="20.100000000000001" customHeight="1" x14ac:dyDescent="0.25"/>
    <row r="218" spans="1:24" ht="20.100000000000001" customHeight="1" thickBot="1" x14ac:dyDescent="0.3"/>
    <row r="219" spans="1:24" ht="20.100000000000001" customHeight="1" x14ac:dyDescent="0.25">
      <c r="A219" s="100" t="s">
        <v>2</v>
      </c>
      <c r="B219" s="101"/>
      <c r="C219" s="184" t="s">
        <v>165</v>
      </c>
      <c r="D219" s="185"/>
      <c r="E219" s="111" t="s">
        <v>395</v>
      </c>
      <c r="F219" s="112"/>
      <c r="G219" s="101" t="s">
        <v>4</v>
      </c>
      <c r="H219" s="101"/>
      <c r="I219" s="102" t="s">
        <v>139</v>
      </c>
      <c r="J219" s="102"/>
      <c r="K219" s="102"/>
      <c r="L219" s="102"/>
      <c r="M219" s="102"/>
      <c r="N219" s="102"/>
      <c r="O219" s="101" t="s">
        <v>6</v>
      </c>
      <c r="P219" s="101"/>
      <c r="Q219" s="103"/>
      <c r="R219" s="104"/>
      <c r="S219" s="104"/>
      <c r="T219" s="104"/>
      <c r="U219" s="104"/>
      <c r="V219" s="104"/>
      <c r="W219" s="105"/>
      <c r="X219" s="1"/>
    </row>
    <row r="220" spans="1:24" ht="20.100000000000001" customHeight="1" x14ac:dyDescent="0.25">
      <c r="A220" s="106" t="s">
        <v>7</v>
      </c>
      <c r="B220" s="107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7"/>
      <c r="R220" s="107"/>
      <c r="S220" s="107"/>
      <c r="T220" s="107"/>
      <c r="U220" s="107"/>
      <c r="V220" s="107"/>
      <c r="W220" s="110"/>
      <c r="X220" s="1"/>
    </row>
    <row r="221" spans="1:24" ht="24.95" customHeight="1" x14ac:dyDescent="0.25">
      <c r="A221" s="113" t="s">
        <v>8</v>
      </c>
      <c r="B221" s="114" t="s">
        <v>9</v>
      </c>
      <c r="C221" s="114" t="s">
        <v>10</v>
      </c>
      <c r="D221" s="114" t="s">
        <v>11</v>
      </c>
      <c r="E221" s="114" t="s">
        <v>12</v>
      </c>
      <c r="F221" s="114" t="s">
        <v>13</v>
      </c>
      <c r="G221" s="114" t="s">
        <v>14</v>
      </c>
      <c r="H221" s="114"/>
      <c r="I221" s="114"/>
      <c r="J221" s="114"/>
      <c r="K221" s="114"/>
      <c r="L221" s="114"/>
      <c r="M221" s="114" t="s">
        <v>15</v>
      </c>
      <c r="N221" s="114" t="s">
        <v>16</v>
      </c>
      <c r="O221" s="114" t="s">
        <v>17</v>
      </c>
      <c r="P221" s="114" t="s">
        <v>18</v>
      </c>
      <c r="Q221" s="114" t="s">
        <v>19</v>
      </c>
      <c r="R221" s="114"/>
      <c r="S221" s="114"/>
      <c r="T221" s="114"/>
      <c r="U221" s="114"/>
      <c r="V221" s="114"/>
      <c r="W221" s="115" t="s">
        <v>20</v>
      </c>
      <c r="X221" s="3"/>
    </row>
    <row r="222" spans="1:24" ht="24.95" customHeight="1" x14ac:dyDescent="0.25">
      <c r="A222" s="113"/>
      <c r="B222" s="114"/>
      <c r="C222" s="114"/>
      <c r="D222" s="114"/>
      <c r="E222" s="114"/>
      <c r="F222" s="114"/>
      <c r="G222" s="31" t="s">
        <v>21</v>
      </c>
      <c r="H222" s="31" t="s">
        <v>21</v>
      </c>
      <c r="I222" s="31" t="s">
        <v>21</v>
      </c>
      <c r="J222" s="31" t="s">
        <v>22</v>
      </c>
      <c r="K222" s="31" t="s">
        <v>22</v>
      </c>
      <c r="L222" s="31" t="s">
        <v>22</v>
      </c>
      <c r="M222" s="114"/>
      <c r="N222" s="114"/>
      <c r="O222" s="114"/>
      <c r="P222" s="114"/>
      <c r="Q222" s="31" t="s">
        <v>21</v>
      </c>
      <c r="R222" s="31" t="s">
        <v>21</v>
      </c>
      <c r="S222" s="31" t="s">
        <v>21</v>
      </c>
      <c r="T222" s="31" t="s">
        <v>22</v>
      </c>
      <c r="U222" s="31" t="s">
        <v>22</v>
      </c>
      <c r="V222" s="31" t="s">
        <v>22</v>
      </c>
      <c r="W222" s="115"/>
      <c r="X222" s="3"/>
    </row>
    <row r="223" spans="1:24" ht="17.25" customHeight="1" x14ac:dyDescent="0.25">
      <c r="A223" s="5">
        <v>1</v>
      </c>
      <c r="B223" s="21" t="s">
        <v>162</v>
      </c>
      <c r="C223" s="12">
        <v>45738</v>
      </c>
      <c r="D223" s="8" t="s">
        <v>153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</row>
    <row r="224" spans="1:24" ht="15.75" customHeight="1" x14ac:dyDescent="0.25">
      <c r="A224" s="6">
        <v>2</v>
      </c>
      <c r="B224" s="21" t="s">
        <v>162</v>
      </c>
      <c r="C224" s="12">
        <v>45851</v>
      </c>
      <c r="D224" s="13">
        <v>45932</v>
      </c>
      <c r="E224" s="21">
        <v>1</v>
      </c>
      <c r="F224" s="21">
        <v>0</v>
      </c>
      <c r="G224" s="21">
        <v>182</v>
      </c>
      <c r="H224" s="21"/>
      <c r="I224" s="21"/>
      <c r="J224" s="21"/>
      <c r="K224" s="21"/>
      <c r="L224" s="21"/>
      <c r="M224" s="21">
        <f>AVERAGE(G224,J224)</f>
        <v>182</v>
      </c>
      <c r="N224" s="20">
        <v>45944</v>
      </c>
      <c r="O224" s="21">
        <v>1</v>
      </c>
      <c r="P224" s="21">
        <v>0</v>
      </c>
      <c r="Q224" s="21">
        <v>220</v>
      </c>
      <c r="R224" s="21"/>
      <c r="S224" s="21"/>
      <c r="T224" s="21">
        <v>141</v>
      </c>
      <c r="U224" s="21"/>
      <c r="V224" s="21"/>
      <c r="W224" s="68">
        <f>AVERAGE(Q224,T224)</f>
        <v>180.5</v>
      </c>
    </row>
    <row r="225" spans="1:24" ht="17.25" customHeight="1" x14ac:dyDescent="0.25">
      <c r="A225" s="6">
        <v>3</v>
      </c>
      <c r="B225" s="21" t="s">
        <v>159</v>
      </c>
      <c r="C225" s="13">
        <v>45950</v>
      </c>
      <c r="D225" s="13">
        <v>46034</v>
      </c>
      <c r="E225" s="21">
        <v>3</v>
      </c>
      <c r="F225" s="21">
        <v>0</v>
      </c>
      <c r="G225" s="21">
        <v>125</v>
      </c>
      <c r="H225" s="21">
        <v>130</v>
      </c>
      <c r="I225" s="21"/>
      <c r="J225" s="21">
        <v>121</v>
      </c>
      <c r="K225" s="21"/>
      <c r="L225" s="21"/>
      <c r="M225" s="80">
        <f>AVERAGE(G225:L225)</f>
        <v>125.33333333333333</v>
      </c>
      <c r="N225" s="20">
        <v>46055</v>
      </c>
      <c r="O225" s="21">
        <v>3</v>
      </c>
      <c r="P225" s="21">
        <v>0</v>
      </c>
      <c r="Q225" s="21">
        <v>236</v>
      </c>
      <c r="R225" s="21">
        <v>202</v>
      </c>
      <c r="S225" s="21"/>
      <c r="T225" s="21">
        <v>239</v>
      </c>
      <c r="U225" s="21"/>
      <c r="V225" s="21"/>
      <c r="W225" s="68">
        <f>AVERAGE(Q225:V225)</f>
        <v>225.66666666666666</v>
      </c>
    </row>
    <row r="226" spans="1:24" ht="18" customHeight="1" x14ac:dyDescent="0.25">
      <c r="A226" s="5">
        <v>4</v>
      </c>
      <c r="B226" s="21" t="s">
        <v>159</v>
      </c>
      <c r="C226" s="13">
        <v>46070</v>
      </c>
      <c r="D226" s="13">
        <v>46150</v>
      </c>
      <c r="E226" s="21">
        <v>3</v>
      </c>
      <c r="F226" s="21">
        <v>0</v>
      </c>
      <c r="G226" s="21">
        <v>120</v>
      </c>
      <c r="H226" s="21">
        <v>122</v>
      </c>
      <c r="I226" s="21">
        <v>125</v>
      </c>
      <c r="J226" s="21"/>
      <c r="K226" s="21"/>
      <c r="L226" s="21"/>
      <c r="M226" s="80">
        <f>AVERAGE(G226:L226)</f>
        <v>122.33333333333333</v>
      </c>
      <c r="N226" s="20">
        <v>46176</v>
      </c>
      <c r="O226" s="21">
        <v>2</v>
      </c>
      <c r="P226" s="21">
        <v>1</v>
      </c>
      <c r="Q226" s="21">
        <v>268</v>
      </c>
      <c r="R226" s="21">
        <v>280</v>
      </c>
      <c r="S226" s="21"/>
      <c r="T226" s="21"/>
      <c r="U226" s="21"/>
      <c r="V226" s="21"/>
      <c r="W226" s="22">
        <f>AVERAGE(Q226:V226)</f>
        <v>274</v>
      </c>
    </row>
    <row r="227" spans="1:24" ht="17.25" customHeight="1" x14ac:dyDescent="0.25">
      <c r="A227" s="5">
        <v>5</v>
      </c>
      <c r="B227" s="21" t="s">
        <v>145</v>
      </c>
      <c r="C227" s="13">
        <v>46181</v>
      </c>
      <c r="D227" s="8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2"/>
    </row>
    <row r="228" spans="1:24" ht="17.25" customHeight="1" thickBot="1" x14ac:dyDescent="0.3">
      <c r="A228" s="7">
        <v>6</v>
      </c>
      <c r="B228" s="37"/>
      <c r="C228" s="10"/>
      <c r="D228" s="10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9"/>
    </row>
    <row r="229" spans="1:24" ht="20.100000000000001" customHeight="1" x14ac:dyDescent="0.25"/>
    <row r="230" spans="1:24" ht="20.100000000000001" customHeight="1" thickBot="1" x14ac:dyDescent="0.3"/>
    <row r="231" spans="1:24" ht="20.100000000000001" customHeight="1" x14ac:dyDescent="0.25">
      <c r="A231" s="100" t="s">
        <v>2</v>
      </c>
      <c r="B231" s="101"/>
      <c r="C231" s="184" t="s">
        <v>166</v>
      </c>
      <c r="D231" s="185"/>
      <c r="E231" s="111" t="s">
        <v>395</v>
      </c>
      <c r="F231" s="112"/>
      <c r="G231" s="101" t="s">
        <v>4</v>
      </c>
      <c r="H231" s="101"/>
      <c r="I231" s="102" t="s">
        <v>139</v>
      </c>
      <c r="J231" s="102"/>
      <c r="K231" s="102"/>
      <c r="L231" s="102"/>
      <c r="M231" s="102"/>
      <c r="N231" s="102"/>
      <c r="O231" s="101" t="s">
        <v>6</v>
      </c>
      <c r="P231" s="101"/>
      <c r="Q231" s="103"/>
      <c r="R231" s="104"/>
      <c r="S231" s="104"/>
      <c r="T231" s="104"/>
      <c r="U231" s="104"/>
      <c r="V231" s="104"/>
      <c r="W231" s="105"/>
      <c r="X231" s="1"/>
    </row>
    <row r="232" spans="1:24" ht="20.100000000000001" customHeight="1" x14ac:dyDescent="0.25">
      <c r="A232" s="106" t="s">
        <v>7</v>
      </c>
      <c r="B232" s="107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7"/>
      <c r="R232" s="107"/>
      <c r="S232" s="107"/>
      <c r="T232" s="107"/>
      <c r="U232" s="107"/>
      <c r="V232" s="107"/>
      <c r="W232" s="110"/>
      <c r="X232" s="1"/>
    </row>
    <row r="233" spans="1:24" ht="24.95" customHeight="1" x14ac:dyDescent="0.25">
      <c r="A233" s="113" t="s">
        <v>8</v>
      </c>
      <c r="B233" s="114" t="s">
        <v>9</v>
      </c>
      <c r="C233" s="114" t="s">
        <v>10</v>
      </c>
      <c r="D233" s="114" t="s">
        <v>11</v>
      </c>
      <c r="E233" s="114" t="s">
        <v>12</v>
      </c>
      <c r="F233" s="114" t="s">
        <v>13</v>
      </c>
      <c r="G233" s="114" t="s">
        <v>14</v>
      </c>
      <c r="H233" s="114"/>
      <c r="I233" s="114"/>
      <c r="J233" s="114"/>
      <c r="K233" s="114"/>
      <c r="L233" s="114"/>
      <c r="M233" s="114" t="s">
        <v>15</v>
      </c>
      <c r="N233" s="114" t="s">
        <v>16</v>
      </c>
      <c r="O233" s="114" t="s">
        <v>17</v>
      </c>
      <c r="P233" s="114" t="s">
        <v>18</v>
      </c>
      <c r="Q233" s="114" t="s">
        <v>19</v>
      </c>
      <c r="R233" s="114"/>
      <c r="S233" s="114"/>
      <c r="T233" s="114"/>
      <c r="U233" s="114"/>
      <c r="V233" s="114"/>
      <c r="W233" s="115" t="s">
        <v>20</v>
      </c>
      <c r="X233" s="3"/>
    </row>
    <row r="234" spans="1:24" ht="24.95" customHeight="1" x14ac:dyDescent="0.25">
      <c r="A234" s="113"/>
      <c r="B234" s="114"/>
      <c r="C234" s="114"/>
      <c r="D234" s="114"/>
      <c r="E234" s="114"/>
      <c r="F234" s="114"/>
      <c r="G234" s="31" t="s">
        <v>21</v>
      </c>
      <c r="H234" s="31" t="s">
        <v>21</v>
      </c>
      <c r="I234" s="31" t="s">
        <v>21</v>
      </c>
      <c r="J234" s="31" t="s">
        <v>22</v>
      </c>
      <c r="K234" s="31" t="s">
        <v>22</v>
      </c>
      <c r="L234" s="31" t="s">
        <v>22</v>
      </c>
      <c r="M234" s="114"/>
      <c r="N234" s="114"/>
      <c r="O234" s="114"/>
      <c r="P234" s="114"/>
      <c r="Q234" s="31" t="s">
        <v>21</v>
      </c>
      <c r="R234" s="31" t="s">
        <v>21</v>
      </c>
      <c r="S234" s="31" t="s">
        <v>21</v>
      </c>
      <c r="T234" s="31" t="s">
        <v>22</v>
      </c>
      <c r="U234" s="31" t="s">
        <v>22</v>
      </c>
      <c r="V234" s="31" t="s">
        <v>22</v>
      </c>
      <c r="W234" s="115"/>
      <c r="X234" s="3"/>
    </row>
    <row r="235" spans="1:24" ht="17.25" customHeight="1" x14ac:dyDescent="0.25">
      <c r="A235" s="5">
        <v>1</v>
      </c>
      <c r="B235" s="21" t="s">
        <v>162</v>
      </c>
      <c r="C235" s="13">
        <v>45738</v>
      </c>
      <c r="D235" s="20">
        <v>45832</v>
      </c>
      <c r="E235" s="21">
        <v>2</v>
      </c>
      <c r="F235" s="21">
        <v>0</v>
      </c>
      <c r="G235" s="21">
        <v>186</v>
      </c>
      <c r="H235" s="21"/>
      <c r="I235" s="21"/>
      <c r="J235" s="21">
        <v>170</v>
      </c>
      <c r="K235" s="21"/>
      <c r="L235" s="21"/>
      <c r="M235" s="21">
        <v>178</v>
      </c>
      <c r="N235" s="20">
        <v>45848</v>
      </c>
      <c r="O235" s="21">
        <v>2</v>
      </c>
      <c r="P235" s="21">
        <v>0</v>
      </c>
      <c r="Q235" s="21">
        <v>309</v>
      </c>
      <c r="R235" s="21"/>
      <c r="S235" s="21"/>
      <c r="T235" s="21">
        <v>268</v>
      </c>
      <c r="U235" s="21"/>
      <c r="V235" s="21"/>
      <c r="W235" s="68">
        <f>(Q235+T235)/2</f>
        <v>288.5</v>
      </c>
    </row>
    <row r="236" spans="1:24" ht="17.25" customHeight="1" x14ac:dyDescent="0.25">
      <c r="A236" s="6">
        <v>2</v>
      </c>
      <c r="B236" s="21" t="s">
        <v>162</v>
      </c>
      <c r="C236" s="13">
        <v>45851</v>
      </c>
      <c r="D236" s="20">
        <v>45928</v>
      </c>
      <c r="E236" s="21">
        <v>2</v>
      </c>
      <c r="F236" s="21">
        <v>0</v>
      </c>
      <c r="G236" s="21"/>
      <c r="H236" s="21"/>
      <c r="I236" s="21"/>
      <c r="J236" s="21">
        <v>134</v>
      </c>
      <c r="K236" s="21">
        <v>128</v>
      </c>
      <c r="L236" s="21"/>
      <c r="M236" s="21">
        <f>AVERAGE(G236:L236)</f>
        <v>131</v>
      </c>
      <c r="N236" s="20">
        <v>45944</v>
      </c>
      <c r="O236" s="21">
        <v>1</v>
      </c>
      <c r="P236" s="21">
        <v>0</v>
      </c>
      <c r="Q236" s="21"/>
      <c r="R236" s="21"/>
      <c r="S236" s="21"/>
      <c r="T236" s="21">
        <v>220</v>
      </c>
      <c r="U236" s="21">
        <v>202</v>
      </c>
      <c r="V236" s="21"/>
      <c r="W236" s="22">
        <f>AVERAGE(Q236:V236)</f>
        <v>211</v>
      </c>
    </row>
    <row r="237" spans="1:24" ht="17.25" customHeight="1" x14ac:dyDescent="0.25">
      <c r="A237" s="6">
        <v>3</v>
      </c>
      <c r="B237" s="21" t="s">
        <v>159</v>
      </c>
      <c r="C237" s="13">
        <v>45950</v>
      </c>
      <c r="D237" s="20">
        <v>46030</v>
      </c>
      <c r="E237" s="21">
        <v>3</v>
      </c>
      <c r="F237" s="21">
        <v>0</v>
      </c>
      <c r="G237" s="21">
        <v>132</v>
      </c>
      <c r="H237" s="21">
        <v>128</v>
      </c>
      <c r="I237" s="21"/>
      <c r="J237" s="21">
        <v>130</v>
      </c>
      <c r="K237" s="21"/>
      <c r="L237" s="21"/>
      <c r="M237" s="21">
        <f>AVERAGE(G237:L237)</f>
        <v>130</v>
      </c>
      <c r="N237" s="20">
        <v>46055</v>
      </c>
      <c r="O237" s="21">
        <v>3</v>
      </c>
      <c r="P237" s="21">
        <v>0</v>
      </c>
      <c r="Q237" s="21">
        <v>266</v>
      </c>
      <c r="R237" s="21">
        <v>238</v>
      </c>
      <c r="S237" s="21"/>
      <c r="T237" s="21">
        <v>211</v>
      </c>
      <c r="U237" s="21"/>
      <c r="V237" s="21"/>
      <c r="W237" s="68">
        <f>AVERAGE(Q237:V237)</f>
        <v>238.33333333333334</v>
      </c>
    </row>
    <row r="238" spans="1:24" ht="18" customHeight="1" x14ac:dyDescent="0.25">
      <c r="A238" s="5">
        <v>4</v>
      </c>
      <c r="B238" s="21" t="s">
        <v>159</v>
      </c>
      <c r="C238" s="13">
        <v>46070</v>
      </c>
      <c r="D238" s="20">
        <v>46143</v>
      </c>
      <c r="E238" s="21">
        <v>2</v>
      </c>
      <c r="F238" s="21">
        <v>0</v>
      </c>
      <c r="G238" s="21">
        <v>120</v>
      </c>
      <c r="H238" s="21">
        <v>125</v>
      </c>
      <c r="I238" s="21"/>
      <c r="J238" s="21"/>
      <c r="K238" s="21"/>
      <c r="L238" s="21"/>
      <c r="M238" s="80">
        <f>AVERAGE(G238:L238)</f>
        <v>122.5</v>
      </c>
      <c r="N238" s="20">
        <v>46176</v>
      </c>
      <c r="O238" s="21">
        <v>2</v>
      </c>
      <c r="P238" s="21">
        <v>0</v>
      </c>
      <c r="Q238" s="21">
        <v>230</v>
      </c>
      <c r="R238" s="21">
        <v>239</v>
      </c>
      <c r="S238" s="21"/>
      <c r="T238" s="21"/>
      <c r="U238" s="21"/>
      <c r="V238" s="21"/>
      <c r="W238" s="68">
        <f>AVERAGE(Q238:V238)</f>
        <v>234.5</v>
      </c>
    </row>
    <row r="239" spans="1:24" ht="15.75" customHeight="1" x14ac:dyDescent="0.25">
      <c r="A239" s="5">
        <v>5</v>
      </c>
      <c r="B239" s="21" t="s">
        <v>145</v>
      </c>
      <c r="C239" s="13">
        <v>46181</v>
      </c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2"/>
    </row>
    <row r="240" spans="1:24" ht="15.75" customHeight="1" thickBot="1" x14ac:dyDescent="0.3">
      <c r="A240" s="7">
        <v>6</v>
      </c>
      <c r="B240" s="37"/>
      <c r="C240" s="10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9"/>
    </row>
    <row r="241" spans="1:24" ht="20.100000000000001" customHeight="1" x14ac:dyDescent="0.25"/>
    <row r="242" spans="1:24" ht="20.100000000000001" customHeight="1" thickBot="1" x14ac:dyDescent="0.3"/>
    <row r="243" spans="1:24" ht="20.100000000000001" customHeight="1" x14ac:dyDescent="0.25">
      <c r="A243" s="100" t="s">
        <v>2</v>
      </c>
      <c r="B243" s="101"/>
      <c r="C243" s="178" t="s">
        <v>168</v>
      </c>
      <c r="D243" s="179"/>
      <c r="E243" s="111" t="s">
        <v>395</v>
      </c>
      <c r="F243" s="112"/>
      <c r="G243" s="101" t="s">
        <v>4</v>
      </c>
      <c r="H243" s="101"/>
      <c r="I243" s="102" t="s">
        <v>139</v>
      </c>
      <c r="J243" s="102"/>
      <c r="K243" s="102"/>
      <c r="L243" s="102"/>
      <c r="M243" s="102"/>
      <c r="N243" s="102"/>
      <c r="O243" s="101" t="s">
        <v>6</v>
      </c>
      <c r="P243" s="101"/>
      <c r="Q243" s="103"/>
      <c r="R243" s="104"/>
      <c r="S243" s="104"/>
      <c r="T243" s="104"/>
      <c r="U243" s="104"/>
      <c r="V243" s="104"/>
      <c r="W243" s="105"/>
      <c r="X243" s="1"/>
    </row>
    <row r="244" spans="1:24" ht="20.100000000000001" customHeight="1" x14ac:dyDescent="0.25">
      <c r="A244" s="106" t="s">
        <v>7</v>
      </c>
      <c r="B244" s="107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7"/>
      <c r="R244" s="107"/>
      <c r="S244" s="107"/>
      <c r="T244" s="107"/>
      <c r="U244" s="107"/>
      <c r="V244" s="107"/>
      <c r="W244" s="110"/>
      <c r="X244" s="1"/>
    </row>
    <row r="245" spans="1:24" ht="24.95" customHeight="1" x14ac:dyDescent="0.25">
      <c r="A245" s="113" t="s">
        <v>8</v>
      </c>
      <c r="B245" s="114" t="s">
        <v>9</v>
      </c>
      <c r="C245" s="114" t="s">
        <v>10</v>
      </c>
      <c r="D245" s="114" t="s">
        <v>11</v>
      </c>
      <c r="E245" s="114" t="s">
        <v>12</v>
      </c>
      <c r="F245" s="114" t="s">
        <v>13</v>
      </c>
      <c r="G245" s="114" t="s">
        <v>14</v>
      </c>
      <c r="H245" s="114"/>
      <c r="I245" s="114"/>
      <c r="J245" s="114"/>
      <c r="K245" s="114"/>
      <c r="L245" s="114"/>
      <c r="M245" s="114" t="s">
        <v>15</v>
      </c>
      <c r="N245" s="114" t="s">
        <v>16</v>
      </c>
      <c r="O245" s="114" t="s">
        <v>17</v>
      </c>
      <c r="P245" s="114" t="s">
        <v>18</v>
      </c>
      <c r="Q245" s="114" t="s">
        <v>19</v>
      </c>
      <c r="R245" s="114"/>
      <c r="S245" s="114"/>
      <c r="T245" s="114"/>
      <c r="U245" s="114"/>
      <c r="V245" s="114"/>
      <c r="W245" s="115" t="s">
        <v>20</v>
      </c>
      <c r="X245" s="3"/>
    </row>
    <row r="246" spans="1:24" ht="24.95" customHeight="1" x14ac:dyDescent="0.25">
      <c r="A246" s="113"/>
      <c r="B246" s="114"/>
      <c r="C246" s="114"/>
      <c r="D246" s="114"/>
      <c r="E246" s="114"/>
      <c r="F246" s="114"/>
      <c r="G246" s="31" t="s">
        <v>21</v>
      </c>
      <c r="H246" s="31" t="s">
        <v>21</v>
      </c>
      <c r="I246" s="31" t="s">
        <v>21</v>
      </c>
      <c r="J246" s="31" t="s">
        <v>22</v>
      </c>
      <c r="K246" s="31" t="s">
        <v>22</v>
      </c>
      <c r="L246" s="31" t="s">
        <v>22</v>
      </c>
      <c r="M246" s="114"/>
      <c r="N246" s="114"/>
      <c r="O246" s="114"/>
      <c r="P246" s="114"/>
      <c r="Q246" s="31" t="s">
        <v>21</v>
      </c>
      <c r="R246" s="31" t="s">
        <v>21</v>
      </c>
      <c r="S246" s="31" t="s">
        <v>21</v>
      </c>
      <c r="T246" s="31" t="s">
        <v>22</v>
      </c>
      <c r="U246" s="31" t="s">
        <v>22</v>
      </c>
      <c r="V246" s="31" t="s">
        <v>22</v>
      </c>
      <c r="W246" s="115"/>
      <c r="X246" s="3"/>
    </row>
    <row r="247" spans="1:24" ht="16.5" customHeight="1" x14ac:dyDescent="0.25">
      <c r="A247" s="5">
        <v>1</v>
      </c>
      <c r="B247" s="21" t="s">
        <v>162</v>
      </c>
      <c r="C247" s="13">
        <v>45738</v>
      </c>
      <c r="D247" s="13">
        <v>45820</v>
      </c>
      <c r="E247" s="21">
        <v>2</v>
      </c>
      <c r="F247" s="21">
        <v>0</v>
      </c>
      <c r="G247" s="21">
        <v>157</v>
      </c>
      <c r="H247" s="21"/>
      <c r="I247" s="21"/>
      <c r="J247" s="21">
        <v>186</v>
      </c>
      <c r="K247" s="21"/>
      <c r="L247" s="21"/>
      <c r="M247" s="21" t="s">
        <v>167</v>
      </c>
      <c r="N247" s="20">
        <v>45833</v>
      </c>
      <c r="O247" s="21">
        <v>2</v>
      </c>
      <c r="P247" s="21">
        <v>0</v>
      </c>
      <c r="Q247" s="21">
        <v>386</v>
      </c>
      <c r="R247" s="21"/>
      <c r="S247" s="21"/>
      <c r="T247" s="21">
        <v>429</v>
      </c>
      <c r="U247" s="21"/>
      <c r="V247" s="21"/>
      <c r="W247" s="22">
        <v>406</v>
      </c>
    </row>
    <row r="248" spans="1:24" ht="15.75" customHeight="1" x14ac:dyDescent="0.25">
      <c r="A248" s="6">
        <v>2</v>
      </c>
      <c r="B248" s="21" t="s">
        <v>162</v>
      </c>
      <c r="C248" s="13">
        <v>45851</v>
      </c>
      <c r="D248" s="8" t="s">
        <v>371</v>
      </c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2"/>
    </row>
    <row r="249" spans="1:24" ht="15.75" customHeight="1" x14ac:dyDescent="0.25">
      <c r="A249" s="6">
        <v>3</v>
      </c>
      <c r="B249" s="21" t="s">
        <v>159</v>
      </c>
      <c r="C249" s="13">
        <v>45950</v>
      </c>
      <c r="D249" s="13">
        <v>46034</v>
      </c>
      <c r="E249" s="21">
        <v>2</v>
      </c>
      <c r="F249" s="21">
        <v>0</v>
      </c>
      <c r="G249" s="21">
        <v>128</v>
      </c>
      <c r="H249" s="21"/>
      <c r="I249" s="21"/>
      <c r="J249" s="21">
        <v>130</v>
      </c>
      <c r="K249" s="21"/>
      <c r="L249" s="21"/>
      <c r="M249" s="21"/>
      <c r="N249" s="20">
        <v>46055</v>
      </c>
      <c r="O249" s="21">
        <v>1</v>
      </c>
      <c r="P249" s="21">
        <v>0</v>
      </c>
      <c r="Q249" s="21"/>
      <c r="R249" s="21"/>
      <c r="S249" s="21"/>
      <c r="T249" s="21">
        <v>177</v>
      </c>
      <c r="U249" s="21"/>
      <c r="V249" s="21"/>
      <c r="W249" s="22">
        <v>177</v>
      </c>
    </row>
    <row r="250" spans="1:24" ht="18" customHeight="1" x14ac:dyDescent="0.25">
      <c r="A250" s="5">
        <v>4</v>
      </c>
      <c r="B250" s="21" t="s">
        <v>159</v>
      </c>
      <c r="C250" s="13">
        <v>46070</v>
      </c>
      <c r="D250" s="13">
        <v>46148</v>
      </c>
      <c r="E250" s="21">
        <v>3</v>
      </c>
      <c r="F250" s="21">
        <v>0</v>
      </c>
      <c r="G250" s="21">
        <v>120</v>
      </c>
      <c r="H250" s="21"/>
      <c r="I250" s="21"/>
      <c r="J250" s="21">
        <v>118</v>
      </c>
      <c r="K250" s="21">
        <v>122</v>
      </c>
      <c r="L250" s="21"/>
      <c r="M250" s="21">
        <f>AVERAGE(G250:L250)</f>
        <v>120</v>
      </c>
      <c r="N250" s="20">
        <v>46176</v>
      </c>
      <c r="O250" s="21">
        <v>2</v>
      </c>
      <c r="P250" s="21">
        <v>1</v>
      </c>
      <c r="Q250" s="21">
        <v>259</v>
      </c>
      <c r="R250" s="21"/>
      <c r="S250" s="21"/>
      <c r="T250" s="21">
        <v>238</v>
      </c>
      <c r="U250" s="21"/>
      <c r="V250" s="21"/>
      <c r="W250" s="68">
        <f>AVERAGE(Q250:V250)</f>
        <v>248.5</v>
      </c>
    </row>
    <row r="251" spans="1:24" ht="16.5" customHeight="1" x14ac:dyDescent="0.25">
      <c r="A251" s="5">
        <v>5</v>
      </c>
      <c r="B251" s="21" t="s">
        <v>145</v>
      </c>
      <c r="C251" s="13">
        <v>46181</v>
      </c>
      <c r="D251" s="8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2"/>
    </row>
    <row r="252" spans="1:24" ht="17.25" customHeight="1" thickBot="1" x14ac:dyDescent="0.3">
      <c r="A252" s="7">
        <v>6</v>
      </c>
      <c r="B252" s="37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</sheetData>
  <mergeCells count="506">
    <mergeCell ref="P17:P18"/>
    <mergeCell ref="Q17:V17"/>
    <mergeCell ref="W17:W18"/>
    <mergeCell ref="C15:D15"/>
    <mergeCell ref="E15:F15"/>
    <mergeCell ref="C3:D3"/>
    <mergeCell ref="E3:F3"/>
    <mergeCell ref="C39:D39"/>
    <mergeCell ref="E39:F39"/>
    <mergeCell ref="E5:E6"/>
    <mergeCell ref="F5:F6"/>
    <mergeCell ref="W5:W6"/>
    <mergeCell ref="O5:O6"/>
    <mergeCell ref="P5:P6"/>
    <mergeCell ref="Q5:V5"/>
    <mergeCell ref="W245:W246"/>
    <mergeCell ref="G245:L245"/>
    <mergeCell ref="M245:M246"/>
    <mergeCell ref="N245:N246"/>
    <mergeCell ref="O245:O246"/>
    <mergeCell ref="P245:P246"/>
    <mergeCell ref="Q245:V245"/>
    <mergeCell ref="A244:B244"/>
    <mergeCell ref="C244:N244"/>
    <mergeCell ref="O244:P244"/>
    <mergeCell ref="Q244:W244"/>
    <mergeCell ref="A245:A246"/>
    <mergeCell ref="B245:B246"/>
    <mergeCell ref="C245:C246"/>
    <mergeCell ref="D245:D246"/>
    <mergeCell ref="E245:E246"/>
    <mergeCell ref="F245:F246"/>
    <mergeCell ref="A243:B243"/>
    <mergeCell ref="G243:H243"/>
    <mergeCell ref="I243:N243"/>
    <mergeCell ref="O243:P243"/>
    <mergeCell ref="Q243:W243"/>
    <mergeCell ref="G233:L233"/>
    <mergeCell ref="M233:M234"/>
    <mergeCell ref="N233:N234"/>
    <mergeCell ref="O233:O234"/>
    <mergeCell ref="P233:P234"/>
    <mergeCell ref="Q233:V233"/>
    <mergeCell ref="C243:D243"/>
    <mergeCell ref="E243:F243"/>
    <mergeCell ref="A232:B232"/>
    <mergeCell ref="C232:N232"/>
    <mergeCell ref="O232:P232"/>
    <mergeCell ref="Q232:W232"/>
    <mergeCell ref="A233:A234"/>
    <mergeCell ref="B233:B234"/>
    <mergeCell ref="C233:C234"/>
    <mergeCell ref="D233:D234"/>
    <mergeCell ref="E233:E234"/>
    <mergeCell ref="F233:F234"/>
    <mergeCell ref="W233:W234"/>
    <mergeCell ref="A231:B231"/>
    <mergeCell ref="G231:H231"/>
    <mergeCell ref="I231:N231"/>
    <mergeCell ref="O231:P231"/>
    <mergeCell ref="Q231:W231"/>
    <mergeCell ref="G221:L221"/>
    <mergeCell ref="M221:M222"/>
    <mergeCell ref="N221:N222"/>
    <mergeCell ref="O221:O222"/>
    <mergeCell ref="P221:P222"/>
    <mergeCell ref="Q221:V221"/>
    <mergeCell ref="C231:D231"/>
    <mergeCell ref="E231:F231"/>
    <mergeCell ref="A220:B220"/>
    <mergeCell ref="C220:N220"/>
    <mergeCell ref="O220:P220"/>
    <mergeCell ref="Q220:W220"/>
    <mergeCell ref="A221:A222"/>
    <mergeCell ref="B221:B222"/>
    <mergeCell ref="C221:C222"/>
    <mergeCell ref="D221:D222"/>
    <mergeCell ref="E221:E222"/>
    <mergeCell ref="F221:F222"/>
    <mergeCell ref="W221:W222"/>
    <mergeCell ref="A219:B219"/>
    <mergeCell ref="G219:H219"/>
    <mergeCell ref="I219:N219"/>
    <mergeCell ref="O219:P219"/>
    <mergeCell ref="Q219:W219"/>
    <mergeCell ref="G209:L209"/>
    <mergeCell ref="M209:M210"/>
    <mergeCell ref="N209:N210"/>
    <mergeCell ref="O209:O210"/>
    <mergeCell ref="P209:P210"/>
    <mergeCell ref="Q209:V209"/>
    <mergeCell ref="C219:D219"/>
    <mergeCell ref="E219:F219"/>
    <mergeCell ref="A208:B208"/>
    <mergeCell ref="C208:N208"/>
    <mergeCell ref="O208:P208"/>
    <mergeCell ref="Q208:W208"/>
    <mergeCell ref="A209:A210"/>
    <mergeCell ref="B209:B210"/>
    <mergeCell ref="C209:C210"/>
    <mergeCell ref="D209:D210"/>
    <mergeCell ref="E209:E210"/>
    <mergeCell ref="F209:F210"/>
    <mergeCell ref="W209:W210"/>
    <mergeCell ref="A207:B207"/>
    <mergeCell ref="G207:H207"/>
    <mergeCell ref="I207:N207"/>
    <mergeCell ref="O207:P207"/>
    <mergeCell ref="Q207:W207"/>
    <mergeCell ref="G197:L197"/>
    <mergeCell ref="M197:M198"/>
    <mergeCell ref="N197:N198"/>
    <mergeCell ref="O197:O198"/>
    <mergeCell ref="P197:P198"/>
    <mergeCell ref="Q197:V197"/>
    <mergeCell ref="C207:D207"/>
    <mergeCell ref="E207:F207"/>
    <mergeCell ref="A196:B196"/>
    <mergeCell ref="C196:N196"/>
    <mergeCell ref="O196:P196"/>
    <mergeCell ref="Q196:W196"/>
    <mergeCell ref="A197:A198"/>
    <mergeCell ref="B197:B198"/>
    <mergeCell ref="C197:C198"/>
    <mergeCell ref="D197:D198"/>
    <mergeCell ref="E197:E198"/>
    <mergeCell ref="F197:F198"/>
    <mergeCell ref="W197:W198"/>
    <mergeCell ref="A195:B195"/>
    <mergeCell ref="G195:H195"/>
    <mergeCell ref="I195:N195"/>
    <mergeCell ref="O195:P195"/>
    <mergeCell ref="Q195:W195"/>
    <mergeCell ref="G185:L185"/>
    <mergeCell ref="M185:M186"/>
    <mergeCell ref="N185:N186"/>
    <mergeCell ref="O185:O186"/>
    <mergeCell ref="P185:P186"/>
    <mergeCell ref="Q185:V185"/>
    <mergeCell ref="C195:D195"/>
    <mergeCell ref="E195:F195"/>
    <mergeCell ref="A184:B184"/>
    <mergeCell ref="C184:N184"/>
    <mergeCell ref="O184:P184"/>
    <mergeCell ref="Q184:W184"/>
    <mergeCell ref="A185:A186"/>
    <mergeCell ref="B185:B186"/>
    <mergeCell ref="C185:C186"/>
    <mergeCell ref="D185:D186"/>
    <mergeCell ref="E185:E186"/>
    <mergeCell ref="F185:F186"/>
    <mergeCell ref="W185:W186"/>
    <mergeCell ref="A183:B183"/>
    <mergeCell ref="G183:H183"/>
    <mergeCell ref="I183:N183"/>
    <mergeCell ref="O183:P183"/>
    <mergeCell ref="Q183:W183"/>
    <mergeCell ref="G173:L173"/>
    <mergeCell ref="M173:M174"/>
    <mergeCell ref="N173:N174"/>
    <mergeCell ref="O173:O174"/>
    <mergeCell ref="P173:P174"/>
    <mergeCell ref="Q173:V173"/>
    <mergeCell ref="C183:D183"/>
    <mergeCell ref="E183:F183"/>
    <mergeCell ref="A172:B172"/>
    <mergeCell ref="C172:N172"/>
    <mergeCell ref="O172:P172"/>
    <mergeCell ref="Q172:W172"/>
    <mergeCell ref="A173:A174"/>
    <mergeCell ref="B173:B174"/>
    <mergeCell ref="C173:C174"/>
    <mergeCell ref="D173:D174"/>
    <mergeCell ref="E173:E174"/>
    <mergeCell ref="F173:F174"/>
    <mergeCell ref="W173:W174"/>
    <mergeCell ref="A171:B171"/>
    <mergeCell ref="G171:H171"/>
    <mergeCell ref="I171:N171"/>
    <mergeCell ref="O171:P171"/>
    <mergeCell ref="Q171:W171"/>
    <mergeCell ref="G161:L161"/>
    <mergeCell ref="M161:M162"/>
    <mergeCell ref="N161:N162"/>
    <mergeCell ref="O161:O162"/>
    <mergeCell ref="P161:P162"/>
    <mergeCell ref="Q161:V161"/>
    <mergeCell ref="C171:D171"/>
    <mergeCell ref="E171:F171"/>
    <mergeCell ref="A160:B160"/>
    <mergeCell ref="C160:N160"/>
    <mergeCell ref="O160:P160"/>
    <mergeCell ref="Q160:W160"/>
    <mergeCell ref="A161:A162"/>
    <mergeCell ref="B161:B162"/>
    <mergeCell ref="C161:C162"/>
    <mergeCell ref="D161:D162"/>
    <mergeCell ref="E161:E162"/>
    <mergeCell ref="F161:F162"/>
    <mergeCell ref="W161:W162"/>
    <mergeCell ref="A159:B159"/>
    <mergeCell ref="G159:H159"/>
    <mergeCell ref="I159:N159"/>
    <mergeCell ref="O159:P159"/>
    <mergeCell ref="Q159:W159"/>
    <mergeCell ref="G149:L149"/>
    <mergeCell ref="M149:M150"/>
    <mergeCell ref="N149:N150"/>
    <mergeCell ref="O149:O150"/>
    <mergeCell ref="P149:P150"/>
    <mergeCell ref="Q149:V149"/>
    <mergeCell ref="C159:D159"/>
    <mergeCell ref="E159:F159"/>
    <mergeCell ref="A148:B148"/>
    <mergeCell ref="C148:N148"/>
    <mergeCell ref="O148:P148"/>
    <mergeCell ref="Q148:W148"/>
    <mergeCell ref="A149:A150"/>
    <mergeCell ref="B149:B150"/>
    <mergeCell ref="C149:C150"/>
    <mergeCell ref="D149:D150"/>
    <mergeCell ref="E149:E150"/>
    <mergeCell ref="F149:F150"/>
    <mergeCell ref="W149:W150"/>
    <mergeCell ref="A147:B147"/>
    <mergeCell ref="G147:H147"/>
    <mergeCell ref="I147:N147"/>
    <mergeCell ref="O147:P147"/>
    <mergeCell ref="Q147:W147"/>
    <mergeCell ref="G137:L137"/>
    <mergeCell ref="M137:M138"/>
    <mergeCell ref="N137:N138"/>
    <mergeCell ref="O137:O138"/>
    <mergeCell ref="P137:P138"/>
    <mergeCell ref="Q137:V137"/>
    <mergeCell ref="C147:D147"/>
    <mergeCell ref="E147:F147"/>
    <mergeCell ref="A136:B136"/>
    <mergeCell ref="C136:N136"/>
    <mergeCell ref="O136:P136"/>
    <mergeCell ref="Q136:W136"/>
    <mergeCell ref="A137:A138"/>
    <mergeCell ref="B137:B138"/>
    <mergeCell ref="C137:C138"/>
    <mergeCell ref="D137:D138"/>
    <mergeCell ref="E137:E138"/>
    <mergeCell ref="F137:F138"/>
    <mergeCell ref="W137:W138"/>
    <mergeCell ref="A135:B135"/>
    <mergeCell ref="G135:H135"/>
    <mergeCell ref="I135:N135"/>
    <mergeCell ref="O135:P135"/>
    <mergeCell ref="Q135:W135"/>
    <mergeCell ref="G125:L125"/>
    <mergeCell ref="M125:M126"/>
    <mergeCell ref="N125:N126"/>
    <mergeCell ref="O125:O126"/>
    <mergeCell ref="P125:P126"/>
    <mergeCell ref="Q125:V125"/>
    <mergeCell ref="C135:D135"/>
    <mergeCell ref="E135:F135"/>
    <mergeCell ref="A124:B124"/>
    <mergeCell ref="C124:N124"/>
    <mergeCell ref="O124:P124"/>
    <mergeCell ref="Q124:W124"/>
    <mergeCell ref="A125:A126"/>
    <mergeCell ref="B125:B126"/>
    <mergeCell ref="C125:C126"/>
    <mergeCell ref="D125:D126"/>
    <mergeCell ref="E125:E126"/>
    <mergeCell ref="F125:F126"/>
    <mergeCell ref="W125:W126"/>
    <mergeCell ref="A123:B123"/>
    <mergeCell ref="G123:H123"/>
    <mergeCell ref="I123:N123"/>
    <mergeCell ref="O123:P123"/>
    <mergeCell ref="Q123:W123"/>
    <mergeCell ref="G113:L113"/>
    <mergeCell ref="M113:M114"/>
    <mergeCell ref="N113:N114"/>
    <mergeCell ref="O113:O114"/>
    <mergeCell ref="P113:P114"/>
    <mergeCell ref="Q113:V113"/>
    <mergeCell ref="C123:D123"/>
    <mergeCell ref="E123:F123"/>
    <mergeCell ref="A112:B112"/>
    <mergeCell ref="C112:N112"/>
    <mergeCell ref="O112:P112"/>
    <mergeCell ref="Q112:W112"/>
    <mergeCell ref="A113:A114"/>
    <mergeCell ref="B113:B114"/>
    <mergeCell ref="C113:C114"/>
    <mergeCell ref="D113:D114"/>
    <mergeCell ref="E113:E114"/>
    <mergeCell ref="F113:F114"/>
    <mergeCell ref="W113:W114"/>
    <mergeCell ref="A111:B111"/>
    <mergeCell ref="G111:H111"/>
    <mergeCell ref="I111:N111"/>
    <mergeCell ref="O111:P111"/>
    <mergeCell ref="Q111:W111"/>
    <mergeCell ref="G101:L101"/>
    <mergeCell ref="M101:M102"/>
    <mergeCell ref="N101:N102"/>
    <mergeCell ref="O101:O102"/>
    <mergeCell ref="P101:P102"/>
    <mergeCell ref="Q101:V101"/>
    <mergeCell ref="A100:B100"/>
    <mergeCell ref="C100:N100"/>
    <mergeCell ref="O100:P100"/>
    <mergeCell ref="Q100:W100"/>
    <mergeCell ref="A101:A102"/>
    <mergeCell ref="B101:B102"/>
    <mergeCell ref="C101:C102"/>
    <mergeCell ref="D101:D102"/>
    <mergeCell ref="E101:E102"/>
    <mergeCell ref="F101:F102"/>
    <mergeCell ref="W101:W102"/>
    <mergeCell ref="A99:B99"/>
    <mergeCell ref="G99:H99"/>
    <mergeCell ref="I99:N99"/>
    <mergeCell ref="O99:P99"/>
    <mergeCell ref="Q99:W99"/>
    <mergeCell ref="G89:L89"/>
    <mergeCell ref="M89:M90"/>
    <mergeCell ref="N89:N90"/>
    <mergeCell ref="O89:O90"/>
    <mergeCell ref="P89:P90"/>
    <mergeCell ref="Q89:V89"/>
    <mergeCell ref="C99:D99"/>
    <mergeCell ref="E99:F99"/>
    <mergeCell ref="A88:B88"/>
    <mergeCell ref="C88:N88"/>
    <mergeCell ref="O88:P88"/>
    <mergeCell ref="Q88:W88"/>
    <mergeCell ref="A89:A90"/>
    <mergeCell ref="B89:B90"/>
    <mergeCell ref="C89:C90"/>
    <mergeCell ref="D89:D90"/>
    <mergeCell ref="E89:E90"/>
    <mergeCell ref="F89:F90"/>
    <mergeCell ref="W89:W90"/>
    <mergeCell ref="A87:B87"/>
    <mergeCell ref="G87:H87"/>
    <mergeCell ref="I87:N87"/>
    <mergeCell ref="O87:P87"/>
    <mergeCell ref="Q87:W87"/>
    <mergeCell ref="G77:L77"/>
    <mergeCell ref="M77:M78"/>
    <mergeCell ref="N77:N78"/>
    <mergeCell ref="O77:O78"/>
    <mergeCell ref="P77:P78"/>
    <mergeCell ref="Q77:V77"/>
    <mergeCell ref="C87:D87"/>
    <mergeCell ref="E87:F87"/>
    <mergeCell ref="A76:B76"/>
    <mergeCell ref="C76:N76"/>
    <mergeCell ref="O76:P76"/>
    <mergeCell ref="Q76:W76"/>
    <mergeCell ref="A77:A78"/>
    <mergeCell ref="B77:B78"/>
    <mergeCell ref="C77:C78"/>
    <mergeCell ref="D77:D78"/>
    <mergeCell ref="E77:E78"/>
    <mergeCell ref="F77:F78"/>
    <mergeCell ref="W77:W78"/>
    <mergeCell ref="A75:B75"/>
    <mergeCell ref="G75:H75"/>
    <mergeCell ref="I75:N75"/>
    <mergeCell ref="O75:P75"/>
    <mergeCell ref="Q75:W75"/>
    <mergeCell ref="G65:L65"/>
    <mergeCell ref="M65:M66"/>
    <mergeCell ref="N65:N66"/>
    <mergeCell ref="O65:O66"/>
    <mergeCell ref="P65:P66"/>
    <mergeCell ref="Q65:V65"/>
    <mergeCell ref="C75:D75"/>
    <mergeCell ref="E75:F75"/>
    <mergeCell ref="A64:B64"/>
    <mergeCell ref="C64:N64"/>
    <mergeCell ref="O64:P64"/>
    <mergeCell ref="Q64:W64"/>
    <mergeCell ref="A65:A66"/>
    <mergeCell ref="B65:B66"/>
    <mergeCell ref="C65:C66"/>
    <mergeCell ref="D65:D66"/>
    <mergeCell ref="E65:E66"/>
    <mergeCell ref="F65:F66"/>
    <mergeCell ref="W65:W66"/>
    <mergeCell ref="A63:B63"/>
    <mergeCell ref="G63:H63"/>
    <mergeCell ref="I63:N63"/>
    <mergeCell ref="O63:P63"/>
    <mergeCell ref="Q63:W63"/>
    <mergeCell ref="G53:L53"/>
    <mergeCell ref="M53:M54"/>
    <mergeCell ref="N53:N54"/>
    <mergeCell ref="O53:O54"/>
    <mergeCell ref="P53:P54"/>
    <mergeCell ref="Q53:V53"/>
    <mergeCell ref="C63:D63"/>
    <mergeCell ref="E63:F63"/>
    <mergeCell ref="A52:B52"/>
    <mergeCell ref="C52:N52"/>
    <mergeCell ref="O52:P52"/>
    <mergeCell ref="Q52:W52"/>
    <mergeCell ref="A53:A54"/>
    <mergeCell ref="B53:B54"/>
    <mergeCell ref="C53:C54"/>
    <mergeCell ref="D53:D54"/>
    <mergeCell ref="E53:E54"/>
    <mergeCell ref="F53:F54"/>
    <mergeCell ref="W53:W54"/>
    <mergeCell ref="A51:B51"/>
    <mergeCell ref="G51:H51"/>
    <mergeCell ref="I51:N51"/>
    <mergeCell ref="O51:P51"/>
    <mergeCell ref="Q51:W51"/>
    <mergeCell ref="G41:L41"/>
    <mergeCell ref="M41:M42"/>
    <mergeCell ref="N41:N42"/>
    <mergeCell ref="O41:O42"/>
    <mergeCell ref="P41:P42"/>
    <mergeCell ref="Q41:V41"/>
    <mergeCell ref="C51:D51"/>
    <mergeCell ref="E51:F51"/>
    <mergeCell ref="A40:B40"/>
    <mergeCell ref="C40:N40"/>
    <mergeCell ref="O40:P40"/>
    <mergeCell ref="Q40:W40"/>
    <mergeCell ref="A41:A42"/>
    <mergeCell ref="B41:B42"/>
    <mergeCell ref="C41:C42"/>
    <mergeCell ref="D41:D42"/>
    <mergeCell ref="E41:E42"/>
    <mergeCell ref="F41:F42"/>
    <mergeCell ref="W41:W42"/>
    <mergeCell ref="A39:B39"/>
    <mergeCell ref="G39:H39"/>
    <mergeCell ref="I39:N39"/>
    <mergeCell ref="O39:P39"/>
    <mergeCell ref="Q39:W39"/>
    <mergeCell ref="G29:L29"/>
    <mergeCell ref="M29:M30"/>
    <mergeCell ref="N29:N30"/>
    <mergeCell ref="O29:O30"/>
    <mergeCell ref="P29:P30"/>
    <mergeCell ref="Q29:V29"/>
    <mergeCell ref="A17:A18"/>
    <mergeCell ref="C27:D27"/>
    <mergeCell ref="E27:F27"/>
    <mergeCell ref="A5:A6"/>
    <mergeCell ref="A28:B28"/>
    <mergeCell ref="C28:N28"/>
    <mergeCell ref="O28:P28"/>
    <mergeCell ref="Q28:W28"/>
    <mergeCell ref="A29:A30"/>
    <mergeCell ref="B29:B30"/>
    <mergeCell ref="C29:C30"/>
    <mergeCell ref="D29:D30"/>
    <mergeCell ref="E29:E30"/>
    <mergeCell ref="F29:F30"/>
    <mergeCell ref="W29:W30"/>
    <mergeCell ref="B17:B18"/>
    <mergeCell ref="C17:C18"/>
    <mergeCell ref="D17:D18"/>
    <mergeCell ref="E17:E18"/>
    <mergeCell ref="F17:F18"/>
    <mergeCell ref="G17:L17"/>
    <mergeCell ref="M17:M18"/>
    <mergeCell ref="N17:N18"/>
    <mergeCell ref="O17:O18"/>
    <mergeCell ref="A15:B15"/>
    <mergeCell ref="G15:H15"/>
    <mergeCell ref="I15:N15"/>
    <mergeCell ref="O15:P15"/>
    <mergeCell ref="Q15:W15"/>
    <mergeCell ref="A16:B16"/>
    <mergeCell ref="C16:N16"/>
    <mergeCell ref="O16:P16"/>
    <mergeCell ref="Q16:W16"/>
    <mergeCell ref="B5:B6"/>
    <mergeCell ref="C5:C6"/>
    <mergeCell ref="D5:D6"/>
    <mergeCell ref="C111:D111"/>
    <mergeCell ref="E111:F111"/>
    <mergeCell ref="A1:W1"/>
    <mergeCell ref="A2:W2"/>
    <mergeCell ref="A3:B3"/>
    <mergeCell ref="G3:H3"/>
    <mergeCell ref="I3:N3"/>
    <mergeCell ref="O3:P3"/>
    <mergeCell ref="Q3:W3"/>
    <mergeCell ref="A4:B4"/>
    <mergeCell ref="C4:N4"/>
    <mergeCell ref="O4:P4"/>
    <mergeCell ref="Q4:W4"/>
    <mergeCell ref="A27:B27"/>
    <mergeCell ref="G27:H27"/>
    <mergeCell ref="I27:N27"/>
    <mergeCell ref="O27:P27"/>
    <mergeCell ref="Q27:W27"/>
    <mergeCell ref="G5:L5"/>
    <mergeCell ref="M5:M6"/>
    <mergeCell ref="N5:N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9372-EE6E-44AE-BE14-1F005C81BED3}">
  <dimension ref="A1:X240"/>
  <sheetViews>
    <sheetView topLeftCell="A223" workbookViewId="0">
      <selection activeCell="C231" sqref="C231:D231"/>
    </sheetView>
  </sheetViews>
  <sheetFormatPr baseColWidth="10" defaultColWidth="11.42578125" defaultRowHeight="15" x14ac:dyDescent="0.25"/>
  <cols>
    <col min="1" max="1" width="7.5703125" customWidth="1"/>
    <col min="2" max="2" width="12.140625" customWidth="1"/>
    <col min="3" max="3" width="12.85546875" customWidth="1"/>
    <col min="4" max="4" width="14.5703125" customWidth="1"/>
    <col min="7" max="7" width="5" customWidth="1"/>
    <col min="8" max="8" width="5.140625" customWidth="1"/>
    <col min="9" max="10" width="5.28515625" customWidth="1"/>
    <col min="11" max="12" width="5" customWidth="1"/>
    <col min="13" max="13" width="11.42578125" customWidth="1"/>
    <col min="14" max="14" width="13.42578125" customWidth="1"/>
    <col min="15" max="15" width="9.5703125" customWidth="1"/>
    <col min="16" max="16" width="10.7109375" customWidth="1"/>
    <col min="17" max="17" width="5.28515625" customWidth="1"/>
    <col min="18" max="18" width="5.140625" customWidth="1"/>
    <col min="19" max="19" width="5" customWidth="1"/>
    <col min="20" max="20" width="5.140625" customWidth="1"/>
    <col min="21" max="22" width="5" customWidth="1"/>
  </cols>
  <sheetData>
    <row r="1" spans="1:24" s="4" customFormat="1" ht="20.100000000000001" customHeight="1" x14ac:dyDescent="0.3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s="2" customFormat="1" ht="30" customHeight="1" thickBot="1" x14ac:dyDescent="0.3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4" ht="20.100000000000001" customHeight="1" x14ac:dyDescent="0.25">
      <c r="A3" s="100" t="s">
        <v>2</v>
      </c>
      <c r="B3" s="101"/>
      <c r="C3" s="184" t="s">
        <v>170</v>
      </c>
      <c r="D3" s="185"/>
      <c r="E3" s="111" t="s">
        <v>395</v>
      </c>
      <c r="F3" s="112"/>
      <c r="G3" s="101" t="s">
        <v>4</v>
      </c>
      <c r="H3" s="101"/>
      <c r="I3" s="102" t="s">
        <v>139</v>
      </c>
      <c r="J3" s="102"/>
      <c r="K3" s="102"/>
      <c r="L3" s="102"/>
      <c r="M3" s="102"/>
      <c r="N3" s="102"/>
      <c r="O3" s="101" t="s">
        <v>6</v>
      </c>
      <c r="P3" s="101"/>
      <c r="Q3" s="103"/>
      <c r="R3" s="104"/>
      <c r="S3" s="104"/>
      <c r="T3" s="104"/>
      <c r="U3" s="104"/>
      <c r="V3" s="104"/>
      <c r="W3" s="105"/>
      <c r="X3" s="1"/>
    </row>
    <row r="4" spans="1:24" ht="20.100000000000001" customHeight="1" x14ac:dyDescent="0.25">
      <c r="A4" s="106" t="s">
        <v>7</v>
      </c>
      <c r="B4" s="107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7"/>
      <c r="R4" s="107"/>
      <c r="S4" s="107"/>
      <c r="T4" s="107"/>
      <c r="U4" s="107"/>
      <c r="V4" s="107"/>
      <c r="W4" s="110"/>
      <c r="X4" s="1"/>
    </row>
    <row r="5" spans="1:24" ht="24.95" customHeight="1" x14ac:dyDescent="0.25">
      <c r="A5" s="113" t="s">
        <v>8</v>
      </c>
      <c r="B5" s="114" t="s">
        <v>9</v>
      </c>
      <c r="C5" s="114" t="s">
        <v>10</v>
      </c>
      <c r="D5" s="114" t="s">
        <v>11</v>
      </c>
      <c r="E5" s="114" t="s">
        <v>12</v>
      </c>
      <c r="F5" s="114" t="s">
        <v>13</v>
      </c>
      <c r="G5" s="114" t="s">
        <v>14</v>
      </c>
      <c r="H5" s="114"/>
      <c r="I5" s="114"/>
      <c r="J5" s="114"/>
      <c r="K5" s="114"/>
      <c r="L5" s="114"/>
      <c r="M5" s="114" t="s">
        <v>15</v>
      </c>
      <c r="N5" s="114" t="s">
        <v>16</v>
      </c>
      <c r="O5" s="114" t="s">
        <v>17</v>
      </c>
      <c r="P5" s="114" t="s">
        <v>18</v>
      </c>
      <c r="Q5" s="114" t="s">
        <v>19</v>
      </c>
      <c r="R5" s="114"/>
      <c r="S5" s="114"/>
      <c r="T5" s="114"/>
      <c r="U5" s="114"/>
      <c r="V5" s="114"/>
      <c r="W5" s="115" t="s">
        <v>20</v>
      </c>
      <c r="X5" s="3"/>
    </row>
    <row r="6" spans="1:24" ht="24.95" customHeight="1" x14ac:dyDescent="0.25">
      <c r="A6" s="113"/>
      <c r="B6" s="114"/>
      <c r="C6" s="114"/>
      <c r="D6" s="114"/>
      <c r="E6" s="114"/>
      <c r="F6" s="114"/>
      <c r="G6" s="31" t="s">
        <v>21</v>
      </c>
      <c r="H6" s="31" t="s">
        <v>21</v>
      </c>
      <c r="I6" s="31" t="s">
        <v>21</v>
      </c>
      <c r="J6" s="31" t="s">
        <v>22</v>
      </c>
      <c r="K6" s="31" t="s">
        <v>22</v>
      </c>
      <c r="L6" s="31" t="s">
        <v>22</v>
      </c>
      <c r="M6" s="114"/>
      <c r="N6" s="114"/>
      <c r="O6" s="114"/>
      <c r="P6" s="114"/>
      <c r="Q6" s="31" t="s">
        <v>21</v>
      </c>
      <c r="R6" s="31" t="s">
        <v>21</v>
      </c>
      <c r="S6" s="31" t="s">
        <v>21</v>
      </c>
      <c r="T6" s="31" t="s">
        <v>22</v>
      </c>
      <c r="U6" s="31" t="s">
        <v>22</v>
      </c>
      <c r="V6" s="31" t="s">
        <v>22</v>
      </c>
      <c r="W6" s="115"/>
      <c r="X6" s="3"/>
    </row>
    <row r="7" spans="1:24" ht="15.75" customHeight="1" x14ac:dyDescent="0.25">
      <c r="A7" s="5">
        <v>1</v>
      </c>
      <c r="B7" s="8" t="s">
        <v>162</v>
      </c>
      <c r="C7" s="13">
        <v>45738</v>
      </c>
      <c r="D7" s="20">
        <v>45820</v>
      </c>
      <c r="E7" s="21">
        <v>3</v>
      </c>
      <c r="F7" s="21">
        <v>0</v>
      </c>
      <c r="G7" s="21">
        <v>154</v>
      </c>
      <c r="H7" s="21">
        <v>170</v>
      </c>
      <c r="I7" s="21"/>
      <c r="J7" s="21">
        <v>156</v>
      </c>
      <c r="K7" s="21"/>
      <c r="L7" s="21"/>
      <c r="M7" s="21">
        <v>160</v>
      </c>
      <c r="N7" s="20">
        <v>45848</v>
      </c>
      <c r="O7" s="21">
        <v>3</v>
      </c>
      <c r="P7" s="21"/>
      <c r="Q7" s="21">
        <v>410</v>
      </c>
      <c r="R7" s="21">
        <v>384</v>
      </c>
      <c r="S7" s="21"/>
      <c r="T7" s="21">
        <v>360</v>
      </c>
      <c r="U7" s="21"/>
      <c r="V7" s="21"/>
      <c r="W7" s="22" t="s">
        <v>169</v>
      </c>
    </row>
    <row r="8" spans="1:24" ht="15" customHeight="1" x14ac:dyDescent="0.25">
      <c r="A8" s="6">
        <v>2</v>
      </c>
      <c r="B8" s="8" t="s">
        <v>162</v>
      </c>
      <c r="C8" s="13">
        <v>45851</v>
      </c>
      <c r="D8" s="20">
        <v>45935</v>
      </c>
      <c r="E8" s="21">
        <v>3</v>
      </c>
      <c r="F8" s="21">
        <v>0</v>
      </c>
      <c r="G8" s="21"/>
      <c r="H8" s="21"/>
      <c r="I8" s="21"/>
      <c r="J8" s="21">
        <v>116</v>
      </c>
      <c r="K8" s="21">
        <v>107</v>
      </c>
      <c r="L8" s="21">
        <v>105</v>
      </c>
      <c r="M8" s="80">
        <f>AVERAGE(G8:L8)</f>
        <v>109.33333333333333</v>
      </c>
      <c r="N8" s="21" t="s">
        <v>375</v>
      </c>
      <c r="O8" s="21">
        <v>2</v>
      </c>
      <c r="P8" s="21">
        <v>1</v>
      </c>
      <c r="Q8" s="21"/>
      <c r="R8" s="21"/>
      <c r="S8" s="21"/>
      <c r="T8" s="21">
        <v>255</v>
      </c>
      <c r="U8" s="21">
        <v>246</v>
      </c>
      <c r="V8" s="21"/>
      <c r="W8" s="68">
        <f>AVERAGE(Q8:V8)</f>
        <v>250.5</v>
      </c>
    </row>
    <row r="9" spans="1:24" ht="16.5" customHeight="1" x14ac:dyDescent="0.25">
      <c r="A9" s="6">
        <v>3</v>
      </c>
      <c r="B9" s="8" t="s">
        <v>159</v>
      </c>
      <c r="C9" s="13">
        <v>45950</v>
      </c>
      <c r="D9" s="20">
        <v>46021</v>
      </c>
      <c r="E9" s="21">
        <v>2</v>
      </c>
      <c r="F9" s="21">
        <v>0</v>
      </c>
      <c r="G9" s="21">
        <v>115</v>
      </c>
      <c r="H9" s="21"/>
      <c r="I9" s="21"/>
      <c r="J9" s="21">
        <v>120</v>
      </c>
      <c r="K9" s="21"/>
      <c r="L9" s="21"/>
      <c r="M9" s="80">
        <f>AVERAGE(G9:L9)</f>
        <v>117.5</v>
      </c>
      <c r="N9" s="20">
        <v>46039</v>
      </c>
      <c r="O9" s="21">
        <v>2</v>
      </c>
      <c r="P9" s="21">
        <v>0</v>
      </c>
      <c r="Q9" s="21">
        <v>360</v>
      </c>
      <c r="R9" s="21"/>
      <c r="S9" s="21"/>
      <c r="T9" s="21">
        <v>342</v>
      </c>
      <c r="U9" s="21"/>
      <c r="V9" s="21"/>
      <c r="W9" s="22">
        <f>AVERAGE(Q9:V9)</f>
        <v>351</v>
      </c>
    </row>
    <row r="10" spans="1:24" ht="15" customHeight="1" x14ac:dyDescent="0.25">
      <c r="A10" s="5">
        <v>4</v>
      </c>
      <c r="B10" s="8" t="s">
        <v>159</v>
      </c>
      <c r="C10" s="13">
        <v>46070</v>
      </c>
      <c r="D10" s="20">
        <v>46096</v>
      </c>
      <c r="E10" s="21">
        <v>3</v>
      </c>
      <c r="F10" s="21">
        <v>0</v>
      </c>
      <c r="G10" s="21">
        <v>128</v>
      </c>
      <c r="H10" s="21">
        <v>117</v>
      </c>
      <c r="I10" s="21"/>
      <c r="J10" s="21">
        <v>115</v>
      </c>
      <c r="K10" s="21"/>
      <c r="L10" s="21"/>
      <c r="M10" s="80">
        <f>AVERAGE(G10:L10)</f>
        <v>120</v>
      </c>
      <c r="N10" s="20">
        <v>46176</v>
      </c>
      <c r="O10" s="21">
        <v>3</v>
      </c>
      <c r="P10" s="21">
        <v>0</v>
      </c>
      <c r="Q10" s="21">
        <v>300</v>
      </c>
      <c r="R10" s="21">
        <v>240</v>
      </c>
      <c r="S10" s="21"/>
      <c r="T10" s="21">
        <v>228</v>
      </c>
      <c r="U10" s="21"/>
      <c r="V10" s="21"/>
      <c r="W10" s="22">
        <f>AVERAGE(Q10:V10)</f>
        <v>256</v>
      </c>
    </row>
    <row r="11" spans="1:24" ht="16.5" customHeight="1" x14ac:dyDescent="0.25">
      <c r="A11" s="5">
        <v>5</v>
      </c>
      <c r="B11" s="8" t="s">
        <v>145</v>
      </c>
      <c r="C11" s="13">
        <v>46181</v>
      </c>
      <c r="D11" s="21"/>
      <c r="E11" s="21"/>
      <c r="F11" s="21"/>
      <c r="G11" s="21"/>
      <c r="H11" s="21"/>
      <c r="I11" s="21"/>
      <c r="J11" s="21"/>
      <c r="K11" s="21"/>
      <c r="L11" s="21"/>
      <c r="M11" s="41"/>
      <c r="N11" s="21"/>
      <c r="O11" s="21"/>
      <c r="P11" s="21"/>
      <c r="Q11" s="21"/>
      <c r="R11" s="21"/>
      <c r="S11" s="21"/>
      <c r="T11" s="21"/>
      <c r="U11" s="21"/>
      <c r="V11" s="21"/>
      <c r="W11" s="22"/>
    </row>
    <row r="12" spans="1:24" ht="16.5" customHeight="1" thickBot="1" x14ac:dyDescent="0.3">
      <c r="A12" s="7">
        <v>6</v>
      </c>
      <c r="B12" s="10"/>
      <c r="C12" s="10"/>
      <c r="D12" s="37"/>
      <c r="E12" s="37"/>
      <c r="F12" s="37"/>
      <c r="G12" s="37"/>
      <c r="H12" s="37"/>
      <c r="I12" s="37"/>
      <c r="J12" s="37"/>
      <c r="K12" s="37"/>
      <c r="L12" s="37"/>
      <c r="M12" s="42"/>
      <c r="N12" s="37"/>
      <c r="O12" s="37"/>
      <c r="P12" s="37"/>
      <c r="Q12" s="37"/>
      <c r="R12" s="37"/>
      <c r="S12" s="37"/>
      <c r="T12" s="37"/>
      <c r="U12" s="37"/>
      <c r="V12" s="37"/>
      <c r="W12" s="39"/>
    </row>
    <row r="13" spans="1:24" ht="20.100000000000001" customHeight="1" x14ac:dyDescent="0.25"/>
    <row r="14" spans="1:24" ht="20.100000000000001" customHeight="1" thickBot="1" x14ac:dyDescent="0.3"/>
    <row r="15" spans="1:24" ht="20.100000000000001" customHeight="1" x14ac:dyDescent="0.25">
      <c r="A15" s="100" t="s">
        <v>2</v>
      </c>
      <c r="B15" s="101"/>
      <c r="C15" s="178" t="s">
        <v>171</v>
      </c>
      <c r="D15" s="179"/>
      <c r="E15" s="111" t="s">
        <v>394</v>
      </c>
      <c r="F15" s="112"/>
      <c r="G15" s="101" t="s">
        <v>4</v>
      </c>
      <c r="H15" s="101"/>
      <c r="I15" s="102" t="s">
        <v>139</v>
      </c>
      <c r="J15" s="102"/>
      <c r="K15" s="102"/>
      <c r="L15" s="102"/>
      <c r="M15" s="102"/>
      <c r="N15" s="102"/>
      <c r="O15" s="101" t="s">
        <v>6</v>
      </c>
      <c r="P15" s="101"/>
      <c r="Q15" s="103"/>
      <c r="R15" s="104"/>
      <c r="S15" s="104"/>
      <c r="T15" s="104"/>
      <c r="U15" s="104"/>
      <c r="V15" s="104"/>
      <c r="W15" s="105"/>
      <c r="X15" s="1"/>
    </row>
    <row r="16" spans="1:24" ht="20.100000000000001" customHeight="1" x14ac:dyDescent="0.25">
      <c r="A16" s="106" t="s">
        <v>7</v>
      </c>
      <c r="B16" s="107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7"/>
      <c r="R16" s="107"/>
      <c r="S16" s="107"/>
      <c r="T16" s="107"/>
      <c r="U16" s="107"/>
      <c r="V16" s="107"/>
      <c r="W16" s="110"/>
      <c r="X16" s="1"/>
    </row>
    <row r="17" spans="1:24" ht="24.95" customHeight="1" x14ac:dyDescent="0.25">
      <c r="A17" s="113" t="s">
        <v>8</v>
      </c>
      <c r="B17" s="114" t="s">
        <v>9</v>
      </c>
      <c r="C17" s="114" t="s">
        <v>10</v>
      </c>
      <c r="D17" s="114" t="s">
        <v>11</v>
      </c>
      <c r="E17" s="114" t="s">
        <v>12</v>
      </c>
      <c r="F17" s="114" t="s">
        <v>13</v>
      </c>
      <c r="G17" s="114" t="s">
        <v>14</v>
      </c>
      <c r="H17" s="114"/>
      <c r="I17" s="114"/>
      <c r="J17" s="114"/>
      <c r="K17" s="114"/>
      <c r="L17" s="114"/>
      <c r="M17" s="114" t="s">
        <v>15</v>
      </c>
      <c r="N17" s="114" t="s">
        <v>16</v>
      </c>
      <c r="O17" s="114" t="s">
        <v>17</v>
      </c>
      <c r="P17" s="114" t="s">
        <v>18</v>
      </c>
      <c r="Q17" s="114" t="s">
        <v>19</v>
      </c>
      <c r="R17" s="114"/>
      <c r="S17" s="114"/>
      <c r="T17" s="114"/>
      <c r="U17" s="114"/>
      <c r="V17" s="114"/>
      <c r="W17" s="115" t="s">
        <v>20</v>
      </c>
      <c r="X17" s="3"/>
    </row>
    <row r="18" spans="1:24" ht="24.95" customHeight="1" x14ac:dyDescent="0.25">
      <c r="A18" s="113"/>
      <c r="B18" s="114"/>
      <c r="C18" s="114"/>
      <c r="D18" s="114"/>
      <c r="E18" s="114"/>
      <c r="F18" s="114"/>
      <c r="G18" s="31" t="s">
        <v>21</v>
      </c>
      <c r="H18" s="31" t="s">
        <v>21</v>
      </c>
      <c r="I18" s="31" t="s">
        <v>21</v>
      </c>
      <c r="J18" s="31" t="s">
        <v>22</v>
      </c>
      <c r="K18" s="31" t="s">
        <v>22</v>
      </c>
      <c r="L18" s="31" t="s">
        <v>22</v>
      </c>
      <c r="M18" s="114"/>
      <c r="N18" s="114"/>
      <c r="O18" s="114"/>
      <c r="P18" s="114"/>
      <c r="Q18" s="31" t="s">
        <v>21</v>
      </c>
      <c r="R18" s="31" t="s">
        <v>21</v>
      </c>
      <c r="S18" s="31" t="s">
        <v>21</v>
      </c>
      <c r="T18" s="31" t="s">
        <v>22</v>
      </c>
      <c r="U18" s="31" t="s">
        <v>22</v>
      </c>
      <c r="V18" s="31" t="s">
        <v>22</v>
      </c>
      <c r="W18" s="115"/>
      <c r="X18" s="3"/>
    </row>
    <row r="19" spans="1:24" ht="15" customHeight="1" x14ac:dyDescent="0.25">
      <c r="A19" s="5">
        <v>1</v>
      </c>
      <c r="B19" s="8" t="s">
        <v>159</v>
      </c>
      <c r="C19" s="13">
        <v>45738</v>
      </c>
      <c r="D19" s="20">
        <v>45814</v>
      </c>
      <c r="E19" s="21">
        <v>2</v>
      </c>
      <c r="F19" s="21">
        <v>0</v>
      </c>
      <c r="G19" s="21">
        <v>178</v>
      </c>
      <c r="H19" s="21"/>
      <c r="I19" s="21"/>
      <c r="J19" s="21">
        <v>168</v>
      </c>
      <c r="K19" s="21"/>
      <c r="L19" s="21"/>
      <c r="M19" s="21">
        <f>AVERAGE(G19:L19)</f>
        <v>173</v>
      </c>
      <c r="N19" s="20">
        <v>45833</v>
      </c>
      <c r="O19" s="21">
        <v>2</v>
      </c>
      <c r="P19" s="21">
        <v>0</v>
      </c>
      <c r="Q19" s="21">
        <v>264</v>
      </c>
      <c r="R19" s="21"/>
      <c r="S19" s="21"/>
      <c r="T19" s="21">
        <v>250</v>
      </c>
      <c r="U19" s="21"/>
      <c r="V19" s="21"/>
      <c r="W19" s="22">
        <f>AVERAGE(Q19:V19)</f>
        <v>257</v>
      </c>
    </row>
    <row r="20" spans="1:24" ht="15.75" customHeight="1" x14ac:dyDescent="0.25">
      <c r="A20" s="6">
        <v>2</v>
      </c>
      <c r="B20" s="8" t="s">
        <v>159</v>
      </c>
      <c r="C20" s="13">
        <v>45851</v>
      </c>
      <c r="D20" s="20">
        <v>45922</v>
      </c>
      <c r="E20" s="21">
        <v>2</v>
      </c>
      <c r="F20" s="21">
        <v>0</v>
      </c>
      <c r="G20" s="21">
        <v>156</v>
      </c>
      <c r="H20" s="21"/>
      <c r="I20" s="21"/>
      <c r="J20" s="21">
        <v>157</v>
      </c>
      <c r="K20" s="21"/>
      <c r="L20" s="21"/>
      <c r="M20" s="21">
        <f>AVERAGE(G20:L20)</f>
        <v>156.5</v>
      </c>
      <c r="N20" s="20">
        <v>45944</v>
      </c>
      <c r="O20" s="21">
        <v>2</v>
      </c>
      <c r="P20" s="21">
        <v>0</v>
      </c>
      <c r="Q20" s="21">
        <v>301</v>
      </c>
      <c r="R20" s="21"/>
      <c r="S20" s="21"/>
      <c r="T20" s="21">
        <v>359</v>
      </c>
      <c r="U20" s="21"/>
      <c r="V20" s="21"/>
      <c r="W20" s="22">
        <f>AVERAGE(Q20:V20)</f>
        <v>330</v>
      </c>
    </row>
    <row r="21" spans="1:24" ht="15" customHeight="1" x14ac:dyDescent="0.25">
      <c r="A21" s="6">
        <v>3</v>
      </c>
      <c r="B21" s="8" t="s">
        <v>162</v>
      </c>
      <c r="C21" s="13">
        <v>45950</v>
      </c>
      <c r="D21" s="21" t="s">
        <v>428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4" ht="15" customHeight="1" x14ac:dyDescent="0.25">
      <c r="A22" s="5">
        <v>4</v>
      </c>
      <c r="B22" s="8" t="s">
        <v>212</v>
      </c>
      <c r="C22" s="13">
        <v>46039</v>
      </c>
      <c r="D22" s="20">
        <v>46112</v>
      </c>
      <c r="E22" s="21">
        <v>2</v>
      </c>
      <c r="F22" s="21">
        <v>0</v>
      </c>
      <c r="G22" s="21">
        <v>114</v>
      </c>
      <c r="H22" s="21"/>
      <c r="I22" s="21"/>
      <c r="J22" s="21">
        <v>132</v>
      </c>
      <c r="K22" s="21"/>
      <c r="L22" s="21"/>
      <c r="M22" s="21">
        <f>AVERAGE(G22:L22)</f>
        <v>123</v>
      </c>
      <c r="N22" s="20">
        <v>46133</v>
      </c>
      <c r="O22" s="21">
        <v>2</v>
      </c>
      <c r="P22" s="21">
        <v>0</v>
      </c>
      <c r="Q22" s="21">
        <v>252</v>
      </c>
      <c r="R22" s="21"/>
      <c r="S22" s="21"/>
      <c r="T22" s="21">
        <v>366</v>
      </c>
      <c r="U22" s="21"/>
      <c r="V22" s="21"/>
      <c r="W22" s="22">
        <f>AVERAGE(Q22:V22)</f>
        <v>309</v>
      </c>
    </row>
    <row r="23" spans="1:24" ht="15.75" customHeight="1" x14ac:dyDescent="0.25">
      <c r="A23" s="5">
        <v>5</v>
      </c>
      <c r="B23" s="8" t="s">
        <v>140</v>
      </c>
      <c r="C23" s="13">
        <v>46148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4" ht="18" customHeight="1" thickBot="1" x14ac:dyDescent="0.3">
      <c r="A24" s="7">
        <v>6</v>
      </c>
      <c r="B24" s="10"/>
      <c r="C24" s="10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9"/>
    </row>
    <row r="25" spans="1:24" ht="20.100000000000001" customHeight="1" x14ac:dyDescent="0.25"/>
    <row r="26" spans="1:24" ht="20.100000000000001" customHeight="1" thickBot="1" x14ac:dyDescent="0.3"/>
    <row r="27" spans="1:24" ht="20.100000000000001" customHeight="1" x14ac:dyDescent="0.25">
      <c r="A27" s="100" t="s">
        <v>2</v>
      </c>
      <c r="B27" s="101"/>
      <c r="C27" s="178" t="s">
        <v>172</v>
      </c>
      <c r="D27" s="179"/>
      <c r="E27" s="111" t="s">
        <v>394</v>
      </c>
      <c r="F27" s="112"/>
      <c r="G27" s="101" t="s">
        <v>4</v>
      </c>
      <c r="H27" s="101"/>
      <c r="I27" s="102" t="s">
        <v>139</v>
      </c>
      <c r="J27" s="102"/>
      <c r="K27" s="102"/>
      <c r="L27" s="102"/>
      <c r="M27" s="102"/>
      <c r="N27" s="102"/>
      <c r="O27" s="101" t="s">
        <v>6</v>
      </c>
      <c r="P27" s="101"/>
      <c r="Q27" s="103"/>
      <c r="R27" s="104"/>
      <c r="S27" s="104"/>
      <c r="T27" s="104"/>
      <c r="U27" s="104"/>
      <c r="V27" s="104"/>
      <c r="W27" s="105"/>
      <c r="X27" s="1"/>
    </row>
    <row r="28" spans="1:24" ht="20.100000000000001" customHeight="1" x14ac:dyDescent="0.25">
      <c r="A28" s="106" t="s">
        <v>7</v>
      </c>
      <c r="B28" s="107"/>
      <c r="C28" s="116" t="s">
        <v>44</v>
      </c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09"/>
      <c r="P28" s="109"/>
      <c r="Q28" s="107"/>
      <c r="R28" s="107"/>
      <c r="S28" s="107"/>
      <c r="T28" s="107"/>
      <c r="U28" s="107"/>
      <c r="V28" s="107"/>
      <c r="W28" s="110"/>
      <c r="X28" s="1"/>
    </row>
    <row r="29" spans="1:24" ht="24.95" customHeight="1" x14ac:dyDescent="0.25">
      <c r="A29" s="113" t="s">
        <v>8</v>
      </c>
      <c r="B29" s="114" t="s">
        <v>9</v>
      </c>
      <c r="C29" s="114" t="s">
        <v>10</v>
      </c>
      <c r="D29" s="114" t="s">
        <v>11</v>
      </c>
      <c r="E29" s="114" t="s">
        <v>12</v>
      </c>
      <c r="F29" s="114" t="s">
        <v>13</v>
      </c>
      <c r="G29" s="114" t="s">
        <v>14</v>
      </c>
      <c r="H29" s="114"/>
      <c r="I29" s="114"/>
      <c r="J29" s="114"/>
      <c r="K29" s="114"/>
      <c r="L29" s="114"/>
      <c r="M29" s="114" t="s">
        <v>15</v>
      </c>
      <c r="N29" s="114" t="s">
        <v>16</v>
      </c>
      <c r="O29" s="114" t="s">
        <v>17</v>
      </c>
      <c r="P29" s="114" t="s">
        <v>18</v>
      </c>
      <c r="Q29" s="114" t="s">
        <v>19</v>
      </c>
      <c r="R29" s="114"/>
      <c r="S29" s="114"/>
      <c r="T29" s="114"/>
      <c r="U29" s="114"/>
      <c r="V29" s="114"/>
      <c r="W29" s="115" t="s">
        <v>20</v>
      </c>
      <c r="X29" s="3"/>
    </row>
    <row r="30" spans="1:24" ht="24.95" customHeight="1" x14ac:dyDescent="0.25">
      <c r="A30" s="113"/>
      <c r="B30" s="114"/>
      <c r="C30" s="114"/>
      <c r="D30" s="114"/>
      <c r="E30" s="114"/>
      <c r="F30" s="114"/>
      <c r="G30" s="31" t="s">
        <v>21</v>
      </c>
      <c r="H30" s="31" t="s">
        <v>21</v>
      </c>
      <c r="I30" s="31" t="s">
        <v>21</v>
      </c>
      <c r="J30" s="31" t="s">
        <v>22</v>
      </c>
      <c r="K30" s="31" t="s">
        <v>22</v>
      </c>
      <c r="L30" s="31" t="s">
        <v>22</v>
      </c>
      <c r="M30" s="114"/>
      <c r="N30" s="114"/>
      <c r="O30" s="114"/>
      <c r="P30" s="114"/>
      <c r="Q30" s="31" t="s">
        <v>21</v>
      </c>
      <c r="R30" s="31" t="s">
        <v>21</v>
      </c>
      <c r="S30" s="31" t="s">
        <v>21</v>
      </c>
      <c r="T30" s="31" t="s">
        <v>22</v>
      </c>
      <c r="U30" s="31" t="s">
        <v>22</v>
      </c>
      <c r="V30" s="31" t="s">
        <v>22</v>
      </c>
      <c r="W30" s="115"/>
      <c r="X30" s="3"/>
    </row>
    <row r="31" spans="1:24" ht="16.5" customHeight="1" x14ac:dyDescent="0.25">
      <c r="A31" s="5">
        <v>1</v>
      </c>
      <c r="B31" s="21" t="s">
        <v>159</v>
      </c>
      <c r="C31" s="13">
        <v>45738</v>
      </c>
      <c r="D31" s="20">
        <v>45805</v>
      </c>
      <c r="E31" s="21">
        <v>3</v>
      </c>
      <c r="F31" s="21">
        <v>0</v>
      </c>
      <c r="G31" s="21">
        <v>120</v>
      </c>
      <c r="H31" s="21"/>
      <c r="I31" s="21"/>
      <c r="J31" s="21">
        <v>99</v>
      </c>
      <c r="K31" s="21">
        <v>121</v>
      </c>
      <c r="L31" s="21"/>
      <c r="M31" s="41">
        <f>AVERAGE(K31,J31,G31)</f>
        <v>113.33333333333333</v>
      </c>
      <c r="N31" s="20">
        <v>45833</v>
      </c>
      <c r="O31" s="21">
        <v>2</v>
      </c>
      <c r="P31" s="21">
        <v>0</v>
      </c>
      <c r="Q31" s="21">
        <v>280</v>
      </c>
      <c r="R31" s="21"/>
      <c r="S31" s="21"/>
      <c r="T31" s="21">
        <v>266</v>
      </c>
      <c r="U31" s="21">
        <v>313</v>
      </c>
      <c r="V31" s="21"/>
      <c r="W31" s="40">
        <f>AVERAGE(U31,T31,Q31)</f>
        <v>286.33333333333331</v>
      </c>
    </row>
    <row r="32" spans="1:24" ht="17.25" customHeight="1" x14ac:dyDescent="0.25">
      <c r="A32" s="6">
        <v>2</v>
      </c>
      <c r="B32" s="21" t="s">
        <v>159</v>
      </c>
      <c r="C32" s="13">
        <v>45851</v>
      </c>
      <c r="D32" s="20">
        <v>45923</v>
      </c>
      <c r="E32" s="21">
        <v>2</v>
      </c>
      <c r="F32" s="21">
        <v>0</v>
      </c>
      <c r="G32" s="21">
        <v>138</v>
      </c>
      <c r="H32" s="21"/>
      <c r="I32" s="21"/>
      <c r="J32" s="21">
        <v>181</v>
      </c>
      <c r="K32" s="21"/>
      <c r="L32" s="21"/>
      <c r="M32" s="41">
        <f>AVERAGE(G32:L32)</f>
        <v>159.5</v>
      </c>
      <c r="N32" s="20">
        <v>45944</v>
      </c>
      <c r="O32" s="21">
        <v>2</v>
      </c>
      <c r="P32" s="21">
        <v>0</v>
      </c>
      <c r="Q32" s="21">
        <v>337</v>
      </c>
      <c r="R32" s="21"/>
      <c r="S32" s="21"/>
      <c r="T32" s="21">
        <v>286</v>
      </c>
      <c r="U32" s="21"/>
      <c r="V32" s="21"/>
      <c r="W32" s="40">
        <f>AVERAGE(Q32:V32)</f>
        <v>311.5</v>
      </c>
    </row>
    <row r="33" spans="1:24" ht="16.5" customHeight="1" x14ac:dyDescent="0.25">
      <c r="A33" s="6">
        <v>3</v>
      </c>
      <c r="B33" s="21" t="s">
        <v>162</v>
      </c>
      <c r="C33" s="13">
        <v>45950</v>
      </c>
      <c r="D33" s="20">
        <v>46024</v>
      </c>
      <c r="E33" s="21">
        <v>3</v>
      </c>
      <c r="F33" s="21">
        <v>0</v>
      </c>
      <c r="G33" s="21"/>
      <c r="H33" s="21"/>
      <c r="I33" s="21"/>
      <c r="J33" s="21">
        <v>125</v>
      </c>
      <c r="K33" s="21">
        <v>131</v>
      </c>
      <c r="L33" s="21">
        <v>128</v>
      </c>
      <c r="M33" s="41">
        <f>AVERAGE(G33:L33)</f>
        <v>128</v>
      </c>
      <c r="N33" s="20">
        <v>46039</v>
      </c>
      <c r="O33" s="21">
        <v>3</v>
      </c>
      <c r="P33" s="21">
        <v>0</v>
      </c>
      <c r="Q33" s="21"/>
      <c r="R33" s="21"/>
      <c r="S33" s="21"/>
      <c r="T33" s="21">
        <v>235</v>
      </c>
      <c r="U33" s="21">
        <v>260</v>
      </c>
      <c r="V33" s="21">
        <v>243</v>
      </c>
      <c r="W33" s="40">
        <f>AVERAGE(Q33:V33)</f>
        <v>246</v>
      </c>
    </row>
    <row r="34" spans="1:24" ht="18" customHeight="1" x14ac:dyDescent="0.25">
      <c r="A34" s="5">
        <v>4</v>
      </c>
      <c r="B34" s="21" t="s">
        <v>212</v>
      </c>
      <c r="C34" s="13">
        <v>46039</v>
      </c>
      <c r="D34" s="21"/>
      <c r="E34" s="21"/>
      <c r="F34" s="21"/>
      <c r="G34" s="21"/>
      <c r="H34" s="21"/>
      <c r="I34" s="21"/>
      <c r="J34" s="21"/>
      <c r="K34" s="21"/>
      <c r="L34" s="21"/>
      <c r="M34" s="41"/>
      <c r="N34" s="21"/>
      <c r="O34" s="21"/>
      <c r="P34" s="21"/>
      <c r="Q34" s="21"/>
      <c r="R34" s="21"/>
      <c r="S34" s="21"/>
      <c r="T34" s="21"/>
      <c r="U34" s="21"/>
      <c r="V34" s="21"/>
      <c r="W34" s="40"/>
    </row>
    <row r="35" spans="1:24" ht="16.5" customHeight="1" x14ac:dyDescent="0.25">
      <c r="A35" s="5">
        <v>5</v>
      </c>
      <c r="B35" s="21"/>
      <c r="C35" s="8"/>
      <c r="D35" s="21"/>
      <c r="E35" s="21"/>
      <c r="F35" s="21"/>
      <c r="G35" s="21"/>
      <c r="H35" s="21"/>
      <c r="I35" s="21"/>
      <c r="J35" s="21"/>
      <c r="K35" s="21"/>
      <c r="L35" s="21"/>
      <c r="M35" s="41"/>
      <c r="N35" s="21"/>
      <c r="O35" s="21"/>
      <c r="P35" s="21"/>
      <c r="Q35" s="21"/>
      <c r="R35" s="21"/>
      <c r="S35" s="21"/>
      <c r="T35" s="21"/>
      <c r="U35" s="21"/>
      <c r="V35" s="21"/>
      <c r="W35" s="40"/>
    </row>
    <row r="36" spans="1:24" ht="15.75" customHeight="1" thickBot="1" x14ac:dyDescent="0.3">
      <c r="A36" s="7">
        <v>6</v>
      </c>
      <c r="B36" s="37"/>
      <c r="C36" s="10"/>
      <c r="D36" s="37"/>
      <c r="E36" s="37"/>
      <c r="F36" s="37"/>
      <c r="G36" s="37"/>
      <c r="H36" s="37"/>
      <c r="I36" s="37"/>
      <c r="J36" s="37"/>
      <c r="K36" s="37"/>
      <c r="L36" s="37"/>
      <c r="M36" s="42"/>
      <c r="N36" s="37"/>
      <c r="O36" s="37"/>
      <c r="P36" s="37"/>
      <c r="Q36" s="37"/>
      <c r="R36" s="37"/>
      <c r="S36" s="37"/>
      <c r="T36" s="37"/>
      <c r="U36" s="37"/>
      <c r="V36" s="37"/>
      <c r="W36" s="43"/>
    </row>
    <row r="37" spans="1:24" ht="20.100000000000001" customHeight="1" x14ac:dyDescent="0.25"/>
    <row r="38" spans="1:24" ht="20.100000000000001" customHeight="1" thickBot="1" x14ac:dyDescent="0.3"/>
    <row r="39" spans="1:24" ht="20.100000000000001" customHeight="1" x14ac:dyDescent="0.25">
      <c r="A39" s="100" t="s">
        <v>2</v>
      </c>
      <c r="B39" s="101"/>
      <c r="C39" s="184" t="s">
        <v>173</v>
      </c>
      <c r="D39" s="185"/>
      <c r="E39" s="111" t="s">
        <v>394</v>
      </c>
      <c r="F39" s="112"/>
      <c r="G39" s="101" t="s">
        <v>4</v>
      </c>
      <c r="H39" s="101"/>
      <c r="I39" s="102" t="s">
        <v>139</v>
      </c>
      <c r="J39" s="102"/>
      <c r="K39" s="102"/>
      <c r="L39" s="102"/>
      <c r="M39" s="102"/>
      <c r="N39" s="102"/>
      <c r="O39" s="101" t="s">
        <v>6</v>
      </c>
      <c r="P39" s="101"/>
      <c r="Q39" s="103"/>
      <c r="R39" s="104"/>
      <c r="S39" s="104"/>
      <c r="T39" s="104"/>
      <c r="U39" s="104"/>
      <c r="V39" s="104"/>
      <c r="W39" s="105"/>
      <c r="X39" s="1"/>
    </row>
    <row r="40" spans="1:24" ht="20.100000000000001" customHeight="1" x14ac:dyDescent="0.25">
      <c r="A40" s="106" t="s">
        <v>7</v>
      </c>
      <c r="B40" s="107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7"/>
      <c r="R40" s="107"/>
      <c r="S40" s="107"/>
      <c r="T40" s="107"/>
      <c r="U40" s="107"/>
      <c r="V40" s="107"/>
      <c r="W40" s="110"/>
      <c r="X40" s="1"/>
    </row>
    <row r="41" spans="1:24" ht="24.95" customHeight="1" x14ac:dyDescent="0.25">
      <c r="A41" s="113" t="s">
        <v>8</v>
      </c>
      <c r="B41" s="114" t="s">
        <v>9</v>
      </c>
      <c r="C41" s="114" t="s">
        <v>10</v>
      </c>
      <c r="D41" s="114" t="s">
        <v>11</v>
      </c>
      <c r="E41" s="114" t="s">
        <v>12</v>
      </c>
      <c r="F41" s="114" t="s">
        <v>13</v>
      </c>
      <c r="G41" s="114" t="s">
        <v>14</v>
      </c>
      <c r="H41" s="114"/>
      <c r="I41" s="114"/>
      <c r="J41" s="114"/>
      <c r="K41" s="114"/>
      <c r="L41" s="114"/>
      <c r="M41" s="114" t="s">
        <v>15</v>
      </c>
      <c r="N41" s="114" t="s">
        <v>16</v>
      </c>
      <c r="O41" s="114" t="s">
        <v>17</v>
      </c>
      <c r="P41" s="114" t="s">
        <v>18</v>
      </c>
      <c r="Q41" s="114" t="s">
        <v>19</v>
      </c>
      <c r="R41" s="114"/>
      <c r="S41" s="114"/>
      <c r="T41" s="114"/>
      <c r="U41" s="114"/>
      <c r="V41" s="114"/>
      <c r="W41" s="115" t="s">
        <v>20</v>
      </c>
      <c r="X41" s="3"/>
    </row>
    <row r="42" spans="1:24" ht="24.95" customHeight="1" x14ac:dyDescent="0.25">
      <c r="A42" s="113"/>
      <c r="B42" s="114"/>
      <c r="C42" s="114"/>
      <c r="D42" s="114"/>
      <c r="E42" s="114"/>
      <c r="F42" s="114"/>
      <c r="G42" s="31" t="s">
        <v>21</v>
      </c>
      <c r="H42" s="31" t="s">
        <v>21</v>
      </c>
      <c r="I42" s="31" t="s">
        <v>21</v>
      </c>
      <c r="J42" s="31" t="s">
        <v>22</v>
      </c>
      <c r="K42" s="31" t="s">
        <v>22</v>
      </c>
      <c r="L42" s="31" t="s">
        <v>22</v>
      </c>
      <c r="M42" s="114"/>
      <c r="N42" s="114"/>
      <c r="O42" s="114"/>
      <c r="P42" s="114"/>
      <c r="Q42" s="31" t="s">
        <v>21</v>
      </c>
      <c r="R42" s="31" t="s">
        <v>21</v>
      </c>
      <c r="S42" s="31" t="s">
        <v>21</v>
      </c>
      <c r="T42" s="31" t="s">
        <v>22</v>
      </c>
      <c r="U42" s="31" t="s">
        <v>22</v>
      </c>
      <c r="V42" s="31" t="s">
        <v>22</v>
      </c>
      <c r="W42" s="115"/>
      <c r="X42" s="3"/>
    </row>
    <row r="43" spans="1:24" ht="16.5" customHeight="1" x14ac:dyDescent="0.25">
      <c r="A43" s="5">
        <v>1</v>
      </c>
      <c r="B43" s="21" t="s">
        <v>159</v>
      </c>
      <c r="C43" s="13">
        <v>45738</v>
      </c>
      <c r="D43" s="20">
        <v>45811</v>
      </c>
      <c r="E43" s="21">
        <v>2</v>
      </c>
      <c r="F43" s="21">
        <v>0</v>
      </c>
      <c r="G43" s="21">
        <v>142</v>
      </c>
      <c r="H43" s="21"/>
      <c r="I43" s="21"/>
      <c r="J43" s="21">
        <v>151</v>
      </c>
      <c r="K43" s="21"/>
      <c r="L43" s="21"/>
      <c r="M43" s="21">
        <f>AVERAGE(G43,J43)</f>
        <v>146.5</v>
      </c>
      <c r="N43" s="20">
        <v>45833</v>
      </c>
      <c r="O43" s="21">
        <v>2</v>
      </c>
      <c r="P43" s="21">
        <v>0</v>
      </c>
      <c r="Q43" s="21">
        <v>267</v>
      </c>
      <c r="R43" s="21"/>
      <c r="S43" s="21"/>
      <c r="T43" s="21">
        <v>271</v>
      </c>
      <c r="U43" s="21"/>
      <c r="V43" s="21"/>
      <c r="W43" s="22">
        <f>AVERAGE(Q43,T43)</f>
        <v>269</v>
      </c>
    </row>
    <row r="44" spans="1:24" ht="15.75" customHeight="1" x14ac:dyDescent="0.25">
      <c r="A44" s="6">
        <v>2</v>
      </c>
      <c r="B44" s="21" t="s">
        <v>159</v>
      </c>
      <c r="C44" s="13">
        <v>45851</v>
      </c>
      <c r="D44" s="20">
        <v>45923</v>
      </c>
      <c r="E44" s="21">
        <v>2</v>
      </c>
      <c r="F44" s="21">
        <v>2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2"/>
    </row>
    <row r="45" spans="1:24" ht="15.75" customHeight="1" x14ac:dyDescent="0.25">
      <c r="A45" s="6">
        <v>3</v>
      </c>
      <c r="B45" s="21" t="s">
        <v>162</v>
      </c>
      <c r="C45" s="13">
        <v>45950</v>
      </c>
      <c r="D45" s="20">
        <v>46027</v>
      </c>
      <c r="E45" s="21">
        <v>4</v>
      </c>
      <c r="F45" s="21">
        <v>0</v>
      </c>
      <c r="G45" s="21">
        <v>100</v>
      </c>
      <c r="H45" s="21">
        <v>95</v>
      </c>
      <c r="I45" s="21">
        <v>105</v>
      </c>
      <c r="J45" s="21">
        <v>98</v>
      </c>
      <c r="K45" s="21"/>
      <c r="L45" s="21"/>
      <c r="M45" s="21">
        <f>AVERAGE(G45:L45)</f>
        <v>99.5</v>
      </c>
      <c r="N45" s="20">
        <v>46039</v>
      </c>
      <c r="O45" s="21">
        <v>4</v>
      </c>
      <c r="P45" s="21">
        <v>0</v>
      </c>
      <c r="Q45" s="21">
        <v>176</v>
      </c>
      <c r="R45" s="21">
        <v>150</v>
      </c>
      <c r="S45" s="21">
        <v>135</v>
      </c>
      <c r="T45" s="21">
        <v>149</v>
      </c>
      <c r="U45" s="21"/>
      <c r="V45" s="21"/>
      <c r="W45" s="22">
        <f>AVERAGE(Q45:V45)</f>
        <v>152.5</v>
      </c>
    </row>
    <row r="46" spans="1:24" ht="15.75" customHeight="1" x14ac:dyDescent="0.25">
      <c r="A46" s="5">
        <v>4</v>
      </c>
      <c r="B46" s="21" t="s">
        <v>212</v>
      </c>
      <c r="C46" s="13">
        <v>46039</v>
      </c>
      <c r="D46" s="20">
        <v>46111</v>
      </c>
      <c r="E46" s="21">
        <v>3</v>
      </c>
      <c r="F46" s="21">
        <v>0</v>
      </c>
      <c r="G46" s="21">
        <v>140</v>
      </c>
      <c r="H46" s="21">
        <v>111</v>
      </c>
      <c r="I46" s="21"/>
      <c r="J46" s="21">
        <v>128</v>
      </c>
      <c r="K46" s="21"/>
      <c r="L46" s="21"/>
      <c r="M46" s="41">
        <f>AVERAGE(G46:L46)</f>
        <v>126.33333333333333</v>
      </c>
      <c r="N46" s="20">
        <v>46133</v>
      </c>
      <c r="O46" s="21">
        <v>3</v>
      </c>
      <c r="P46" s="21">
        <v>0</v>
      </c>
      <c r="Q46" s="21">
        <v>204</v>
      </c>
      <c r="R46" s="21">
        <v>317</v>
      </c>
      <c r="S46" s="21"/>
      <c r="T46" s="21">
        <v>320</v>
      </c>
      <c r="U46" s="21"/>
      <c r="V46" s="21"/>
      <c r="W46" s="40">
        <f>AVERAGE(Q46:V46)</f>
        <v>280.33333333333331</v>
      </c>
    </row>
    <row r="47" spans="1:24" ht="14.25" customHeight="1" x14ac:dyDescent="0.25">
      <c r="A47" s="5">
        <v>5</v>
      </c>
      <c r="B47" s="21" t="s">
        <v>140</v>
      </c>
      <c r="C47" s="13">
        <v>46148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</row>
    <row r="48" spans="1:24" ht="14.25" customHeight="1" thickBot="1" x14ac:dyDescent="0.3">
      <c r="A48" s="7">
        <v>6</v>
      </c>
      <c r="B48" s="37"/>
      <c r="C48" s="10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9"/>
    </row>
    <row r="49" spans="1:24" ht="20.100000000000001" customHeight="1" x14ac:dyDescent="0.25"/>
    <row r="50" spans="1:24" ht="20.100000000000001" customHeight="1" thickBot="1" x14ac:dyDescent="0.3"/>
    <row r="51" spans="1:24" ht="20.100000000000001" customHeight="1" x14ac:dyDescent="0.25">
      <c r="A51" s="100" t="s">
        <v>2</v>
      </c>
      <c r="B51" s="101"/>
      <c r="C51" s="184" t="s">
        <v>174</v>
      </c>
      <c r="D51" s="185"/>
      <c r="E51" s="111" t="s">
        <v>396</v>
      </c>
      <c r="F51" s="112"/>
      <c r="G51" s="101" t="s">
        <v>4</v>
      </c>
      <c r="H51" s="101"/>
      <c r="I51" s="102" t="s">
        <v>139</v>
      </c>
      <c r="J51" s="102"/>
      <c r="K51" s="102"/>
      <c r="L51" s="102"/>
      <c r="M51" s="102"/>
      <c r="N51" s="102"/>
      <c r="O51" s="101" t="s">
        <v>6</v>
      </c>
      <c r="P51" s="101"/>
      <c r="Q51" s="103"/>
      <c r="R51" s="104"/>
      <c r="S51" s="104"/>
      <c r="T51" s="104"/>
      <c r="U51" s="104"/>
      <c r="V51" s="104"/>
      <c r="W51" s="105"/>
      <c r="X51" s="1"/>
    </row>
    <row r="52" spans="1:24" ht="20.100000000000001" customHeight="1" x14ac:dyDescent="0.25">
      <c r="A52" s="106" t="s">
        <v>7</v>
      </c>
      <c r="B52" s="107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7"/>
      <c r="R52" s="107"/>
      <c r="S52" s="107"/>
      <c r="T52" s="107"/>
      <c r="U52" s="107"/>
      <c r="V52" s="107"/>
      <c r="W52" s="110"/>
      <c r="X52" s="1"/>
    </row>
    <row r="53" spans="1:24" ht="24.95" customHeight="1" x14ac:dyDescent="0.25">
      <c r="A53" s="113" t="s">
        <v>8</v>
      </c>
      <c r="B53" s="114" t="s">
        <v>9</v>
      </c>
      <c r="C53" s="114" t="s">
        <v>10</v>
      </c>
      <c r="D53" s="114" t="s">
        <v>11</v>
      </c>
      <c r="E53" s="114" t="s">
        <v>12</v>
      </c>
      <c r="F53" s="114" t="s">
        <v>13</v>
      </c>
      <c r="G53" s="114" t="s">
        <v>14</v>
      </c>
      <c r="H53" s="114"/>
      <c r="I53" s="114"/>
      <c r="J53" s="114"/>
      <c r="K53" s="114"/>
      <c r="L53" s="114"/>
      <c r="M53" s="114" t="s">
        <v>15</v>
      </c>
      <c r="N53" s="114" t="s">
        <v>16</v>
      </c>
      <c r="O53" s="114" t="s">
        <v>17</v>
      </c>
      <c r="P53" s="114" t="s">
        <v>18</v>
      </c>
      <c r="Q53" s="114" t="s">
        <v>19</v>
      </c>
      <c r="R53" s="114"/>
      <c r="S53" s="114"/>
      <c r="T53" s="114"/>
      <c r="U53" s="114"/>
      <c r="V53" s="114"/>
      <c r="W53" s="115" t="s">
        <v>20</v>
      </c>
      <c r="X53" s="3"/>
    </row>
    <row r="54" spans="1:24" ht="24.95" customHeight="1" x14ac:dyDescent="0.25">
      <c r="A54" s="113"/>
      <c r="B54" s="114"/>
      <c r="C54" s="114"/>
      <c r="D54" s="114"/>
      <c r="E54" s="114"/>
      <c r="F54" s="114"/>
      <c r="G54" s="31" t="s">
        <v>21</v>
      </c>
      <c r="H54" s="31" t="s">
        <v>21</v>
      </c>
      <c r="I54" s="31" t="s">
        <v>21</v>
      </c>
      <c r="J54" s="31" t="s">
        <v>22</v>
      </c>
      <c r="K54" s="31" t="s">
        <v>22</v>
      </c>
      <c r="L54" s="31" t="s">
        <v>22</v>
      </c>
      <c r="M54" s="114"/>
      <c r="N54" s="114"/>
      <c r="O54" s="114"/>
      <c r="P54" s="114"/>
      <c r="Q54" s="31" t="s">
        <v>21</v>
      </c>
      <c r="R54" s="31" t="s">
        <v>21</v>
      </c>
      <c r="S54" s="31" t="s">
        <v>21</v>
      </c>
      <c r="T54" s="31" t="s">
        <v>22</v>
      </c>
      <c r="U54" s="31" t="s">
        <v>22</v>
      </c>
      <c r="V54" s="31" t="s">
        <v>22</v>
      </c>
      <c r="W54" s="115"/>
      <c r="X54" s="3"/>
    </row>
    <row r="55" spans="1:24" ht="15" customHeight="1" x14ac:dyDescent="0.25">
      <c r="A55" s="5">
        <v>1</v>
      </c>
      <c r="B55" s="21" t="s">
        <v>175</v>
      </c>
      <c r="C55" s="13">
        <v>45770</v>
      </c>
      <c r="D55" s="20">
        <v>45837</v>
      </c>
      <c r="E55" s="21">
        <v>2</v>
      </c>
      <c r="F55" s="21">
        <v>0</v>
      </c>
      <c r="G55" s="21">
        <v>141</v>
      </c>
      <c r="H55" s="21"/>
      <c r="I55" s="21"/>
      <c r="J55" s="21">
        <v>150</v>
      </c>
      <c r="K55" s="21"/>
      <c r="L55" s="21"/>
      <c r="M55" s="21">
        <f>AVERAGE(G55:L55)</f>
        <v>145.5</v>
      </c>
      <c r="N55" s="20">
        <v>45869</v>
      </c>
      <c r="O55" s="21">
        <v>2</v>
      </c>
      <c r="P55" s="21">
        <v>0</v>
      </c>
      <c r="Q55" s="21">
        <v>184</v>
      </c>
      <c r="R55" s="21"/>
      <c r="S55" s="21"/>
      <c r="T55" s="21">
        <v>209</v>
      </c>
      <c r="U55" s="21"/>
      <c r="V55" s="21"/>
      <c r="W55" s="22">
        <f>AVERAGE(Q55:V55)</f>
        <v>196.5</v>
      </c>
    </row>
    <row r="56" spans="1:24" ht="15.75" customHeight="1" x14ac:dyDescent="0.25">
      <c r="A56" s="6">
        <v>2</v>
      </c>
      <c r="B56" s="21" t="s">
        <v>159</v>
      </c>
      <c r="C56" s="13">
        <v>45884</v>
      </c>
      <c r="D56" s="20">
        <v>45955</v>
      </c>
      <c r="E56" s="21">
        <v>4</v>
      </c>
      <c r="F56" s="21">
        <v>0</v>
      </c>
      <c r="G56" s="21">
        <v>100</v>
      </c>
      <c r="H56" s="21">
        <v>72</v>
      </c>
      <c r="I56" s="21">
        <v>103</v>
      </c>
      <c r="J56" s="21">
        <v>87</v>
      </c>
      <c r="K56" s="21"/>
      <c r="L56" s="21"/>
      <c r="M56" s="21">
        <f>AVERAGE(G56:L56)</f>
        <v>90.5</v>
      </c>
      <c r="N56" s="20">
        <v>45973</v>
      </c>
      <c r="O56" s="21">
        <v>4</v>
      </c>
      <c r="P56" s="21">
        <v>0</v>
      </c>
      <c r="Q56" s="21">
        <v>182</v>
      </c>
      <c r="R56" s="21">
        <v>177</v>
      </c>
      <c r="S56" s="21">
        <v>201</v>
      </c>
      <c r="T56" s="21">
        <v>167</v>
      </c>
      <c r="U56" s="21"/>
      <c r="V56" s="21"/>
      <c r="W56" s="40">
        <f>AVERAGE(Q56:V56)</f>
        <v>181.75</v>
      </c>
    </row>
    <row r="57" spans="1:24" ht="16.5" customHeight="1" x14ac:dyDescent="0.25">
      <c r="A57" s="6">
        <v>3</v>
      </c>
      <c r="B57" s="21" t="s">
        <v>162</v>
      </c>
      <c r="C57" s="13">
        <v>46039</v>
      </c>
      <c r="D57" s="20">
        <v>46111</v>
      </c>
      <c r="E57" s="21">
        <v>3</v>
      </c>
      <c r="F57" s="21">
        <v>0</v>
      </c>
      <c r="G57" s="21">
        <v>119</v>
      </c>
      <c r="H57" s="21"/>
      <c r="I57" s="21"/>
      <c r="J57" s="21">
        <v>94</v>
      </c>
      <c r="K57" s="21">
        <v>107</v>
      </c>
      <c r="L57" s="21"/>
      <c r="M57" s="41">
        <f>AVERAGE(G57:L57)</f>
        <v>106.66666666666667</v>
      </c>
      <c r="N57" s="20">
        <v>46133</v>
      </c>
      <c r="O57" s="21">
        <v>3</v>
      </c>
      <c r="P57" s="21">
        <v>0</v>
      </c>
      <c r="Q57" s="21">
        <v>190</v>
      </c>
      <c r="R57" s="21"/>
      <c r="S57" s="21"/>
      <c r="T57" s="21">
        <v>180</v>
      </c>
      <c r="U57" s="21">
        <v>195</v>
      </c>
      <c r="V57" s="21"/>
      <c r="W57" s="40">
        <f>AVERAGE(Q57:V57)</f>
        <v>188.33333333333334</v>
      </c>
    </row>
    <row r="58" spans="1:24" ht="16.5" customHeight="1" x14ac:dyDescent="0.25">
      <c r="A58" s="5">
        <v>4</v>
      </c>
      <c r="B58" s="21" t="s">
        <v>162</v>
      </c>
      <c r="C58" s="13">
        <v>46148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2"/>
    </row>
    <row r="59" spans="1:24" ht="16.5" customHeight="1" x14ac:dyDescent="0.25">
      <c r="A59" s="5">
        <v>5</v>
      </c>
      <c r="B59" s="21"/>
      <c r="C59" s="8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2"/>
    </row>
    <row r="60" spans="1:24" ht="16.5" customHeight="1" thickBot="1" x14ac:dyDescent="0.3">
      <c r="A60" s="7">
        <v>6</v>
      </c>
      <c r="B60" s="37"/>
      <c r="C60" s="10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9"/>
    </row>
    <row r="61" spans="1:24" ht="20.100000000000001" customHeight="1" x14ac:dyDescent="0.25"/>
    <row r="62" spans="1:24" ht="20.100000000000001" customHeight="1" thickBot="1" x14ac:dyDescent="0.3"/>
    <row r="63" spans="1:24" ht="20.100000000000001" customHeight="1" x14ac:dyDescent="0.25">
      <c r="A63" s="100" t="s">
        <v>2</v>
      </c>
      <c r="B63" s="101"/>
      <c r="C63" s="178" t="s">
        <v>176</v>
      </c>
      <c r="D63" s="179"/>
      <c r="E63" s="111" t="s">
        <v>394</v>
      </c>
      <c r="F63" s="112"/>
      <c r="G63" s="101" t="s">
        <v>4</v>
      </c>
      <c r="H63" s="101"/>
      <c r="I63" s="102" t="s">
        <v>139</v>
      </c>
      <c r="J63" s="102"/>
      <c r="K63" s="102"/>
      <c r="L63" s="102"/>
      <c r="M63" s="102"/>
      <c r="N63" s="102"/>
      <c r="O63" s="101" t="s">
        <v>6</v>
      </c>
      <c r="P63" s="101"/>
      <c r="Q63" s="103"/>
      <c r="R63" s="104"/>
      <c r="S63" s="104"/>
      <c r="T63" s="104"/>
      <c r="U63" s="104"/>
      <c r="V63" s="104"/>
      <c r="W63" s="105"/>
      <c r="X63" s="1"/>
    </row>
    <row r="64" spans="1:24" ht="20.100000000000001" customHeight="1" x14ac:dyDescent="0.25">
      <c r="A64" s="106" t="s">
        <v>7</v>
      </c>
      <c r="B64" s="107"/>
      <c r="C64" s="116" t="s">
        <v>44</v>
      </c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09"/>
      <c r="P64" s="109"/>
      <c r="Q64" s="107"/>
      <c r="R64" s="107"/>
      <c r="S64" s="107"/>
      <c r="T64" s="107"/>
      <c r="U64" s="107"/>
      <c r="V64" s="107"/>
      <c r="W64" s="110"/>
      <c r="X64" s="1"/>
    </row>
    <row r="65" spans="1:24" ht="24.95" customHeight="1" x14ac:dyDescent="0.25">
      <c r="A65" s="113" t="s">
        <v>8</v>
      </c>
      <c r="B65" s="114" t="s">
        <v>9</v>
      </c>
      <c r="C65" s="114" t="s">
        <v>10</v>
      </c>
      <c r="D65" s="114" t="s">
        <v>11</v>
      </c>
      <c r="E65" s="114" t="s">
        <v>12</v>
      </c>
      <c r="F65" s="114" t="s">
        <v>13</v>
      </c>
      <c r="G65" s="114" t="s">
        <v>14</v>
      </c>
      <c r="H65" s="114"/>
      <c r="I65" s="114"/>
      <c r="J65" s="114"/>
      <c r="K65" s="114"/>
      <c r="L65" s="114"/>
      <c r="M65" s="114" t="s">
        <v>15</v>
      </c>
      <c r="N65" s="114" t="s">
        <v>16</v>
      </c>
      <c r="O65" s="114" t="s">
        <v>17</v>
      </c>
      <c r="P65" s="114" t="s">
        <v>18</v>
      </c>
      <c r="Q65" s="114" t="s">
        <v>19</v>
      </c>
      <c r="R65" s="114"/>
      <c r="S65" s="114"/>
      <c r="T65" s="114"/>
      <c r="U65" s="114"/>
      <c r="V65" s="114"/>
      <c r="W65" s="115" t="s">
        <v>20</v>
      </c>
      <c r="X65" s="3"/>
    </row>
    <row r="66" spans="1:24" ht="24.95" customHeight="1" x14ac:dyDescent="0.25">
      <c r="A66" s="113"/>
      <c r="B66" s="114"/>
      <c r="C66" s="114"/>
      <c r="D66" s="114"/>
      <c r="E66" s="114"/>
      <c r="F66" s="114"/>
      <c r="G66" s="31" t="s">
        <v>21</v>
      </c>
      <c r="H66" s="31" t="s">
        <v>21</v>
      </c>
      <c r="I66" s="31" t="s">
        <v>21</v>
      </c>
      <c r="J66" s="31" t="s">
        <v>22</v>
      </c>
      <c r="K66" s="31" t="s">
        <v>22</v>
      </c>
      <c r="L66" s="31" t="s">
        <v>22</v>
      </c>
      <c r="M66" s="114"/>
      <c r="N66" s="114"/>
      <c r="O66" s="114"/>
      <c r="P66" s="114"/>
      <c r="Q66" s="31" t="s">
        <v>21</v>
      </c>
      <c r="R66" s="31" t="s">
        <v>21</v>
      </c>
      <c r="S66" s="31" t="s">
        <v>21</v>
      </c>
      <c r="T66" s="31" t="s">
        <v>22</v>
      </c>
      <c r="U66" s="31" t="s">
        <v>22</v>
      </c>
      <c r="V66" s="31" t="s">
        <v>22</v>
      </c>
      <c r="W66" s="115"/>
      <c r="X66" s="3"/>
    </row>
    <row r="67" spans="1:24" ht="15" customHeight="1" x14ac:dyDescent="0.25">
      <c r="A67" s="5">
        <v>1</v>
      </c>
      <c r="B67" s="21" t="s">
        <v>159</v>
      </c>
      <c r="C67" s="13">
        <v>45738</v>
      </c>
      <c r="D67" s="13">
        <v>45837</v>
      </c>
      <c r="E67" s="8">
        <v>2</v>
      </c>
      <c r="F67" s="8">
        <v>0</v>
      </c>
      <c r="G67" s="8">
        <v>141</v>
      </c>
      <c r="H67" s="8"/>
      <c r="I67" s="8"/>
      <c r="J67" s="8">
        <v>150</v>
      </c>
      <c r="K67" s="8"/>
      <c r="L67" s="8"/>
      <c r="M67" s="13"/>
      <c r="N67" s="13">
        <v>45869</v>
      </c>
      <c r="O67" s="8">
        <v>2</v>
      </c>
      <c r="P67" s="8">
        <v>0</v>
      </c>
      <c r="Q67" s="8">
        <v>189</v>
      </c>
      <c r="R67" s="8"/>
      <c r="S67" s="8"/>
      <c r="T67" s="8">
        <v>209</v>
      </c>
      <c r="U67" s="8"/>
      <c r="V67" s="8"/>
      <c r="W67" s="9"/>
    </row>
    <row r="68" spans="1:24" ht="15" customHeight="1" x14ac:dyDescent="0.25">
      <c r="A68" s="6">
        <v>2</v>
      </c>
      <c r="B68" s="21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</row>
    <row r="69" spans="1:24" ht="16.5" customHeight="1" x14ac:dyDescent="0.25">
      <c r="A69" s="6">
        <v>3</v>
      </c>
      <c r="B69" s="21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</row>
    <row r="70" spans="1:24" ht="15.75" customHeight="1" x14ac:dyDescent="0.25">
      <c r="A70" s="5">
        <v>4</v>
      </c>
      <c r="B70" s="21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</row>
    <row r="71" spans="1:24" ht="15.75" customHeight="1" x14ac:dyDescent="0.25">
      <c r="A71" s="5">
        <v>5</v>
      </c>
      <c r="B71" s="21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</row>
    <row r="72" spans="1:24" ht="13.5" customHeight="1" thickBot="1" x14ac:dyDescent="0.3">
      <c r="A72" s="7">
        <v>6</v>
      </c>
      <c r="B72" s="37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4" ht="20.100000000000001" customHeight="1" x14ac:dyDescent="0.25"/>
    <row r="74" spans="1:24" ht="20.100000000000001" customHeight="1" thickBot="1" x14ac:dyDescent="0.3"/>
    <row r="75" spans="1:24" ht="20.100000000000001" customHeight="1" x14ac:dyDescent="0.25">
      <c r="A75" s="100" t="s">
        <v>2</v>
      </c>
      <c r="B75" s="101"/>
      <c r="C75" s="111" t="s">
        <v>177</v>
      </c>
      <c r="D75" s="112"/>
      <c r="E75" s="111" t="s">
        <v>396</v>
      </c>
      <c r="F75" s="112"/>
      <c r="G75" s="101" t="s">
        <v>4</v>
      </c>
      <c r="H75" s="101"/>
      <c r="I75" s="102" t="s">
        <v>139</v>
      </c>
      <c r="J75" s="102"/>
      <c r="K75" s="102"/>
      <c r="L75" s="102"/>
      <c r="M75" s="102"/>
      <c r="N75" s="102"/>
      <c r="O75" s="101" t="s">
        <v>6</v>
      </c>
      <c r="P75" s="101"/>
      <c r="Q75" s="103"/>
      <c r="R75" s="104"/>
      <c r="S75" s="104"/>
      <c r="T75" s="104"/>
      <c r="U75" s="104"/>
      <c r="V75" s="104"/>
      <c r="W75" s="105"/>
      <c r="X75" s="1"/>
    </row>
    <row r="76" spans="1:24" ht="20.100000000000001" customHeight="1" x14ac:dyDescent="0.25">
      <c r="A76" s="106" t="s">
        <v>7</v>
      </c>
      <c r="B76" s="107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7"/>
      <c r="R76" s="107"/>
      <c r="S76" s="107"/>
      <c r="T76" s="107"/>
      <c r="U76" s="107"/>
      <c r="V76" s="107"/>
      <c r="W76" s="110"/>
      <c r="X76" s="1"/>
    </row>
    <row r="77" spans="1:24" ht="24.95" customHeight="1" x14ac:dyDescent="0.25">
      <c r="A77" s="113" t="s">
        <v>8</v>
      </c>
      <c r="B77" s="114" t="s">
        <v>9</v>
      </c>
      <c r="C77" s="114" t="s">
        <v>10</v>
      </c>
      <c r="D77" s="114" t="s">
        <v>11</v>
      </c>
      <c r="E77" s="114" t="s">
        <v>12</v>
      </c>
      <c r="F77" s="114" t="s">
        <v>13</v>
      </c>
      <c r="G77" s="114" t="s">
        <v>14</v>
      </c>
      <c r="H77" s="114"/>
      <c r="I77" s="114"/>
      <c r="J77" s="114"/>
      <c r="K77" s="114"/>
      <c r="L77" s="114"/>
      <c r="M77" s="114" t="s">
        <v>15</v>
      </c>
      <c r="N77" s="114" t="s">
        <v>16</v>
      </c>
      <c r="O77" s="114" t="s">
        <v>17</v>
      </c>
      <c r="P77" s="114" t="s">
        <v>18</v>
      </c>
      <c r="Q77" s="114" t="s">
        <v>19</v>
      </c>
      <c r="R77" s="114"/>
      <c r="S77" s="114"/>
      <c r="T77" s="114"/>
      <c r="U77" s="114"/>
      <c r="V77" s="114"/>
      <c r="W77" s="115" t="s">
        <v>20</v>
      </c>
      <c r="X77" s="3"/>
    </row>
    <row r="78" spans="1:24" ht="24.95" customHeight="1" x14ac:dyDescent="0.25">
      <c r="A78" s="113"/>
      <c r="B78" s="114"/>
      <c r="C78" s="114"/>
      <c r="D78" s="114"/>
      <c r="E78" s="114"/>
      <c r="F78" s="114"/>
      <c r="G78" s="31" t="s">
        <v>21</v>
      </c>
      <c r="H78" s="31" t="s">
        <v>21</v>
      </c>
      <c r="I78" s="31" t="s">
        <v>21</v>
      </c>
      <c r="J78" s="31" t="s">
        <v>22</v>
      </c>
      <c r="K78" s="31" t="s">
        <v>22</v>
      </c>
      <c r="L78" s="31" t="s">
        <v>22</v>
      </c>
      <c r="M78" s="114"/>
      <c r="N78" s="114"/>
      <c r="O78" s="114"/>
      <c r="P78" s="114"/>
      <c r="Q78" s="31" t="s">
        <v>21</v>
      </c>
      <c r="R78" s="31" t="s">
        <v>21</v>
      </c>
      <c r="S78" s="31" t="s">
        <v>21</v>
      </c>
      <c r="T78" s="31" t="s">
        <v>22</v>
      </c>
      <c r="U78" s="31" t="s">
        <v>22</v>
      </c>
      <c r="V78" s="31" t="s">
        <v>22</v>
      </c>
      <c r="W78" s="115"/>
      <c r="X78" s="3"/>
    </row>
    <row r="79" spans="1:24" ht="15.75" customHeight="1" x14ac:dyDescent="0.25">
      <c r="A79" s="5">
        <v>1</v>
      </c>
      <c r="B79" s="21" t="s">
        <v>175</v>
      </c>
      <c r="C79" s="13">
        <v>45770</v>
      </c>
      <c r="D79" s="20">
        <v>45843</v>
      </c>
      <c r="E79" s="21">
        <v>1</v>
      </c>
      <c r="F79" s="21">
        <v>0</v>
      </c>
      <c r="G79" s="21">
        <v>181</v>
      </c>
      <c r="H79" s="21"/>
      <c r="I79" s="21"/>
      <c r="J79" s="21"/>
      <c r="K79" s="21"/>
      <c r="L79" s="21"/>
      <c r="M79" s="21">
        <v>181</v>
      </c>
      <c r="N79" s="21"/>
      <c r="O79" s="21"/>
      <c r="P79" s="21">
        <v>1</v>
      </c>
      <c r="Q79" s="21"/>
      <c r="R79" s="21"/>
      <c r="S79" s="21"/>
      <c r="T79" s="21"/>
      <c r="U79" s="21"/>
      <c r="V79" s="21"/>
      <c r="W79" s="22"/>
    </row>
    <row r="80" spans="1:24" ht="15" customHeight="1" x14ac:dyDescent="0.25">
      <c r="A80" s="6">
        <v>2</v>
      </c>
      <c r="B80" s="21" t="s">
        <v>159</v>
      </c>
      <c r="C80" s="13">
        <v>45884</v>
      </c>
      <c r="D80" s="20">
        <v>45957</v>
      </c>
      <c r="E80" s="21">
        <v>3</v>
      </c>
      <c r="F80" s="21">
        <v>0</v>
      </c>
      <c r="G80" s="21">
        <v>142</v>
      </c>
      <c r="H80" s="21">
        <v>141</v>
      </c>
      <c r="I80" s="21">
        <v>115</v>
      </c>
      <c r="J80" s="21"/>
      <c r="K80" s="21"/>
      <c r="L80" s="21"/>
      <c r="M80" s="41">
        <f>AVERAGE(G80:L80)</f>
        <v>132.66666666666666</v>
      </c>
      <c r="N80" s="20">
        <v>45973</v>
      </c>
      <c r="O80" s="21">
        <v>3</v>
      </c>
      <c r="P80" s="21">
        <v>0</v>
      </c>
      <c r="Q80" s="21">
        <v>200</v>
      </c>
      <c r="R80" s="21">
        <v>212</v>
      </c>
      <c r="S80" s="21">
        <v>216</v>
      </c>
      <c r="T80" s="21"/>
      <c r="U80" s="21"/>
      <c r="V80" s="21"/>
      <c r="W80" s="40">
        <f>AVERAGE(Q80:V80)</f>
        <v>209.33333333333334</v>
      </c>
    </row>
    <row r="81" spans="1:24" ht="16.5" customHeight="1" x14ac:dyDescent="0.25">
      <c r="A81" s="6">
        <v>3</v>
      </c>
      <c r="B81" s="21" t="s">
        <v>162</v>
      </c>
      <c r="C81" s="13">
        <v>46039</v>
      </c>
      <c r="D81" s="20">
        <v>46108</v>
      </c>
      <c r="E81" s="21">
        <v>1</v>
      </c>
      <c r="F81" s="21">
        <v>0</v>
      </c>
      <c r="G81" s="21">
        <v>91</v>
      </c>
      <c r="H81" s="21"/>
      <c r="I81" s="21"/>
      <c r="J81" s="21"/>
      <c r="K81" s="21"/>
      <c r="L81" s="21"/>
      <c r="M81" s="21">
        <v>91</v>
      </c>
      <c r="N81" s="20">
        <v>46133</v>
      </c>
      <c r="O81" s="21">
        <v>1</v>
      </c>
      <c r="P81" s="21">
        <v>0</v>
      </c>
      <c r="Q81" s="21">
        <v>216</v>
      </c>
      <c r="R81" s="21"/>
      <c r="S81" s="21"/>
      <c r="T81" s="21"/>
      <c r="U81" s="21"/>
      <c r="V81" s="21"/>
      <c r="W81" s="22">
        <v>216</v>
      </c>
    </row>
    <row r="82" spans="1:24" ht="13.5" customHeight="1" x14ac:dyDescent="0.25">
      <c r="A82" s="5">
        <v>4</v>
      </c>
      <c r="B82" s="21" t="s">
        <v>162</v>
      </c>
      <c r="C82" s="13">
        <v>46148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2"/>
    </row>
    <row r="83" spans="1:24" ht="16.5" customHeight="1" x14ac:dyDescent="0.25">
      <c r="A83" s="5">
        <v>5</v>
      </c>
      <c r="B83" s="21"/>
      <c r="C83" s="8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2"/>
    </row>
    <row r="84" spans="1:24" ht="15.75" customHeight="1" thickBot="1" x14ac:dyDescent="0.3">
      <c r="A84" s="7">
        <v>6</v>
      </c>
      <c r="B84" s="37"/>
      <c r="C84" s="10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9"/>
    </row>
    <row r="85" spans="1:24" ht="20.100000000000001" customHeight="1" x14ac:dyDescent="0.25"/>
    <row r="86" spans="1:24" ht="20.100000000000001" customHeight="1" thickBot="1" x14ac:dyDescent="0.3"/>
    <row r="87" spans="1:24" ht="20.100000000000001" customHeight="1" x14ac:dyDescent="0.25">
      <c r="A87" s="100" t="s">
        <v>2</v>
      </c>
      <c r="B87" s="101"/>
      <c r="C87" s="191" t="s">
        <v>178</v>
      </c>
      <c r="D87" s="192"/>
      <c r="E87" s="111" t="s">
        <v>396</v>
      </c>
      <c r="F87" s="112"/>
      <c r="G87" s="101" t="s">
        <v>4</v>
      </c>
      <c r="H87" s="101"/>
      <c r="I87" s="102" t="s">
        <v>139</v>
      </c>
      <c r="J87" s="102"/>
      <c r="K87" s="102"/>
      <c r="L87" s="102"/>
      <c r="M87" s="102"/>
      <c r="N87" s="102"/>
      <c r="O87" s="101" t="s">
        <v>6</v>
      </c>
      <c r="P87" s="101"/>
      <c r="Q87" s="103"/>
      <c r="R87" s="104"/>
      <c r="S87" s="104"/>
      <c r="T87" s="104"/>
      <c r="U87" s="104"/>
      <c r="V87" s="104"/>
      <c r="W87" s="105"/>
      <c r="X87" s="1"/>
    </row>
    <row r="88" spans="1:24" ht="20.100000000000001" customHeight="1" x14ac:dyDescent="0.25">
      <c r="A88" s="106" t="s">
        <v>7</v>
      </c>
      <c r="B88" s="107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7"/>
      <c r="R88" s="107"/>
      <c r="S88" s="107"/>
      <c r="T88" s="107"/>
      <c r="U88" s="107"/>
      <c r="V88" s="107"/>
      <c r="W88" s="110"/>
      <c r="X88" s="1"/>
    </row>
    <row r="89" spans="1:24" ht="24.95" customHeight="1" x14ac:dyDescent="0.25">
      <c r="A89" s="113" t="s">
        <v>8</v>
      </c>
      <c r="B89" s="114" t="s">
        <v>9</v>
      </c>
      <c r="C89" s="114" t="s">
        <v>10</v>
      </c>
      <c r="D89" s="114" t="s">
        <v>11</v>
      </c>
      <c r="E89" s="114" t="s">
        <v>12</v>
      </c>
      <c r="F89" s="114" t="s">
        <v>13</v>
      </c>
      <c r="G89" s="114" t="s">
        <v>14</v>
      </c>
      <c r="H89" s="114"/>
      <c r="I89" s="114"/>
      <c r="J89" s="114"/>
      <c r="K89" s="114"/>
      <c r="L89" s="114"/>
      <c r="M89" s="114" t="s">
        <v>15</v>
      </c>
      <c r="N89" s="114" t="s">
        <v>16</v>
      </c>
      <c r="O89" s="114" t="s">
        <v>17</v>
      </c>
      <c r="P89" s="114" t="s">
        <v>18</v>
      </c>
      <c r="Q89" s="114" t="s">
        <v>358</v>
      </c>
      <c r="R89" s="114"/>
      <c r="S89" s="114"/>
      <c r="T89" s="114"/>
      <c r="U89" s="114"/>
      <c r="V89" s="114"/>
      <c r="W89" s="115" t="s">
        <v>20</v>
      </c>
      <c r="X89" s="3"/>
    </row>
    <row r="90" spans="1:24" ht="24.95" customHeight="1" x14ac:dyDescent="0.25">
      <c r="A90" s="113"/>
      <c r="B90" s="114"/>
      <c r="C90" s="114"/>
      <c r="D90" s="114"/>
      <c r="E90" s="114"/>
      <c r="F90" s="114"/>
      <c r="G90" s="31" t="s">
        <v>21</v>
      </c>
      <c r="H90" s="31" t="s">
        <v>21</v>
      </c>
      <c r="I90" s="31" t="s">
        <v>21</v>
      </c>
      <c r="J90" s="31" t="s">
        <v>22</v>
      </c>
      <c r="K90" s="31" t="s">
        <v>22</v>
      </c>
      <c r="L90" s="31" t="s">
        <v>22</v>
      </c>
      <c r="M90" s="114"/>
      <c r="N90" s="114"/>
      <c r="O90" s="114"/>
      <c r="P90" s="114"/>
      <c r="Q90" s="31" t="s">
        <v>21</v>
      </c>
      <c r="R90" s="31" t="s">
        <v>21</v>
      </c>
      <c r="S90" s="31" t="s">
        <v>21</v>
      </c>
      <c r="T90" s="31" t="s">
        <v>22</v>
      </c>
      <c r="U90" s="31" t="s">
        <v>22</v>
      </c>
      <c r="V90" s="31" t="s">
        <v>22</v>
      </c>
      <c r="W90" s="115"/>
      <c r="X90" s="3"/>
    </row>
    <row r="91" spans="1:24" ht="16.5" customHeight="1" x14ac:dyDescent="0.25">
      <c r="A91" s="5">
        <v>1</v>
      </c>
      <c r="B91" s="21" t="s">
        <v>175</v>
      </c>
      <c r="C91" s="13">
        <v>45770</v>
      </c>
      <c r="D91" s="20">
        <v>45852</v>
      </c>
      <c r="E91" s="21">
        <v>2</v>
      </c>
      <c r="F91" s="21">
        <v>0</v>
      </c>
      <c r="G91" s="21">
        <v>142</v>
      </c>
      <c r="H91" s="21"/>
      <c r="I91" s="21"/>
      <c r="J91" s="21">
        <v>165</v>
      </c>
      <c r="K91" s="21"/>
      <c r="L91" s="21"/>
      <c r="M91" s="21">
        <f>AVERAGE(G91:L91)</f>
        <v>153.5</v>
      </c>
      <c r="N91" s="20">
        <v>45869</v>
      </c>
      <c r="O91" s="21">
        <v>2</v>
      </c>
      <c r="P91" s="21">
        <v>0</v>
      </c>
      <c r="Q91" s="21">
        <v>172</v>
      </c>
      <c r="R91" s="21"/>
      <c r="S91" s="21"/>
      <c r="T91" s="21">
        <v>187</v>
      </c>
      <c r="U91" s="21"/>
      <c r="V91" s="21"/>
      <c r="W91" s="22">
        <f>AVERAGE(Q91:V91)</f>
        <v>179.5</v>
      </c>
    </row>
    <row r="92" spans="1:24" ht="15.75" customHeight="1" x14ac:dyDescent="0.25">
      <c r="A92" s="6">
        <v>2</v>
      </c>
      <c r="B92" s="21" t="s">
        <v>159</v>
      </c>
      <c r="C92" s="13">
        <v>45884</v>
      </c>
      <c r="D92" s="20">
        <v>45951</v>
      </c>
      <c r="E92" s="21">
        <v>3</v>
      </c>
      <c r="F92" s="21">
        <v>0</v>
      </c>
      <c r="G92" s="21">
        <v>99</v>
      </c>
      <c r="H92" s="21"/>
      <c r="I92" s="21"/>
      <c r="J92" s="21">
        <v>101</v>
      </c>
      <c r="K92" s="21">
        <v>71</v>
      </c>
      <c r="L92" s="21"/>
      <c r="M92" s="41">
        <f>AVERAGE(G92:L92)</f>
        <v>90.333333333333329</v>
      </c>
      <c r="N92" s="20">
        <v>45973</v>
      </c>
      <c r="O92" s="21">
        <v>2</v>
      </c>
      <c r="P92" s="21">
        <v>1</v>
      </c>
      <c r="Q92" s="21">
        <v>268</v>
      </c>
      <c r="R92" s="21"/>
      <c r="S92" s="21"/>
      <c r="T92" s="21">
        <v>190</v>
      </c>
      <c r="U92" s="21"/>
      <c r="V92" s="21"/>
      <c r="W92" s="22">
        <f>AVERAGE(Q92:V92)</f>
        <v>229</v>
      </c>
    </row>
    <row r="93" spans="1:24" ht="15" customHeight="1" x14ac:dyDescent="0.25">
      <c r="A93" s="6">
        <v>3</v>
      </c>
      <c r="B93" s="21" t="s">
        <v>162</v>
      </c>
      <c r="C93" s="13">
        <v>46039</v>
      </c>
      <c r="D93" s="20">
        <v>46107</v>
      </c>
      <c r="E93" s="21">
        <v>3</v>
      </c>
      <c r="F93" s="21">
        <v>0</v>
      </c>
      <c r="G93" s="21">
        <v>102</v>
      </c>
      <c r="H93" s="21"/>
      <c r="I93" s="21"/>
      <c r="J93" s="21">
        <v>134</v>
      </c>
      <c r="K93" s="21">
        <v>143</v>
      </c>
      <c r="L93" s="21"/>
      <c r="M93" s="41">
        <f>AVERAGE(G93:L93)</f>
        <v>126.33333333333333</v>
      </c>
      <c r="N93" s="20">
        <v>46133</v>
      </c>
      <c r="O93" s="21">
        <v>3</v>
      </c>
      <c r="P93" s="21">
        <v>0</v>
      </c>
      <c r="Q93" s="21">
        <v>256</v>
      </c>
      <c r="R93" s="21"/>
      <c r="S93" s="21"/>
      <c r="T93" s="21">
        <v>248</v>
      </c>
      <c r="U93" s="21">
        <v>243</v>
      </c>
      <c r="V93" s="21"/>
      <c r="W93" s="22">
        <f>AVERAGE(Q93:V93)</f>
        <v>249</v>
      </c>
    </row>
    <row r="94" spans="1:24" ht="16.5" customHeight="1" x14ac:dyDescent="0.25">
      <c r="A94" s="5">
        <v>4</v>
      </c>
      <c r="B94" s="21" t="s">
        <v>162</v>
      </c>
      <c r="C94" s="13">
        <v>46148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2"/>
    </row>
    <row r="95" spans="1:24" ht="15.75" customHeight="1" x14ac:dyDescent="0.25">
      <c r="A95" s="5">
        <v>5</v>
      </c>
      <c r="B95" s="21"/>
      <c r="C95" s="8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2"/>
    </row>
    <row r="96" spans="1:24" ht="16.5" customHeight="1" thickBot="1" x14ac:dyDescent="0.3">
      <c r="A96" s="7">
        <v>6</v>
      </c>
      <c r="B96" s="37"/>
      <c r="C96" s="10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9"/>
    </row>
    <row r="97" spans="1:24" ht="20.100000000000001" customHeight="1" x14ac:dyDescent="0.25"/>
    <row r="98" spans="1:24" ht="20.100000000000001" customHeight="1" thickBot="1" x14ac:dyDescent="0.3"/>
    <row r="99" spans="1:24" ht="20.100000000000001" customHeight="1" x14ac:dyDescent="0.25">
      <c r="A99" s="100" t="s">
        <v>2</v>
      </c>
      <c r="B99" s="101"/>
      <c r="C99" s="191" t="s">
        <v>179</v>
      </c>
      <c r="D99" s="192"/>
      <c r="E99" s="111" t="s">
        <v>396</v>
      </c>
      <c r="F99" s="112"/>
      <c r="G99" s="101" t="s">
        <v>4</v>
      </c>
      <c r="H99" s="101"/>
      <c r="I99" s="102" t="s">
        <v>139</v>
      </c>
      <c r="J99" s="102"/>
      <c r="K99" s="102"/>
      <c r="L99" s="102"/>
      <c r="M99" s="102"/>
      <c r="N99" s="102"/>
      <c r="O99" s="101" t="s">
        <v>6</v>
      </c>
      <c r="P99" s="101"/>
      <c r="Q99" s="103"/>
      <c r="R99" s="104"/>
      <c r="S99" s="104"/>
      <c r="T99" s="104"/>
      <c r="U99" s="104"/>
      <c r="V99" s="104"/>
      <c r="W99" s="105"/>
      <c r="X99" s="1"/>
    </row>
    <row r="100" spans="1:24" ht="20.100000000000001" customHeight="1" x14ac:dyDescent="0.25">
      <c r="A100" s="106" t="s">
        <v>7</v>
      </c>
      <c r="B100" s="107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7"/>
      <c r="R100" s="107"/>
      <c r="S100" s="107"/>
      <c r="T100" s="107"/>
      <c r="U100" s="107"/>
      <c r="V100" s="107"/>
      <c r="W100" s="110"/>
      <c r="X100" s="1"/>
    </row>
    <row r="101" spans="1:24" ht="24.95" customHeight="1" x14ac:dyDescent="0.25">
      <c r="A101" s="113" t="s">
        <v>8</v>
      </c>
      <c r="B101" s="114" t="s">
        <v>9</v>
      </c>
      <c r="C101" s="114" t="s">
        <v>10</v>
      </c>
      <c r="D101" s="114" t="s">
        <v>11</v>
      </c>
      <c r="E101" s="114" t="s">
        <v>12</v>
      </c>
      <c r="F101" s="114" t="s">
        <v>13</v>
      </c>
      <c r="G101" s="114" t="s">
        <v>14</v>
      </c>
      <c r="H101" s="114"/>
      <c r="I101" s="114"/>
      <c r="J101" s="114"/>
      <c r="K101" s="114"/>
      <c r="L101" s="114"/>
      <c r="M101" s="114" t="s">
        <v>15</v>
      </c>
      <c r="N101" s="114" t="s">
        <v>16</v>
      </c>
      <c r="O101" s="114" t="s">
        <v>17</v>
      </c>
      <c r="P101" s="114" t="s">
        <v>18</v>
      </c>
      <c r="Q101" s="114" t="s">
        <v>19</v>
      </c>
      <c r="R101" s="114"/>
      <c r="S101" s="114"/>
      <c r="T101" s="114"/>
      <c r="U101" s="114"/>
      <c r="V101" s="114"/>
      <c r="W101" s="115" t="s">
        <v>20</v>
      </c>
      <c r="X101" s="3"/>
    </row>
    <row r="102" spans="1:24" ht="24.95" customHeight="1" x14ac:dyDescent="0.25">
      <c r="A102" s="113"/>
      <c r="B102" s="114"/>
      <c r="C102" s="114"/>
      <c r="D102" s="114"/>
      <c r="E102" s="114"/>
      <c r="F102" s="114"/>
      <c r="G102" s="31" t="s">
        <v>21</v>
      </c>
      <c r="H102" s="31" t="s">
        <v>21</v>
      </c>
      <c r="I102" s="31" t="s">
        <v>21</v>
      </c>
      <c r="J102" s="31" t="s">
        <v>22</v>
      </c>
      <c r="K102" s="31" t="s">
        <v>22</v>
      </c>
      <c r="L102" s="31" t="s">
        <v>22</v>
      </c>
      <c r="M102" s="114"/>
      <c r="N102" s="114"/>
      <c r="O102" s="114"/>
      <c r="P102" s="114"/>
      <c r="Q102" s="31" t="s">
        <v>21</v>
      </c>
      <c r="R102" s="31" t="s">
        <v>21</v>
      </c>
      <c r="S102" s="31" t="s">
        <v>21</v>
      </c>
      <c r="T102" s="31" t="s">
        <v>22</v>
      </c>
      <c r="U102" s="31" t="s">
        <v>22</v>
      </c>
      <c r="V102" s="31" t="s">
        <v>22</v>
      </c>
      <c r="W102" s="115"/>
      <c r="X102" s="3"/>
    </row>
    <row r="103" spans="1:24" ht="16.5" customHeight="1" x14ac:dyDescent="0.25">
      <c r="A103" s="5">
        <v>1</v>
      </c>
      <c r="B103" s="21" t="s">
        <v>175</v>
      </c>
      <c r="C103" s="13">
        <v>45770</v>
      </c>
      <c r="D103" s="20">
        <v>45842</v>
      </c>
      <c r="E103" s="21">
        <v>3</v>
      </c>
      <c r="F103" s="21">
        <v>0</v>
      </c>
      <c r="G103" s="21">
        <v>146</v>
      </c>
      <c r="H103" s="21">
        <v>136</v>
      </c>
      <c r="I103" s="21"/>
      <c r="J103" s="21">
        <v>160</v>
      </c>
      <c r="K103" s="21"/>
      <c r="L103" s="21"/>
      <c r="M103" s="41">
        <f>AVERAGE(G103:L103)</f>
        <v>147.33333333333334</v>
      </c>
      <c r="N103" s="20">
        <v>45869</v>
      </c>
      <c r="O103" s="21">
        <v>3</v>
      </c>
      <c r="P103" s="21">
        <v>0</v>
      </c>
      <c r="Q103" s="21">
        <v>333</v>
      </c>
      <c r="R103" s="21">
        <v>228</v>
      </c>
      <c r="S103" s="21"/>
      <c r="T103" s="21">
        <v>241</v>
      </c>
      <c r="U103" s="21"/>
      <c r="V103" s="21"/>
      <c r="W103" s="40">
        <f>AVERAGE(Q103:V103)</f>
        <v>267.33333333333331</v>
      </c>
    </row>
    <row r="104" spans="1:24" ht="17.25" customHeight="1" x14ac:dyDescent="0.25">
      <c r="A104" s="6">
        <v>2</v>
      </c>
      <c r="B104" s="21" t="s">
        <v>159</v>
      </c>
      <c r="C104" s="13">
        <v>45884</v>
      </c>
      <c r="D104" s="20">
        <v>45957</v>
      </c>
      <c r="E104" s="21">
        <v>4</v>
      </c>
      <c r="F104" s="21">
        <v>0</v>
      </c>
      <c r="G104" s="21"/>
      <c r="H104" s="21"/>
      <c r="I104" s="21">
        <v>78</v>
      </c>
      <c r="J104" s="21">
        <v>87</v>
      </c>
      <c r="K104" s="21">
        <v>88</v>
      </c>
      <c r="L104" s="21">
        <v>122</v>
      </c>
      <c r="M104" s="41">
        <f>AVERAGE(G104:L104)</f>
        <v>93.75</v>
      </c>
      <c r="N104" s="20">
        <v>45973</v>
      </c>
      <c r="O104" s="21">
        <v>4</v>
      </c>
      <c r="P104" s="21">
        <v>0</v>
      </c>
      <c r="Q104" s="21"/>
      <c r="R104" s="21"/>
      <c r="S104" s="21">
        <v>126</v>
      </c>
      <c r="T104" s="21">
        <v>133</v>
      </c>
      <c r="U104" s="21">
        <v>141</v>
      </c>
      <c r="V104" s="21">
        <v>146</v>
      </c>
      <c r="W104" s="40">
        <f>AVERAGE(Q104:V104)</f>
        <v>136.5</v>
      </c>
    </row>
    <row r="105" spans="1:24" ht="16.5" customHeight="1" x14ac:dyDescent="0.25">
      <c r="A105" s="6">
        <v>3</v>
      </c>
      <c r="B105" s="21" t="s">
        <v>162</v>
      </c>
      <c r="C105" s="13">
        <v>46039</v>
      </c>
      <c r="D105" s="20">
        <v>46112</v>
      </c>
      <c r="E105" s="21">
        <v>3</v>
      </c>
      <c r="F105" s="21">
        <v>0</v>
      </c>
      <c r="G105" s="21"/>
      <c r="H105" s="21"/>
      <c r="I105" s="21"/>
      <c r="J105" s="21">
        <v>120</v>
      </c>
      <c r="K105" s="21">
        <v>141</v>
      </c>
      <c r="L105" s="21">
        <v>126</v>
      </c>
      <c r="M105" s="41">
        <f>AVERAGE(G105:L105)</f>
        <v>129</v>
      </c>
      <c r="N105" s="20">
        <v>46133</v>
      </c>
      <c r="O105" s="21">
        <v>3</v>
      </c>
      <c r="P105" s="21">
        <v>0</v>
      </c>
      <c r="Q105" s="21"/>
      <c r="R105" s="21"/>
      <c r="S105" s="21"/>
      <c r="T105" s="21">
        <v>190</v>
      </c>
      <c r="U105" s="21">
        <v>254</v>
      </c>
      <c r="V105" s="21">
        <v>280</v>
      </c>
      <c r="W105" s="40">
        <f>AVERAGE(Q105:V105)</f>
        <v>241.33333333333334</v>
      </c>
    </row>
    <row r="106" spans="1:24" ht="17.25" customHeight="1" x14ac:dyDescent="0.25">
      <c r="A106" s="5">
        <v>4</v>
      </c>
      <c r="B106" s="21" t="s">
        <v>162</v>
      </c>
      <c r="C106" s="13">
        <v>46148</v>
      </c>
      <c r="D106" s="21"/>
      <c r="E106" s="21"/>
      <c r="F106" s="21"/>
      <c r="G106" s="21"/>
      <c r="H106" s="21"/>
      <c r="I106" s="21"/>
      <c r="J106" s="21"/>
      <c r="K106" s="21"/>
      <c r="L106" s="21"/>
      <c r="M106" s="41"/>
      <c r="N106" s="21"/>
      <c r="O106" s="21"/>
      <c r="P106" s="21"/>
      <c r="Q106" s="21"/>
      <c r="R106" s="21"/>
      <c r="S106" s="21"/>
      <c r="T106" s="21"/>
      <c r="U106" s="21"/>
      <c r="V106" s="21"/>
      <c r="W106" s="40"/>
    </row>
    <row r="107" spans="1:24" ht="16.5" customHeight="1" x14ac:dyDescent="0.25">
      <c r="A107" s="5">
        <v>5</v>
      </c>
      <c r="B107" s="21"/>
      <c r="C107" s="8"/>
      <c r="D107" s="21"/>
      <c r="E107" s="21"/>
      <c r="F107" s="21"/>
      <c r="G107" s="21"/>
      <c r="H107" s="21"/>
      <c r="I107" s="21"/>
      <c r="J107" s="21"/>
      <c r="K107" s="21"/>
      <c r="L107" s="21"/>
      <c r="M107" s="41"/>
      <c r="N107" s="21"/>
      <c r="O107" s="21"/>
      <c r="P107" s="21"/>
      <c r="Q107" s="21"/>
      <c r="R107" s="21"/>
      <c r="S107" s="21"/>
      <c r="T107" s="21"/>
      <c r="U107" s="21"/>
      <c r="V107" s="21"/>
      <c r="W107" s="40"/>
    </row>
    <row r="108" spans="1:24" ht="15.75" customHeight="1" thickBot="1" x14ac:dyDescent="0.3">
      <c r="A108" s="7">
        <v>6</v>
      </c>
      <c r="B108" s="37"/>
      <c r="C108" s="10"/>
      <c r="D108" s="37"/>
      <c r="E108" s="37"/>
      <c r="F108" s="37"/>
      <c r="G108" s="37"/>
      <c r="H108" s="37"/>
      <c r="I108" s="37"/>
      <c r="J108" s="37"/>
      <c r="K108" s="37"/>
      <c r="L108" s="37"/>
      <c r="M108" s="42"/>
      <c r="N108" s="37"/>
      <c r="O108" s="37"/>
      <c r="P108" s="37"/>
      <c r="Q108" s="37"/>
      <c r="R108" s="37"/>
      <c r="S108" s="37"/>
      <c r="T108" s="37"/>
      <c r="U108" s="37"/>
      <c r="V108" s="37"/>
      <c r="W108" s="43"/>
    </row>
    <row r="109" spans="1:24" ht="20.100000000000001" customHeight="1" x14ac:dyDescent="0.25"/>
    <row r="110" spans="1:24" ht="20.100000000000001" customHeight="1" thickBot="1" x14ac:dyDescent="0.3"/>
    <row r="111" spans="1:24" ht="20.100000000000001" customHeight="1" x14ac:dyDescent="0.25">
      <c r="A111" s="100" t="s">
        <v>2</v>
      </c>
      <c r="B111" s="101"/>
      <c r="C111" s="191" t="s">
        <v>180</v>
      </c>
      <c r="D111" s="192"/>
      <c r="E111" s="111" t="s">
        <v>397</v>
      </c>
      <c r="F111" s="112"/>
      <c r="G111" s="101" t="s">
        <v>4</v>
      </c>
      <c r="H111" s="101"/>
      <c r="I111" s="102" t="s">
        <v>139</v>
      </c>
      <c r="J111" s="102"/>
      <c r="K111" s="102"/>
      <c r="L111" s="102"/>
      <c r="M111" s="102"/>
      <c r="N111" s="102"/>
      <c r="O111" s="101" t="s">
        <v>6</v>
      </c>
      <c r="P111" s="101"/>
      <c r="Q111" s="103"/>
      <c r="R111" s="104"/>
      <c r="S111" s="104"/>
      <c r="T111" s="104"/>
      <c r="U111" s="104"/>
      <c r="V111" s="104"/>
      <c r="W111" s="105"/>
      <c r="X111" s="1"/>
    </row>
    <row r="112" spans="1:24" ht="20.100000000000001" customHeight="1" x14ac:dyDescent="0.25">
      <c r="A112" s="106" t="s">
        <v>7</v>
      </c>
      <c r="B112" s="107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7"/>
      <c r="R112" s="107"/>
      <c r="S112" s="107"/>
      <c r="T112" s="107"/>
      <c r="U112" s="107"/>
      <c r="V112" s="107"/>
      <c r="W112" s="110"/>
      <c r="X112" s="1"/>
    </row>
    <row r="113" spans="1:24" ht="24.95" customHeight="1" x14ac:dyDescent="0.25">
      <c r="A113" s="113" t="s">
        <v>8</v>
      </c>
      <c r="B113" s="114" t="s">
        <v>9</v>
      </c>
      <c r="C113" s="114" t="s">
        <v>10</v>
      </c>
      <c r="D113" s="114" t="s">
        <v>11</v>
      </c>
      <c r="E113" s="114" t="s">
        <v>12</v>
      </c>
      <c r="F113" s="114" t="s">
        <v>13</v>
      </c>
      <c r="G113" s="114" t="s">
        <v>14</v>
      </c>
      <c r="H113" s="114"/>
      <c r="I113" s="114"/>
      <c r="J113" s="114"/>
      <c r="K113" s="114"/>
      <c r="L113" s="114"/>
      <c r="M113" s="114" t="s">
        <v>15</v>
      </c>
      <c r="N113" s="114" t="s">
        <v>16</v>
      </c>
      <c r="O113" s="114" t="s">
        <v>17</v>
      </c>
      <c r="P113" s="114" t="s">
        <v>18</v>
      </c>
      <c r="Q113" s="114" t="s">
        <v>19</v>
      </c>
      <c r="R113" s="114"/>
      <c r="S113" s="114"/>
      <c r="T113" s="114"/>
      <c r="U113" s="114"/>
      <c r="V113" s="114"/>
      <c r="W113" s="115" t="s">
        <v>20</v>
      </c>
      <c r="X113" s="3"/>
    </row>
    <row r="114" spans="1:24" ht="24.95" customHeight="1" x14ac:dyDescent="0.25">
      <c r="A114" s="113"/>
      <c r="B114" s="114"/>
      <c r="C114" s="114"/>
      <c r="D114" s="114"/>
      <c r="E114" s="114"/>
      <c r="F114" s="114"/>
      <c r="G114" s="31" t="s">
        <v>21</v>
      </c>
      <c r="H114" s="31" t="s">
        <v>21</v>
      </c>
      <c r="I114" s="31" t="s">
        <v>21</v>
      </c>
      <c r="J114" s="31" t="s">
        <v>22</v>
      </c>
      <c r="K114" s="31" t="s">
        <v>22</v>
      </c>
      <c r="L114" s="31" t="s">
        <v>22</v>
      </c>
      <c r="M114" s="114"/>
      <c r="N114" s="114"/>
      <c r="O114" s="114"/>
      <c r="P114" s="114"/>
      <c r="Q114" s="31" t="s">
        <v>21</v>
      </c>
      <c r="R114" s="31" t="s">
        <v>21</v>
      </c>
      <c r="S114" s="31" t="s">
        <v>21</v>
      </c>
      <c r="T114" s="31" t="s">
        <v>22</v>
      </c>
      <c r="U114" s="31" t="s">
        <v>22</v>
      </c>
      <c r="V114" s="31" t="s">
        <v>22</v>
      </c>
      <c r="W114" s="115"/>
      <c r="X114" s="3"/>
    </row>
    <row r="115" spans="1:24" ht="17.25" customHeight="1" x14ac:dyDescent="0.25">
      <c r="A115" s="5">
        <v>1</v>
      </c>
      <c r="B115" s="21" t="s">
        <v>181</v>
      </c>
      <c r="C115" s="13">
        <v>45738</v>
      </c>
      <c r="D115" s="20">
        <v>45807</v>
      </c>
      <c r="E115" s="21">
        <v>2</v>
      </c>
      <c r="F115" s="21">
        <v>2</v>
      </c>
      <c r="G115" s="21"/>
      <c r="H115" s="21"/>
      <c r="I115" s="21"/>
      <c r="J115" s="21"/>
      <c r="K115" s="21"/>
      <c r="L115" s="21"/>
      <c r="M115" s="21"/>
      <c r="N115" s="20"/>
      <c r="O115" s="21"/>
      <c r="P115" s="21"/>
      <c r="Q115" s="21"/>
      <c r="R115" s="21"/>
      <c r="S115" s="21"/>
      <c r="T115" s="21"/>
      <c r="U115" s="21"/>
      <c r="V115" s="21"/>
      <c r="W115" s="22"/>
    </row>
    <row r="116" spans="1:24" ht="15" customHeight="1" x14ac:dyDescent="0.25">
      <c r="A116" s="6">
        <v>2</v>
      </c>
      <c r="B116" s="21" t="s">
        <v>181</v>
      </c>
      <c r="C116" s="13">
        <v>45851</v>
      </c>
      <c r="D116" s="20">
        <v>45933</v>
      </c>
      <c r="E116" s="21">
        <v>3</v>
      </c>
      <c r="F116" s="21">
        <v>0</v>
      </c>
      <c r="G116" s="21">
        <v>100</v>
      </c>
      <c r="H116" s="21">
        <v>110</v>
      </c>
      <c r="I116" s="21">
        <v>97</v>
      </c>
      <c r="J116" s="21"/>
      <c r="K116" s="21"/>
      <c r="L116" s="21"/>
      <c r="M116" s="80">
        <f>AVERAGE(G116:L116)</f>
        <v>102.33333333333333</v>
      </c>
      <c r="N116" s="20">
        <v>45957</v>
      </c>
      <c r="O116" s="21">
        <v>1</v>
      </c>
      <c r="P116" s="21">
        <v>0</v>
      </c>
      <c r="Q116" s="21">
        <v>202</v>
      </c>
      <c r="R116" s="21"/>
      <c r="S116" s="21"/>
      <c r="T116" s="21"/>
      <c r="U116" s="21"/>
      <c r="V116" s="21"/>
      <c r="W116" s="22">
        <v>202</v>
      </c>
    </row>
    <row r="117" spans="1:24" ht="15.75" customHeight="1" x14ac:dyDescent="0.25">
      <c r="A117" s="6">
        <v>3</v>
      </c>
      <c r="B117" s="21" t="s">
        <v>212</v>
      </c>
      <c r="C117" s="13">
        <v>45950</v>
      </c>
      <c r="D117" s="20">
        <v>46029</v>
      </c>
      <c r="E117" s="21">
        <v>4</v>
      </c>
      <c r="F117" s="21">
        <v>0</v>
      </c>
      <c r="G117" s="21">
        <v>110</v>
      </c>
      <c r="H117" s="21">
        <v>109</v>
      </c>
      <c r="I117" s="21">
        <v>115</v>
      </c>
      <c r="J117" s="21">
        <v>120</v>
      </c>
      <c r="K117" s="21"/>
      <c r="L117" s="21"/>
      <c r="M117" s="80">
        <f>AVERAGE(G117:L117)</f>
        <v>113.5</v>
      </c>
      <c r="N117" s="20">
        <v>46055</v>
      </c>
      <c r="O117" s="21">
        <v>4</v>
      </c>
      <c r="P117" s="21">
        <v>0</v>
      </c>
      <c r="Q117" s="21">
        <v>201</v>
      </c>
      <c r="R117" s="21">
        <v>285</v>
      </c>
      <c r="S117" s="21"/>
      <c r="T117" s="21">
        <v>187</v>
      </c>
      <c r="U117" s="21">
        <v>191</v>
      </c>
      <c r="V117" s="21"/>
      <c r="W117" s="22">
        <f>AVERAGE(Q117:V117)</f>
        <v>216</v>
      </c>
    </row>
    <row r="118" spans="1:24" ht="15.75" customHeight="1" x14ac:dyDescent="0.25">
      <c r="A118" s="5">
        <v>4</v>
      </c>
      <c r="B118" s="21" t="s">
        <v>212</v>
      </c>
      <c r="C118" s="13">
        <v>46070</v>
      </c>
      <c r="D118" s="20">
        <v>46148</v>
      </c>
      <c r="E118" s="21">
        <v>3</v>
      </c>
      <c r="F118" s="21">
        <v>0</v>
      </c>
      <c r="G118" s="21">
        <v>120</v>
      </c>
      <c r="H118" s="21">
        <v>121</v>
      </c>
      <c r="I118" s="21"/>
      <c r="J118" s="21">
        <v>123</v>
      </c>
      <c r="K118" s="21"/>
      <c r="L118" s="21"/>
      <c r="M118" s="80">
        <f>AVERAGE(G118:L118)</f>
        <v>121.33333333333333</v>
      </c>
      <c r="N118" s="20">
        <v>46176</v>
      </c>
      <c r="O118" s="21">
        <v>3</v>
      </c>
      <c r="P118" s="21">
        <v>0</v>
      </c>
      <c r="Q118" s="21">
        <v>300</v>
      </c>
      <c r="R118" s="21">
        <v>280</v>
      </c>
      <c r="S118" s="21"/>
      <c r="T118" s="21">
        <v>248</v>
      </c>
      <c r="U118" s="21"/>
      <c r="V118" s="21"/>
      <c r="W118" s="22">
        <f>AVERAGE(Q118:V118)</f>
        <v>276</v>
      </c>
    </row>
    <row r="119" spans="1:24" ht="15.75" customHeight="1" x14ac:dyDescent="0.25">
      <c r="A119" s="5">
        <v>5</v>
      </c>
      <c r="B119" s="21" t="s">
        <v>181</v>
      </c>
      <c r="C119" s="13">
        <v>46181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41"/>
      <c r="N119" s="21"/>
      <c r="O119" s="21"/>
      <c r="P119" s="21"/>
      <c r="Q119" s="21"/>
      <c r="R119" s="21"/>
      <c r="S119" s="21"/>
      <c r="T119" s="21"/>
      <c r="U119" s="21"/>
      <c r="V119" s="21"/>
      <c r="W119" s="22"/>
    </row>
    <row r="120" spans="1:24" ht="15.75" customHeight="1" thickBot="1" x14ac:dyDescent="0.3">
      <c r="A120" s="7">
        <v>6</v>
      </c>
      <c r="B120" s="37"/>
      <c r="C120" s="10"/>
      <c r="D120" s="37"/>
      <c r="E120" s="37"/>
      <c r="F120" s="37"/>
      <c r="G120" s="37"/>
      <c r="H120" s="37"/>
      <c r="I120" s="37"/>
      <c r="J120" s="37"/>
      <c r="K120" s="37"/>
      <c r="L120" s="37"/>
      <c r="M120" s="42"/>
      <c r="N120" s="37"/>
      <c r="O120" s="37"/>
      <c r="P120" s="37"/>
      <c r="Q120" s="37"/>
      <c r="R120" s="37"/>
      <c r="S120" s="37"/>
      <c r="T120" s="37"/>
      <c r="U120" s="37"/>
      <c r="V120" s="37"/>
      <c r="W120" s="39"/>
    </row>
    <row r="121" spans="1:24" ht="20.100000000000001" customHeight="1" x14ac:dyDescent="0.25"/>
    <row r="122" spans="1:24" ht="20.100000000000001" customHeight="1" thickBot="1" x14ac:dyDescent="0.3"/>
    <row r="123" spans="1:24" ht="20.100000000000001" customHeight="1" x14ac:dyDescent="0.25">
      <c r="A123" s="100" t="s">
        <v>2</v>
      </c>
      <c r="B123" s="101"/>
      <c r="C123" s="191" t="s">
        <v>182</v>
      </c>
      <c r="D123" s="192"/>
      <c r="E123" s="111" t="s">
        <v>397</v>
      </c>
      <c r="F123" s="112"/>
      <c r="G123" s="101" t="s">
        <v>4</v>
      </c>
      <c r="H123" s="101"/>
      <c r="I123" s="102" t="s">
        <v>139</v>
      </c>
      <c r="J123" s="102"/>
      <c r="K123" s="102"/>
      <c r="L123" s="102"/>
      <c r="M123" s="102"/>
      <c r="N123" s="102"/>
      <c r="O123" s="101" t="s">
        <v>6</v>
      </c>
      <c r="P123" s="101"/>
      <c r="Q123" s="103"/>
      <c r="R123" s="104"/>
      <c r="S123" s="104"/>
      <c r="T123" s="104"/>
      <c r="U123" s="104"/>
      <c r="V123" s="104"/>
      <c r="W123" s="105"/>
      <c r="X123" s="1"/>
    </row>
    <row r="124" spans="1:24" ht="20.100000000000001" customHeight="1" x14ac:dyDescent="0.25">
      <c r="A124" s="106" t="s">
        <v>7</v>
      </c>
      <c r="B124" s="107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7"/>
      <c r="R124" s="107"/>
      <c r="S124" s="107"/>
      <c r="T124" s="107"/>
      <c r="U124" s="107"/>
      <c r="V124" s="107"/>
      <c r="W124" s="110"/>
      <c r="X124" s="1"/>
    </row>
    <row r="125" spans="1:24" ht="24.95" customHeight="1" x14ac:dyDescent="0.25">
      <c r="A125" s="113" t="s">
        <v>8</v>
      </c>
      <c r="B125" s="114" t="s">
        <v>9</v>
      </c>
      <c r="C125" s="114" t="s">
        <v>10</v>
      </c>
      <c r="D125" s="114" t="s">
        <v>11</v>
      </c>
      <c r="E125" s="114" t="s">
        <v>12</v>
      </c>
      <c r="F125" s="114" t="s">
        <v>13</v>
      </c>
      <c r="G125" s="114" t="s">
        <v>14</v>
      </c>
      <c r="H125" s="114"/>
      <c r="I125" s="114"/>
      <c r="J125" s="114"/>
      <c r="K125" s="114"/>
      <c r="L125" s="114"/>
      <c r="M125" s="114" t="s">
        <v>15</v>
      </c>
      <c r="N125" s="114" t="s">
        <v>16</v>
      </c>
      <c r="O125" s="114" t="s">
        <v>17</v>
      </c>
      <c r="P125" s="114" t="s">
        <v>18</v>
      </c>
      <c r="Q125" s="114" t="s">
        <v>19</v>
      </c>
      <c r="R125" s="114"/>
      <c r="S125" s="114"/>
      <c r="T125" s="114"/>
      <c r="U125" s="114"/>
      <c r="V125" s="114"/>
      <c r="W125" s="115" t="s">
        <v>20</v>
      </c>
      <c r="X125" s="3"/>
    </row>
    <row r="126" spans="1:24" ht="24.95" customHeight="1" x14ac:dyDescent="0.25">
      <c r="A126" s="113"/>
      <c r="B126" s="114"/>
      <c r="C126" s="114"/>
      <c r="D126" s="114"/>
      <c r="E126" s="114"/>
      <c r="F126" s="114"/>
      <c r="G126" s="31" t="s">
        <v>21</v>
      </c>
      <c r="H126" s="31" t="s">
        <v>21</v>
      </c>
      <c r="I126" s="31" t="s">
        <v>21</v>
      </c>
      <c r="J126" s="31" t="s">
        <v>22</v>
      </c>
      <c r="K126" s="31" t="s">
        <v>22</v>
      </c>
      <c r="L126" s="31" t="s">
        <v>22</v>
      </c>
      <c r="M126" s="114"/>
      <c r="N126" s="114"/>
      <c r="O126" s="114"/>
      <c r="P126" s="114"/>
      <c r="Q126" s="31" t="s">
        <v>21</v>
      </c>
      <c r="R126" s="31" t="s">
        <v>21</v>
      </c>
      <c r="S126" s="31" t="s">
        <v>21</v>
      </c>
      <c r="T126" s="31" t="s">
        <v>22</v>
      </c>
      <c r="U126" s="31" t="s">
        <v>22</v>
      </c>
      <c r="V126" s="31" t="s">
        <v>22</v>
      </c>
      <c r="W126" s="115"/>
      <c r="X126" s="3"/>
    </row>
    <row r="127" spans="1:24" ht="18" customHeight="1" x14ac:dyDescent="0.25">
      <c r="A127" s="5">
        <v>1</v>
      </c>
      <c r="B127" s="21" t="s">
        <v>181</v>
      </c>
      <c r="C127" s="13">
        <v>45738</v>
      </c>
      <c r="D127" s="13">
        <v>45807</v>
      </c>
      <c r="E127" s="8">
        <v>2</v>
      </c>
      <c r="F127" s="8">
        <v>2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spans="1:24" ht="15.75" customHeight="1" x14ac:dyDescent="0.25">
      <c r="A128" s="6">
        <v>2</v>
      </c>
      <c r="B128" s="21" t="s">
        <v>181</v>
      </c>
      <c r="C128" s="13">
        <v>45851</v>
      </c>
      <c r="D128" s="8" t="s">
        <v>428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spans="1:24" ht="15" customHeight="1" x14ac:dyDescent="0.25">
      <c r="A129" s="6">
        <v>3</v>
      </c>
      <c r="B129" s="21" t="s">
        <v>212</v>
      </c>
      <c r="C129" s="13">
        <v>45950</v>
      </c>
      <c r="D129" s="13">
        <v>46021</v>
      </c>
      <c r="E129" s="21">
        <v>2</v>
      </c>
      <c r="F129" s="21">
        <v>0</v>
      </c>
      <c r="G129" s="8"/>
      <c r="H129" s="8"/>
      <c r="I129" s="8"/>
      <c r="J129" s="8">
        <v>114</v>
      </c>
      <c r="K129" s="8">
        <v>117</v>
      </c>
      <c r="L129" s="8"/>
      <c r="M129" s="21">
        <f>AVERAGE(G129:L129)</f>
        <v>115.5</v>
      </c>
      <c r="N129" s="13">
        <v>46039</v>
      </c>
      <c r="O129" s="21">
        <v>2</v>
      </c>
      <c r="P129" s="21">
        <v>0</v>
      </c>
      <c r="Q129" s="21"/>
      <c r="R129" s="21"/>
      <c r="S129" s="21"/>
      <c r="T129" s="21">
        <v>239</v>
      </c>
      <c r="U129" s="21">
        <v>255</v>
      </c>
      <c r="V129" s="21"/>
      <c r="W129" s="22">
        <f>AVERAGE(Q129:V129)</f>
        <v>247</v>
      </c>
    </row>
    <row r="130" spans="1:24" ht="16.5" customHeight="1" x14ac:dyDescent="0.25">
      <c r="A130" s="5">
        <v>4</v>
      </c>
      <c r="B130" s="21" t="s">
        <v>212</v>
      </c>
      <c r="C130" s="13">
        <v>46070</v>
      </c>
      <c r="D130" s="13">
        <v>46167</v>
      </c>
      <c r="E130" s="8">
        <v>4</v>
      </c>
      <c r="F130" s="8">
        <v>0</v>
      </c>
      <c r="G130" s="8">
        <v>120</v>
      </c>
      <c r="H130" s="8"/>
      <c r="I130" s="8"/>
      <c r="J130" s="8">
        <v>112</v>
      </c>
      <c r="K130" s="8">
        <v>115</v>
      </c>
      <c r="L130" s="8">
        <v>110</v>
      </c>
      <c r="M130" s="80">
        <f>AVERAGE(G130:L130)</f>
        <v>114.25</v>
      </c>
      <c r="N130" s="13">
        <v>46183</v>
      </c>
      <c r="O130" s="21">
        <v>4</v>
      </c>
      <c r="P130" s="8">
        <v>0</v>
      </c>
      <c r="Q130" s="8">
        <v>282</v>
      </c>
      <c r="R130" s="8"/>
      <c r="S130" s="8"/>
      <c r="T130" s="8">
        <v>278</v>
      </c>
      <c r="U130" s="8">
        <v>284</v>
      </c>
      <c r="V130" s="8">
        <v>260</v>
      </c>
      <c r="W130" s="22">
        <f>AVERAGE(Q130:V130)</f>
        <v>276</v>
      </c>
    </row>
    <row r="131" spans="1:24" ht="15" customHeight="1" x14ac:dyDescent="0.25">
      <c r="A131" s="5">
        <v>5</v>
      </c>
      <c r="B131" s="21" t="s">
        <v>181</v>
      </c>
      <c r="C131" s="13">
        <v>46181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</row>
    <row r="132" spans="1:24" ht="15.75" customHeight="1" thickBot="1" x14ac:dyDescent="0.3">
      <c r="A132" s="7">
        <v>6</v>
      </c>
      <c r="B132" s="37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4" ht="20.100000000000001" customHeight="1" x14ac:dyDescent="0.25"/>
    <row r="134" spans="1:24" ht="20.100000000000001" customHeight="1" thickBot="1" x14ac:dyDescent="0.3"/>
    <row r="135" spans="1:24" ht="20.100000000000001" customHeight="1" x14ac:dyDescent="0.25">
      <c r="A135" s="100" t="s">
        <v>2</v>
      </c>
      <c r="B135" s="101"/>
      <c r="C135" s="178" t="s">
        <v>183</v>
      </c>
      <c r="D135" s="179"/>
      <c r="E135" s="111" t="s">
        <v>397</v>
      </c>
      <c r="F135" s="112"/>
      <c r="G135" s="101" t="s">
        <v>4</v>
      </c>
      <c r="H135" s="101"/>
      <c r="I135" s="102" t="s">
        <v>139</v>
      </c>
      <c r="J135" s="102"/>
      <c r="K135" s="102"/>
      <c r="L135" s="102"/>
      <c r="M135" s="102"/>
      <c r="N135" s="102"/>
      <c r="O135" s="101" t="s">
        <v>6</v>
      </c>
      <c r="P135" s="101"/>
      <c r="Q135" s="103"/>
      <c r="R135" s="104"/>
      <c r="S135" s="104"/>
      <c r="T135" s="104"/>
      <c r="U135" s="104"/>
      <c r="V135" s="104"/>
      <c r="W135" s="105"/>
      <c r="X135" s="1"/>
    </row>
    <row r="136" spans="1:24" ht="20.100000000000001" customHeight="1" x14ac:dyDescent="0.25">
      <c r="A136" s="106" t="s">
        <v>7</v>
      </c>
      <c r="B136" s="107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7"/>
      <c r="R136" s="107"/>
      <c r="S136" s="107"/>
      <c r="T136" s="107"/>
      <c r="U136" s="107"/>
      <c r="V136" s="107"/>
      <c r="W136" s="110"/>
      <c r="X136" s="1"/>
    </row>
    <row r="137" spans="1:24" ht="24.95" customHeight="1" x14ac:dyDescent="0.25">
      <c r="A137" s="113" t="s">
        <v>8</v>
      </c>
      <c r="B137" s="114" t="s">
        <v>9</v>
      </c>
      <c r="C137" s="114" t="s">
        <v>10</v>
      </c>
      <c r="D137" s="114" t="s">
        <v>11</v>
      </c>
      <c r="E137" s="114" t="s">
        <v>12</v>
      </c>
      <c r="F137" s="114" t="s">
        <v>13</v>
      </c>
      <c r="G137" s="114" t="s">
        <v>14</v>
      </c>
      <c r="H137" s="114"/>
      <c r="I137" s="114"/>
      <c r="J137" s="114"/>
      <c r="K137" s="114"/>
      <c r="L137" s="114"/>
      <c r="M137" s="114" t="s">
        <v>15</v>
      </c>
      <c r="N137" s="114" t="s">
        <v>16</v>
      </c>
      <c r="O137" s="114" t="s">
        <v>17</v>
      </c>
      <c r="P137" s="114" t="s">
        <v>18</v>
      </c>
      <c r="Q137" s="114" t="s">
        <v>19</v>
      </c>
      <c r="R137" s="114"/>
      <c r="S137" s="114"/>
      <c r="T137" s="114"/>
      <c r="U137" s="114"/>
      <c r="V137" s="114"/>
      <c r="W137" s="115" t="s">
        <v>20</v>
      </c>
      <c r="X137" s="3"/>
    </row>
    <row r="138" spans="1:24" ht="24.95" customHeight="1" x14ac:dyDescent="0.25">
      <c r="A138" s="113"/>
      <c r="B138" s="114"/>
      <c r="C138" s="114"/>
      <c r="D138" s="114"/>
      <c r="E138" s="114"/>
      <c r="F138" s="114"/>
      <c r="G138" s="31" t="s">
        <v>21</v>
      </c>
      <c r="H138" s="31" t="s">
        <v>21</v>
      </c>
      <c r="I138" s="31" t="s">
        <v>21</v>
      </c>
      <c r="J138" s="31" t="s">
        <v>22</v>
      </c>
      <c r="K138" s="31" t="s">
        <v>22</v>
      </c>
      <c r="L138" s="31" t="s">
        <v>22</v>
      </c>
      <c r="M138" s="114"/>
      <c r="N138" s="114"/>
      <c r="O138" s="114"/>
      <c r="P138" s="114"/>
      <c r="Q138" s="31" t="s">
        <v>21</v>
      </c>
      <c r="R138" s="31" t="s">
        <v>21</v>
      </c>
      <c r="S138" s="31" t="s">
        <v>21</v>
      </c>
      <c r="T138" s="31" t="s">
        <v>22</v>
      </c>
      <c r="U138" s="31" t="s">
        <v>22</v>
      </c>
      <c r="V138" s="31" t="s">
        <v>22</v>
      </c>
      <c r="W138" s="115"/>
      <c r="X138" s="3"/>
    </row>
    <row r="139" spans="1:24" ht="14.25" customHeight="1" x14ac:dyDescent="0.25">
      <c r="A139" s="5">
        <v>1</v>
      </c>
      <c r="B139" s="21" t="s">
        <v>181</v>
      </c>
      <c r="C139" s="13">
        <v>45738</v>
      </c>
      <c r="D139" s="20">
        <v>45809</v>
      </c>
      <c r="E139" s="21">
        <v>3</v>
      </c>
      <c r="F139" s="21">
        <v>0</v>
      </c>
      <c r="G139" s="21">
        <v>148</v>
      </c>
      <c r="H139" s="21">
        <v>161</v>
      </c>
      <c r="I139" s="21"/>
      <c r="J139" s="21">
        <v>139</v>
      </c>
      <c r="K139" s="21"/>
      <c r="L139" s="21"/>
      <c r="M139" s="41">
        <f>AVERAGE(G139:L139)</f>
        <v>149.33333333333334</v>
      </c>
      <c r="N139" s="20">
        <v>45833</v>
      </c>
      <c r="O139" s="21">
        <v>3</v>
      </c>
      <c r="P139" s="21">
        <v>0</v>
      </c>
      <c r="Q139" s="21">
        <v>227</v>
      </c>
      <c r="R139" s="21">
        <v>280</v>
      </c>
      <c r="S139" s="21"/>
      <c r="T139" s="21"/>
      <c r="U139" s="21">
        <v>264</v>
      </c>
      <c r="V139" s="21"/>
      <c r="W139" s="22">
        <f>AVERAGE(Q139:V139)</f>
        <v>257</v>
      </c>
    </row>
    <row r="140" spans="1:24" ht="15.75" customHeight="1" x14ac:dyDescent="0.25">
      <c r="A140" s="6">
        <v>2</v>
      </c>
      <c r="B140" s="21" t="s">
        <v>181</v>
      </c>
      <c r="C140" s="13">
        <v>45851</v>
      </c>
      <c r="D140" s="20">
        <v>45923</v>
      </c>
      <c r="E140" s="21">
        <v>3</v>
      </c>
      <c r="F140" s="21">
        <v>0</v>
      </c>
      <c r="G140" s="21">
        <v>100</v>
      </c>
      <c r="H140" s="21">
        <v>90</v>
      </c>
      <c r="I140" s="21">
        <v>93</v>
      </c>
      <c r="J140" s="21"/>
      <c r="K140" s="21"/>
      <c r="L140" s="21"/>
      <c r="M140" s="41">
        <f>AVERAGE(G140:L140)</f>
        <v>94.333333333333329</v>
      </c>
      <c r="N140" s="20">
        <v>45944</v>
      </c>
      <c r="O140" s="21">
        <v>2</v>
      </c>
      <c r="P140" s="21">
        <v>1</v>
      </c>
      <c r="Q140" s="21">
        <v>148</v>
      </c>
      <c r="R140" s="21"/>
      <c r="S140" s="21">
        <v>197</v>
      </c>
      <c r="T140" s="21"/>
      <c r="U140" s="21"/>
      <c r="V140" s="21"/>
      <c r="W140" s="22">
        <f>AVERAGE(Q140:V140)</f>
        <v>172.5</v>
      </c>
    </row>
    <row r="141" spans="1:24" ht="15.75" customHeight="1" x14ac:dyDescent="0.25">
      <c r="A141" s="6">
        <v>3</v>
      </c>
      <c r="B141" s="21" t="s">
        <v>212</v>
      </c>
      <c r="C141" s="13">
        <v>45950</v>
      </c>
      <c r="D141" s="20">
        <v>46034</v>
      </c>
      <c r="E141" s="21">
        <v>2</v>
      </c>
      <c r="F141" s="21">
        <v>0</v>
      </c>
      <c r="G141" s="21" t="s">
        <v>488</v>
      </c>
      <c r="H141" s="21">
        <v>125</v>
      </c>
      <c r="I141" s="21"/>
      <c r="J141" s="21"/>
      <c r="K141" s="21"/>
      <c r="L141" s="21"/>
      <c r="M141" s="41">
        <f>AVERAGE(G141:L141)</f>
        <v>125</v>
      </c>
      <c r="N141" s="20">
        <v>46055</v>
      </c>
      <c r="O141" s="21">
        <v>1</v>
      </c>
      <c r="P141" s="21">
        <v>0</v>
      </c>
      <c r="Q141" s="21">
        <v>205</v>
      </c>
      <c r="R141" s="21"/>
      <c r="S141" s="21"/>
      <c r="T141" s="21"/>
      <c r="U141" s="21"/>
      <c r="V141" s="21"/>
      <c r="W141" s="22">
        <v>205</v>
      </c>
    </row>
    <row r="142" spans="1:24" ht="16.5" customHeight="1" x14ac:dyDescent="0.25">
      <c r="A142" s="5">
        <v>4</v>
      </c>
      <c r="B142" s="21" t="s">
        <v>212</v>
      </c>
      <c r="C142" s="13">
        <v>46070</v>
      </c>
      <c r="D142" s="21" t="s">
        <v>428</v>
      </c>
      <c r="E142" s="21"/>
      <c r="F142" s="21"/>
      <c r="G142" s="21"/>
      <c r="H142" s="21"/>
      <c r="I142" s="21"/>
      <c r="J142" s="21"/>
      <c r="K142" s="21"/>
      <c r="L142" s="21"/>
      <c r="M142" s="41"/>
      <c r="N142" s="21"/>
      <c r="O142" s="21"/>
      <c r="P142" s="21"/>
      <c r="Q142" s="21"/>
      <c r="R142" s="21"/>
      <c r="S142" s="21"/>
      <c r="T142" s="21"/>
      <c r="U142" s="21"/>
      <c r="V142" s="21"/>
      <c r="W142" s="22"/>
    </row>
    <row r="143" spans="1:24" ht="17.25" customHeight="1" x14ac:dyDescent="0.25">
      <c r="A143" s="5">
        <v>5</v>
      </c>
      <c r="B143" s="21" t="s">
        <v>181</v>
      </c>
      <c r="C143" s="13">
        <v>46181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41"/>
      <c r="N143" s="21"/>
      <c r="O143" s="21"/>
      <c r="P143" s="21"/>
      <c r="Q143" s="21"/>
      <c r="R143" s="21"/>
      <c r="S143" s="21"/>
      <c r="T143" s="21"/>
      <c r="U143" s="21"/>
      <c r="V143" s="21"/>
      <c r="W143" s="22"/>
    </row>
    <row r="144" spans="1:24" ht="17.25" customHeight="1" thickBot="1" x14ac:dyDescent="0.3">
      <c r="A144" s="7">
        <v>6</v>
      </c>
      <c r="B144" s="37"/>
      <c r="C144" s="10"/>
      <c r="D144" s="37"/>
      <c r="E144" s="37"/>
      <c r="F144" s="37"/>
      <c r="G144" s="37"/>
      <c r="H144" s="37"/>
      <c r="I144" s="37"/>
      <c r="J144" s="37"/>
      <c r="K144" s="37"/>
      <c r="L144" s="37"/>
      <c r="M144" s="42"/>
      <c r="N144" s="37"/>
      <c r="O144" s="37"/>
      <c r="P144" s="37"/>
      <c r="Q144" s="37"/>
      <c r="R144" s="37"/>
      <c r="S144" s="37"/>
      <c r="T144" s="37"/>
      <c r="U144" s="37"/>
      <c r="V144" s="37"/>
      <c r="W144" s="39"/>
    </row>
    <row r="145" spans="1:24" ht="20.100000000000001" customHeight="1" x14ac:dyDescent="0.25"/>
    <row r="146" spans="1:24" ht="20.100000000000001" customHeight="1" thickBot="1" x14ac:dyDescent="0.3"/>
    <row r="147" spans="1:24" ht="20.100000000000001" customHeight="1" x14ac:dyDescent="0.25">
      <c r="A147" s="100" t="s">
        <v>2</v>
      </c>
      <c r="B147" s="101"/>
      <c r="C147" s="191" t="s">
        <v>185</v>
      </c>
      <c r="D147" s="192"/>
      <c r="E147" s="111" t="s">
        <v>397</v>
      </c>
      <c r="F147" s="112"/>
      <c r="G147" s="101" t="s">
        <v>4</v>
      </c>
      <c r="H147" s="101"/>
      <c r="I147" s="102" t="s">
        <v>139</v>
      </c>
      <c r="J147" s="102"/>
      <c r="K147" s="102"/>
      <c r="L147" s="102"/>
      <c r="M147" s="102"/>
      <c r="N147" s="102"/>
      <c r="O147" s="101" t="s">
        <v>6</v>
      </c>
      <c r="P147" s="101"/>
      <c r="Q147" s="103"/>
      <c r="R147" s="104"/>
      <c r="S147" s="104"/>
      <c r="T147" s="104"/>
      <c r="U147" s="104"/>
      <c r="V147" s="104"/>
      <c r="W147" s="105"/>
      <c r="X147" s="1"/>
    </row>
    <row r="148" spans="1:24" ht="20.100000000000001" customHeight="1" x14ac:dyDescent="0.25">
      <c r="A148" s="106" t="s">
        <v>7</v>
      </c>
      <c r="B148" s="107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7"/>
      <c r="R148" s="107"/>
      <c r="S148" s="107"/>
      <c r="T148" s="107"/>
      <c r="U148" s="107"/>
      <c r="V148" s="107"/>
      <c r="W148" s="110"/>
      <c r="X148" s="1"/>
    </row>
    <row r="149" spans="1:24" ht="24.95" customHeight="1" x14ac:dyDescent="0.25">
      <c r="A149" s="113" t="s">
        <v>8</v>
      </c>
      <c r="B149" s="114" t="s">
        <v>9</v>
      </c>
      <c r="C149" s="114" t="s">
        <v>10</v>
      </c>
      <c r="D149" s="114" t="s">
        <v>11</v>
      </c>
      <c r="E149" s="114" t="s">
        <v>12</v>
      </c>
      <c r="F149" s="114" t="s">
        <v>13</v>
      </c>
      <c r="G149" s="114" t="s">
        <v>14</v>
      </c>
      <c r="H149" s="114"/>
      <c r="I149" s="114"/>
      <c r="J149" s="114"/>
      <c r="K149" s="114"/>
      <c r="L149" s="114"/>
      <c r="M149" s="114" t="s">
        <v>15</v>
      </c>
      <c r="N149" s="114" t="s">
        <v>16</v>
      </c>
      <c r="O149" s="114" t="s">
        <v>17</v>
      </c>
      <c r="P149" s="114" t="s">
        <v>18</v>
      </c>
      <c r="Q149" s="114" t="s">
        <v>19</v>
      </c>
      <c r="R149" s="114"/>
      <c r="S149" s="114"/>
      <c r="T149" s="114"/>
      <c r="U149" s="114"/>
      <c r="V149" s="114"/>
      <c r="W149" s="115" t="s">
        <v>20</v>
      </c>
      <c r="X149" s="3"/>
    </row>
    <row r="150" spans="1:24" ht="24.95" customHeight="1" x14ac:dyDescent="0.25">
      <c r="A150" s="113"/>
      <c r="B150" s="114"/>
      <c r="C150" s="114"/>
      <c r="D150" s="114"/>
      <c r="E150" s="114"/>
      <c r="F150" s="114"/>
      <c r="G150" s="31" t="s">
        <v>21</v>
      </c>
      <c r="H150" s="31" t="s">
        <v>21</v>
      </c>
      <c r="I150" s="31" t="s">
        <v>21</v>
      </c>
      <c r="J150" s="31" t="s">
        <v>22</v>
      </c>
      <c r="K150" s="31" t="s">
        <v>22</v>
      </c>
      <c r="L150" s="31" t="s">
        <v>22</v>
      </c>
      <c r="M150" s="114"/>
      <c r="N150" s="114"/>
      <c r="O150" s="114"/>
      <c r="P150" s="114"/>
      <c r="Q150" s="31" t="s">
        <v>21</v>
      </c>
      <c r="R150" s="31" t="s">
        <v>21</v>
      </c>
      <c r="S150" s="31" t="s">
        <v>21</v>
      </c>
      <c r="T150" s="31" t="s">
        <v>22</v>
      </c>
      <c r="U150" s="31" t="s">
        <v>22</v>
      </c>
      <c r="V150" s="31" t="s">
        <v>22</v>
      </c>
      <c r="W150" s="115"/>
      <c r="X150" s="3"/>
    </row>
    <row r="151" spans="1:24" ht="15.75" customHeight="1" x14ac:dyDescent="0.25">
      <c r="A151" s="5">
        <v>1</v>
      </c>
      <c r="B151" s="21" t="s">
        <v>181</v>
      </c>
      <c r="C151" s="13">
        <v>45738</v>
      </c>
      <c r="D151" s="20">
        <v>45809</v>
      </c>
      <c r="E151" s="21">
        <v>3</v>
      </c>
      <c r="F151" s="21">
        <v>0</v>
      </c>
      <c r="G151" s="21">
        <v>161</v>
      </c>
      <c r="H151" s="21"/>
      <c r="I151" s="21"/>
      <c r="J151" s="21">
        <v>148</v>
      </c>
      <c r="K151" s="21">
        <v>139</v>
      </c>
      <c r="L151" s="21"/>
      <c r="M151" s="21" t="s">
        <v>184</v>
      </c>
      <c r="N151" s="20">
        <v>45833</v>
      </c>
      <c r="O151" s="21">
        <v>3</v>
      </c>
      <c r="P151" s="21">
        <v>0</v>
      </c>
      <c r="Q151" s="21">
        <v>280</v>
      </c>
      <c r="R151" s="21"/>
      <c r="S151" s="21"/>
      <c r="T151" s="21">
        <v>227</v>
      </c>
      <c r="U151" s="21">
        <v>264</v>
      </c>
      <c r="V151" s="21"/>
      <c r="W151" s="22">
        <v>257</v>
      </c>
    </row>
    <row r="152" spans="1:24" ht="15" customHeight="1" x14ac:dyDescent="0.25">
      <c r="A152" s="6">
        <v>2</v>
      </c>
      <c r="B152" s="21" t="s">
        <v>181</v>
      </c>
      <c r="C152" s="13">
        <v>45851</v>
      </c>
      <c r="D152" s="20">
        <v>45930</v>
      </c>
      <c r="E152" s="21">
        <v>2</v>
      </c>
      <c r="F152" s="21">
        <v>0</v>
      </c>
      <c r="G152" s="21">
        <v>113</v>
      </c>
      <c r="H152" s="21"/>
      <c r="I152" s="21"/>
      <c r="J152" s="21">
        <v>141</v>
      </c>
      <c r="K152" s="21"/>
      <c r="L152" s="21"/>
      <c r="M152" s="21">
        <f>AVERAGE(G152:L152)</f>
        <v>127</v>
      </c>
      <c r="N152" s="20">
        <v>45944</v>
      </c>
      <c r="O152" s="21">
        <v>2</v>
      </c>
      <c r="P152" s="21">
        <v>0</v>
      </c>
      <c r="Q152" s="21">
        <v>139</v>
      </c>
      <c r="R152" s="21"/>
      <c r="S152" s="21"/>
      <c r="T152" s="21">
        <v>198</v>
      </c>
      <c r="U152" s="21"/>
      <c r="V152" s="21"/>
      <c r="W152" s="68">
        <f>AVERAGE(Q152:V152)</f>
        <v>168.5</v>
      </c>
    </row>
    <row r="153" spans="1:24" ht="14.25" customHeight="1" x14ac:dyDescent="0.25">
      <c r="A153" s="6">
        <v>3</v>
      </c>
      <c r="B153" s="21" t="s">
        <v>212</v>
      </c>
      <c r="C153" s="13">
        <v>45950</v>
      </c>
      <c r="D153" s="20">
        <v>46028</v>
      </c>
      <c r="E153" s="21">
        <v>3</v>
      </c>
      <c r="F153" s="21">
        <v>0</v>
      </c>
      <c r="G153" s="21">
        <v>148</v>
      </c>
      <c r="H153" s="21">
        <v>134</v>
      </c>
      <c r="I153" s="21"/>
      <c r="J153" s="21">
        <v>140</v>
      </c>
      <c r="K153" s="21"/>
      <c r="L153" s="21"/>
      <c r="M153" s="80">
        <f>AVERAGE(G153:L153)</f>
        <v>140.66666666666666</v>
      </c>
      <c r="N153" s="20">
        <v>46055</v>
      </c>
      <c r="O153" s="21">
        <v>2</v>
      </c>
      <c r="P153" s="21">
        <v>1</v>
      </c>
      <c r="Q153" s="21">
        <v>236</v>
      </c>
      <c r="R153" s="21"/>
      <c r="S153" s="21"/>
      <c r="T153" s="21">
        <v>259</v>
      </c>
      <c r="U153" s="21"/>
      <c r="V153" s="21"/>
      <c r="W153" s="68">
        <f>AVERAGE(Q153:V153)</f>
        <v>247.5</v>
      </c>
    </row>
    <row r="154" spans="1:24" ht="18" customHeight="1" x14ac:dyDescent="0.25">
      <c r="A154" s="5">
        <v>4</v>
      </c>
      <c r="B154" s="21" t="s">
        <v>212</v>
      </c>
      <c r="C154" s="13">
        <v>46070</v>
      </c>
      <c r="D154" s="20">
        <v>46144</v>
      </c>
      <c r="E154" s="21">
        <v>2</v>
      </c>
      <c r="F154" s="21">
        <v>0</v>
      </c>
      <c r="G154" s="21">
        <v>117</v>
      </c>
      <c r="H154" s="21">
        <v>120</v>
      </c>
      <c r="I154" s="21"/>
      <c r="J154" s="21"/>
      <c r="K154" s="21"/>
      <c r="L154" s="21"/>
      <c r="M154" s="80">
        <f>AVERAGE(G154:L154)</f>
        <v>118.5</v>
      </c>
      <c r="N154" s="20">
        <v>46176</v>
      </c>
      <c r="O154" s="21">
        <v>2</v>
      </c>
      <c r="P154" s="21">
        <v>0</v>
      </c>
      <c r="Q154" s="21">
        <v>285</v>
      </c>
      <c r="R154" s="21">
        <v>290</v>
      </c>
      <c r="S154" s="21"/>
      <c r="T154" s="21"/>
      <c r="U154" s="21"/>
      <c r="V154" s="21"/>
      <c r="W154" s="68">
        <f>AVERAGE(Q154:V154)</f>
        <v>287.5</v>
      </c>
    </row>
    <row r="155" spans="1:24" ht="17.25" customHeight="1" x14ac:dyDescent="0.25">
      <c r="A155" s="5">
        <v>5</v>
      </c>
      <c r="B155" s="21"/>
      <c r="C155" s="8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2"/>
    </row>
    <row r="156" spans="1:24" ht="17.25" customHeight="1" thickBot="1" x14ac:dyDescent="0.3">
      <c r="A156" s="7">
        <v>6</v>
      </c>
      <c r="B156" s="37"/>
      <c r="C156" s="10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9"/>
    </row>
    <row r="157" spans="1:24" ht="20.100000000000001" customHeight="1" x14ac:dyDescent="0.25"/>
    <row r="158" spans="1:24" ht="20.100000000000001" customHeight="1" thickBot="1" x14ac:dyDescent="0.3"/>
    <row r="159" spans="1:24" ht="20.100000000000001" customHeight="1" x14ac:dyDescent="0.25">
      <c r="A159" s="100" t="s">
        <v>2</v>
      </c>
      <c r="B159" s="101"/>
      <c r="C159" s="178" t="s">
        <v>186</v>
      </c>
      <c r="D159" s="179"/>
      <c r="E159" s="111" t="s">
        <v>397</v>
      </c>
      <c r="F159" s="112"/>
      <c r="G159" s="101" t="s">
        <v>4</v>
      </c>
      <c r="H159" s="101"/>
      <c r="I159" s="102" t="s">
        <v>139</v>
      </c>
      <c r="J159" s="102"/>
      <c r="K159" s="102"/>
      <c r="L159" s="102"/>
      <c r="M159" s="102"/>
      <c r="N159" s="102"/>
      <c r="O159" s="101" t="s">
        <v>6</v>
      </c>
      <c r="P159" s="101"/>
      <c r="Q159" s="103"/>
      <c r="R159" s="104"/>
      <c r="S159" s="104"/>
      <c r="T159" s="104"/>
      <c r="U159" s="104"/>
      <c r="V159" s="104"/>
      <c r="W159" s="105"/>
      <c r="X159" s="1"/>
    </row>
    <row r="160" spans="1:24" ht="20.100000000000001" customHeight="1" x14ac:dyDescent="0.25">
      <c r="A160" s="106" t="s">
        <v>7</v>
      </c>
      <c r="B160" s="107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7"/>
      <c r="R160" s="107"/>
      <c r="S160" s="107"/>
      <c r="T160" s="107"/>
      <c r="U160" s="107"/>
      <c r="V160" s="107"/>
      <c r="W160" s="110"/>
      <c r="X160" s="1"/>
    </row>
    <row r="161" spans="1:24" ht="24.95" customHeight="1" x14ac:dyDescent="0.25">
      <c r="A161" s="113" t="s">
        <v>8</v>
      </c>
      <c r="B161" s="114" t="s">
        <v>9</v>
      </c>
      <c r="C161" s="114" t="s">
        <v>10</v>
      </c>
      <c r="D161" s="114" t="s">
        <v>11</v>
      </c>
      <c r="E161" s="114" t="s">
        <v>12</v>
      </c>
      <c r="F161" s="114" t="s">
        <v>13</v>
      </c>
      <c r="G161" s="114" t="s">
        <v>14</v>
      </c>
      <c r="H161" s="114"/>
      <c r="I161" s="114"/>
      <c r="J161" s="114"/>
      <c r="K161" s="114"/>
      <c r="L161" s="114"/>
      <c r="M161" s="114" t="s">
        <v>15</v>
      </c>
      <c r="N161" s="114" t="s">
        <v>16</v>
      </c>
      <c r="O161" s="114" t="s">
        <v>17</v>
      </c>
      <c r="P161" s="114" t="s">
        <v>18</v>
      </c>
      <c r="Q161" s="114" t="s">
        <v>19</v>
      </c>
      <c r="R161" s="114"/>
      <c r="S161" s="114"/>
      <c r="T161" s="114"/>
      <c r="U161" s="114"/>
      <c r="V161" s="114"/>
      <c r="W161" s="115" t="s">
        <v>20</v>
      </c>
      <c r="X161" s="3"/>
    </row>
    <row r="162" spans="1:24" ht="24.95" customHeight="1" x14ac:dyDescent="0.25">
      <c r="A162" s="113"/>
      <c r="B162" s="114"/>
      <c r="C162" s="114"/>
      <c r="D162" s="114"/>
      <c r="E162" s="114"/>
      <c r="F162" s="114"/>
      <c r="G162" s="31" t="s">
        <v>21</v>
      </c>
      <c r="H162" s="31" t="s">
        <v>21</v>
      </c>
      <c r="I162" s="31" t="s">
        <v>21</v>
      </c>
      <c r="J162" s="31" t="s">
        <v>22</v>
      </c>
      <c r="K162" s="31" t="s">
        <v>22</v>
      </c>
      <c r="L162" s="31" t="s">
        <v>22</v>
      </c>
      <c r="M162" s="114"/>
      <c r="N162" s="114"/>
      <c r="O162" s="114"/>
      <c r="P162" s="114"/>
      <c r="Q162" s="31" t="s">
        <v>21</v>
      </c>
      <c r="R162" s="31" t="s">
        <v>21</v>
      </c>
      <c r="S162" s="31" t="s">
        <v>21</v>
      </c>
      <c r="T162" s="31" t="s">
        <v>22</v>
      </c>
      <c r="U162" s="31" t="s">
        <v>22</v>
      </c>
      <c r="V162" s="31" t="s">
        <v>22</v>
      </c>
      <c r="W162" s="115"/>
      <c r="X162" s="3"/>
    </row>
    <row r="163" spans="1:24" ht="15.75" customHeight="1" x14ac:dyDescent="0.25">
      <c r="A163" s="5">
        <v>1</v>
      </c>
      <c r="B163" s="21" t="s">
        <v>181</v>
      </c>
      <c r="C163" s="13">
        <v>45738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</row>
    <row r="164" spans="1:24" ht="15.75" customHeight="1" x14ac:dyDescent="0.25">
      <c r="A164" s="6">
        <v>2</v>
      </c>
      <c r="B164" s="21" t="s">
        <v>181</v>
      </c>
      <c r="C164" s="13">
        <v>45851</v>
      </c>
      <c r="D164" s="13">
        <v>45929</v>
      </c>
      <c r="E164" s="21">
        <v>3</v>
      </c>
      <c r="F164" s="21">
        <v>0</v>
      </c>
      <c r="G164" s="21"/>
      <c r="H164" s="21"/>
      <c r="I164" s="21"/>
      <c r="J164" s="21">
        <v>110</v>
      </c>
      <c r="K164" s="21">
        <v>115</v>
      </c>
      <c r="L164" s="21">
        <v>108</v>
      </c>
      <c r="M164" s="21">
        <f>AVERAGE(G164:L164)</f>
        <v>111</v>
      </c>
      <c r="N164" s="20">
        <v>45944</v>
      </c>
      <c r="O164" s="21">
        <v>2</v>
      </c>
      <c r="P164" s="21">
        <v>1</v>
      </c>
      <c r="Q164" s="21"/>
      <c r="R164" s="21"/>
      <c r="S164" s="21"/>
      <c r="T164" s="21">
        <v>143</v>
      </c>
      <c r="U164" s="21">
        <v>175</v>
      </c>
      <c r="V164" s="21"/>
      <c r="W164" s="22">
        <f>AVERAGE(Q164:V164)</f>
        <v>159</v>
      </c>
    </row>
    <row r="165" spans="1:24" ht="16.5" customHeight="1" x14ac:dyDescent="0.25">
      <c r="A165" s="6">
        <v>3</v>
      </c>
      <c r="B165" s="21" t="s">
        <v>212</v>
      </c>
      <c r="C165" s="13">
        <v>45950</v>
      </c>
      <c r="D165" s="13">
        <v>46021</v>
      </c>
      <c r="E165" s="21">
        <v>3</v>
      </c>
      <c r="F165" s="21">
        <v>0</v>
      </c>
      <c r="G165" s="21">
        <v>130</v>
      </c>
      <c r="H165" s="21">
        <v>128</v>
      </c>
      <c r="I165" s="21">
        <v>110</v>
      </c>
      <c r="J165" s="21"/>
      <c r="K165" s="21"/>
      <c r="L165" s="21"/>
      <c r="M165" s="41">
        <f>AVERAGE(G165:L165)</f>
        <v>122.66666666666667</v>
      </c>
      <c r="N165" s="20">
        <v>46039</v>
      </c>
      <c r="O165" s="21">
        <v>3</v>
      </c>
      <c r="P165" s="21">
        <v>0</v>
      </c>
      <c r="Q165" s="21">
        <v>265</v>
      </c>
      <c r="R165" s="21">
        <v>281</v>
      </c>
      <c r="S165" s="21">
        <v>249</v>
      </c>
      <c r="T165" s="21"/>
      <c r="U165" s="21"/>
      <c r="V165" s="21"/>
      <c r="W165" s="22">
        <f>AVERAGE(Q165:V165)</f>
        <v>265</v>
      </c>
    </row>
    <row r="166" spans="1:24" ht="17.25" customHeight="1" x14ac:dyDescent="0.25">
      <c r="A166" s="5">
        <v>4</v>
      </c>
      <c r="B166" s="21" t="s">
        <v>212</v>
      </c>
      <c r="C166" s="13">
        <v>46070</v>
      </c>
      <c r="D166" s="8" t="s">
        <v>428</v>
      </c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2"/>
    </row>
    <row r="167" spans="1:24" ht="15.75" customHeight="1" x14ac:dyDescent="0.25">
      <c r="A167" s="5">
        <v>5</v>
      </c>
      <c r="B167" s="21"/>
      <c r="C167" s="8"/>
      <c r="D167" s="8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2"/>
    </row>
    <row r="168" spans="1:24" ht="17.25" customHeight="1" thickBot="1" x14ac:dyDescent="0.3">
      <c r="A168" s="7">
        <v>6</v>
      </c>
      <c r="B168" s="37"/>
      <c r="C168" s="10"/>
      <c r="D168" s="10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9"/>
    </row>
    <row r="169" spans="1:24" ht="20.100000000000001" customHeight="1" x14ac:dyDescent="0.25"/>
    <row r="170" spans="1:24" ht="20.100000000000001" customHeight="1" thickBot="1" x14ac:dyDescent="0.3"/>
    <row r="171" spans="1:24" ht="20.100000000000001" customHeight="1" x14ac:dyDescent="0.25">
      <c r="A171" s="100" t="s">
        <v>2</v>
      </c>
      <c r="B171" s="101"/>
      <c r="C171" s="178" t="s">
        <v>187</v>
      </c>
      <c r="D171" s="179"/>
      <c r="E171" s="111" t="s">
        <v>397</v>
      </c>
      <c r="F171" s="112"/>
      <c r="G171" s="101" t="s">
        <v>4</v>
      </c>
      <c r="H171" s="101"/>
      <c r="I171" s="102" t="s">
        <v>139</v>
      </c>
      <c r="J171" s="102"/>
      <c r="K171" s="102"/>
      <c r="L171" s="102"/>
      <c r="M171" s="102"/>
      <c r="N171" s="102"/>
      <c r="O171" s="101" t="s">
        <v>6</v>
      </c>
      <c r="P171" s="101"/>
      <c r="Q171" s="103"/>
      <c r="R171" s="104"/>
      <c r="S171" s="104"/>
      <c r="T171" s="104"/>
      <c r="U171" s="104"/>
      <c r="V171" s="104"/>
      <c r="W171" s="105"/>
      <c r="X171" s="1"/>
    </row>
    <row r="172" spans="1:24" ht="20.100000000000001" customHeight="1" x14ac:dyDescent="0.25">
      <c r="A172" s="106" t="s">
        <v>7</v>
      </c>
      <c r="B172" s="107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7"/>
      <c r="R172" s="107"/>
      <c r="S172" s="107"/>
      <c r="T172" s="107"/>
      <c r="U172" s="107"/>
      <c r="V172" s="107"/>
      <c r="W172" s="110"/>
      <c r="X172" s="1"/>
    </row>
    <row r="173" spans="1:24" ht="24.95" customHeight="1" x14ac:dyDescent="0.25">
      <c r="A173" s="113" t="s">
        <v>8</v>
      </c>
      <c r="B173" s="114" t="s">
        <v>9</v>
      </c>
      <c r="C173" s="114" t="s">
        <v>10</v>
      </c>
      <c r="D173" s="114" t="s">
        <v>11</v>
      </c>
      <c r="E173" s="114" t="s">
        <v>12</v>
      </c>
      <c r="F173" s="114" t="s">
        <v>13</v>
      </c>
      <c r="G173" s="114" t="s">
        <v>14</v>
      </c>
      <c r="H173" s="114"/>
      <c r="I173" s="114"/>
      <c r="J173" s="114"/>
      <c r="K173" s="114"/>
      <c r="L173" s="114"/>
      <c r="M173" s="114" t="s">
        <v>15</v>
      </c>
      <c r="N173" s="114" t="s">
        <v>16</v>
      </c>
      <c r="O173" s="114" t="s">
        <v>17</v>
      </c>
      <c r="P173" s="114" t="s">
        <v>18</v>
      </c>
      <c r="Q173" s="114" t="s">
        <v>19</v>
      </c>
      <c r="R173" s="114"/>
      <c r="S173" s="114"/>
      <c r="T173" s="114"/>
      <c r="U173" s="114"/>
      <c r="V173" s="114"/>
      <c r="W173" s="115" t="s">
        <v>20</v>
      </c>
      <c r="X173" s="3"/>
    </row>
    <row r="174" spans="1:24" ht="24.95" customHeight="1" x14ac:dyDescent="0.25">
      <c r="A174" s="113"/>
      <c r="B174" s="114"/>
      <c r="C174" s="114"/>
      <c r="D174" s="114"/>
      <c r="E174" s="114"/>
      <c r="F174" s="114"/>
      <c r="G174" s="31" t="s">
        <v>21</v>
      </c>
      <c r="H174" s="31" t="s">
        <v>21</v>
      </c>
      <c r="I174" s="31" t="s">
        <v>21</v>
      </c>
      <c r="J174" s="31" t="s">
        <v>22</v>
      </c>
      <c r="K174" s="31" t="s">
        <v>22</v>
      </c>
      <c r="L174" s="31" t="s">
        <v>22</v>
      </c>
      <c r="M174" s="114"/>
      <c r="N174" s="114"/>
      <c r="O174" s="114"/>
      <c r="P174" s="114"/>
      <c r="Q174" s="31" t="s">
        <v>21</v>
      </c>
      <c r="R174" s="31" t="s">
        <v>21</v>
      </c>
      <c r="S174" s="31" t="s">
        <v>21</v>
      </c>
      <c r="T174" s="31" t="s">
        <v>22</v>
      </c>
      <c r="U174" s="31" t="s">
        <v>22</v>
      </c>
      <c r="V174" s="31" t="s">
        <v>22</v>
      </c>
      <c r="W174" s="115"/>
      <c r="X174" s="3"/>
    </row>
    <row r="175" spans="1:24" ht="15.75" customHeight="1" x14ac:dyDescent="0.25">
      <c r="A175" s="5">
        <v>1</v>
      </c>
      <c r="B175" s="21" t="s">
        <v>181</v>
      </c>
      <c r="C175" s="13">
        <v>45738</v>
      </c>
      <c r="D175" s="20">
        <v>45809</v>
      </c>
      <c r="E175" s="21">
        <v>2</v>
      </c>
      <c r="F175" s="21"/>
      <c r="G175" s="21"/>
      <c r="H175" s="21"/>
      <c r="I175" s="21"/>
      <c r="J175" s="21">
        <v>148</v>
      </c>
      <c r="K175" s="21">
        <v>136</v>
      </c>
      <c r="L175" s="21"/>
      <c r="M175" s="21">
        <f>AVERAGE(J175,K175)</f>
        <v>142</v>
      </c>
      <c r="N175" s="20">
        <v>45833</v>
      </c>
      <c r="O175" s="21">
        <v>2</v>
      </c>
      <c r="P175" s="21">
        <v>0</v>
      </c>
      <c r="Q175" s="21"/>
      <c r="R175" s="21"/>
      <c r="S175" s="21"/>
      <c r="T175" s="21">
        <v>318</v>
      </c>
      <c r="U175" s="21">
        <v>262</v>
      </c>
      <c r="V175" s="21"/>
      <c r="W175" s="22">
        <f>AVERAGE(T175,U175)</f>
        <v>290</v>
      </c>
    </row>
    <row r="176" spans="1:24" ht="15" customHeight="1" x14ac:dyDescent="0.25">
      <c r="A176" s="6">
        <v>2</v>
      </c>
      <c r="B176" s="21" t="s">
        <v>181</v>
      </c>
      <c r="C176" s="13">
        <v>45851</v>
      </c>
      <c r="D176" s="20">
        <v>45925</v>
      </c>
      <c r="E176" s="21">
        <v>3</v>
      </c>
      <c r="F176" s="21">
        <v>0</v>
      </c>
      <c r="G176" s="21"/>
      <c r="H176" s="21"/>
      <c r="I176" s="21"/>
      <c r="J176" s="21">
        <v>118</v>
      </c>
      <c r="K176" s="21">
        <v>107</v>
      </c>
      <c r="L176" s="21">
        <v>105</v>
      </c>
      <c r="M176" s="21">
        <f>AVERAGE(G176:L176)</f>
        <v>110</v>
      </c>
      <c r="N176" s="20">
        <v>45944</v>
      </c>
      <c r="O176" s="21">
        <v>1</v>
      </c>
      <c r="P176" s="21">
        <v>2</v>
      </c>
      <c r="Q176" s="21"/>
      <c r="R176" s="21"/>
      <c r="S176" s="21"/>
      <c r="T176" s="21"/>
      <c r="U176" s="21"/>
      <c r="V176" s="21">
        <v>202</v>
      </c>
      <c r="W176" s="22">
        <f>AVERAGE(Q176:V176)</f>
        <v>202</v>
      </c>
    </row>
    <row r="177" spans="1:24" ht="14.25" customHeight="1" x14ac:dyDescent="0.25">
      <c r="A177" s="6">
        <v>3</v>
      </c>
      <c r="B177" s="21" t="s">
        <v>212</v>
      </c>
      <c r="C177" s="13">
        <v>45950</v>
      </c>
      <c r="D177" s="20">
        <v>46034</v>
      </c>
      <c r="E177" s="21">
        <v>3</v>
      </c>
      <c r="F177" s="21">
        <v>0</v>
      </c>
      <c r="G177" s="21">
        <v>125</v>
      </c>
      <c r="H177" s="21">
        <v>118</v>
      </c>
      <c r="I177" s="21"/>
      <c r="J177" s="21">
        <v>123</v>
      </c>
      <c r="K177" s="21"/>
      <c r="L177" s="21"/>
      <c r="M177" s="21">
        <f>AVERAGE(G177:L177)</f>
        <v>122</v>
      </c>
      <c r="N177" s="20">
        <v>46055</v>
      </c>
      <c r="O177" s="21">
        <v>2</v>
      </c>
      <c r="P177" s="21">
        <v>1</v>
      </c>
      <c r="Q177" s="21">
        <v>172</v>
      </c>
      <c r="R177" s="21"/>
      <c r="S177" s="21"/>
      <c r="T177" s="21">
        <v>207</v>
      </c>
      <c r="U177" s="21"/>
      <c r="V177" s="21"/>
      <c r="W177" s="22">
        <f>AVERAGE(Q177:V177)</f>
        <v>189.5</v>
      </c>
    </row>
    <row r="178" spans="1:24" ht="16.5" customHeight="1" x14ac:dyDescent="0.25">
      <c r="A178" s="5">
        <v>4</v>
      </c>
      <c r="B178" s="21" t="s">
        <v>212</v>
      </c>
      <c r="C178" s="13">
        <v>46070</v>
      </c>
      <c r="D178" s="21" t="s">
        <v>428</v>
      </c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2"/>
    </row>
    <row r="179" spans="1:24" ht="15" customHeight="1" x14ac:dyDescent="0.25">
      <c r="A179" s="5">
        <v>5</v>
      </c>
      <c r="B179" s="21"/>
      <c r="C179" s="8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2"/>
    </row>
    <row r="180" spans="1:24" ht="14.25" customHeight="1" thickBot="1" x14ac:dyDescent="0.3">
      <c r="A180" s="7">
        <v>6</v>
      </c>
      <c r="B180" s="37"/>
      <c r="C180" s="10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9"/>
    </row>
    <row r="181" spans="1:24" ht="20.100000000000001" customHeight="1" x14ac:dyDescent="0.25"/>
    <row r="182" spans="1:24" ht="20.100000000000001" customHeight="1" thickBot="1" x14ac:dyDescent="0.3"/>
    <row r="183" spans="1:24" ht="20.100000000000001" customHeight="1" x14ac:dyDescent="0.25">
      <c r="A183" s="100" t="s">
        <v>2</v>
      </c>
      <c r="B183" s="101"/>
      <c r="C183" s="184" t="s">
        <v>188</v>
      </c>
      <c r="D183" s="185"/>
      <c r="E183" s="111" t="s">
        <v>396</v>
      </c>
      <c r="F183" s="112"/>
      <c r="G183" s="101" t="s">
        <v>4</v>
      </c>
      <c r="H183" s="101"/>
      <c r="I183" s="102" t="s">
        <v>139</v>
      </c>
      <c r="J183" s="102"/>
      <c r="K183" s="102"/>
      <c r="L183" s="102"/>
      <c r="M183" s="102"/>
      <c r="N183" s="102"/>
      <c r="O183" s="101" t="s">
        <v>6</v>
      </c>
      <c r="P183" s="101"/>
      <c r="Q183" s="103"/>
      <c r="R183" s="104"/>
      <c r="S183" s="104"/>
      <c r="T183" s="104"/>
      <c r="U183" s="104"/>
      <c r="V183" s="104"/>
      <c r="W183" s="105"/>
      <c r="X183" s="1"/>
    </row>
    <row r="184" spans="1:24" ht="20.100000000000001" customHeight="1" x14ac:dyDescent="0.25">
      <c r="A184" s="106" t="s">
        <v>7</v>
      </c>
      <c r="B184" s="107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7"/>
      <c r="R184" s="107"/>
      <c r="S184" s="107"/>
      <c r="T184" s="107"/>
      <c r="U184" s="107"/>
      <c r="V184" s="107"/>
      <c r="W184" s="110"/>
      <c r="X184" s="1"/>
    </row>
    <row r="185" spans="1:24" ht="24.95" customHeight="1" x14ac:dyDescent="0.25">
      <c r="A185" s="113" t="s">
        <v>8</v>
      </c>
      <c r="B185" s="114" t="s">
        <v>9</v>
      </c>
      <c r="C185" s="114" t="s">
        <v>10</v>
      </c>
      <c r="D185" s="114" t="s">
        <v>11</v>
      </c>
      <c r="E185" s="114" t="s">
        <v>12</v>
      </c>
      <c r="F185" s="114" t="s">
        <v>13</v>
      </c>
      <c r="G185" s="114" t="s">
        <v>14</v>
      </c>
      <c r="H185" s="114"/>
      <c r="I185" s="114"/>
      <c r="J185" s="114"/>
      <c r="K185" s="114"/>
      <c r="L185" s="114"/>
      <c r="M185" s="114" t="s">
        <v>15</v>
      </c>
      <c r="N185" s="114" t="s">
        <v>16</v>
      </c>
      <c r="O185" s="114" t="s">
        <v>17</v>
      </c>
      <c r="P185" s="114" t="s">
        <v>18</v>
      </c>
      <c r="Q185" s="114" t="s">
        <v>19</v>
      </c>
      <c r="R185" s="114"/>
      <c r="S185" s="114"/>
      <c r="T185" s="114"/>
      <c r="U185" s="114"/>
      <c r="V185" s="114"/>
      <c r="W185" s="115" t="s">
        <v>20</v>
      </c>
      <c r="X185" s="3"/>
    </row>
    <row r="186" spans="1:24" ht="24.95" customHeight="1" x14ac:dyDescent="0.25">
      <c r="A186" s="113"/>
      <c r="B186" s="114"/>
      <c r="C186" s="114"/>
      <c r="D186" s="114"/>
      <c r="E186" s="114"/>
      <c r="F186" s="114"/>
      <c r="G186" s="31" t="s">
        <v>21</v>
      </c>
      <c r="H186" s="31" t="s">
        <v>21</v>
      </c>
      <c r="I186" s="31" t="s">
        <v>21</v>
      </c>
      <c r="J186" s="31" t="s">
        <v>22</v>
      </c>
      <c r="K186" s="31" t="s">
        <v>22</v>
      </c>
      <c r="L186" s="31" t="s">
        <v>22</v>
      </c>
      <c r="M186" s="114"/>
      <c r="N186" s="114"/>
      <c r="O186" s="114"/>
      <c r="P186" s="114"/>
      <c r="Q186" s="31" t="s">
        <v>21</v>
      </c>
      <c r="R186" s="31" t="s">
        <v>21</v>
      </c>
      <c r="S186" s="31" t="s">
        <v>21</v>
      </c>
      <c r="T186" s="31" t="s">
        <v>22</v>
      </c>
      <c r="U186" s="31" t="s">
        <v>22</v>
      </c>
      <c r="V186" s="31" t="s">
        <v>22</v>
      </c>
      <c r="W186" s="115"/>
      <c r="X186" s="3"/>
    </row>
    <row r="187" spans="1:24" ht="15.75" customHeight="1" x14ac:dyDescent="0.25">
      <c r="A187" s="5">
        <v>1</v>
      </c>
      <c r="B187" s="21" t="s">
        <v>175</v>
      </c>
      <c r="C187" s="13">
        <v>45770</v>
      </c>
      <c r="D187" s="20">
        <v>45849</v>
      </c>
      <c r="E187" s="21">
        <v>2</v>
      </c>
      <c r="F187" s="21">
        <v>0</v>
      </c>
      <c r="G187" s="21">
        <v>164</v>
      </c>
      <c r="H187" s="21"/>
      <c r="I187" s="21"/>
      <c r="J187" s="21">
        <v>162</v>
      </c>
      <c r="K187" s="21"/>
      <c r="L187" s="21"/>
      <c r="M187" s="21">
        <f>AVERAGE(G187:L187)</f>
        <v>163</v>
      </c>
      <c r="N187" s="20">
        <v>45869</v>
      </c>
      <c r="O187" s="21">
        <v>2</v>
      </c>
      <c r="P187" s="21">
        <v>0</v>
      </c>
      <c r="Q187" s="21">
        <v>204</v>
      </c>
      <c r="R187" s="21"/>
      <c r="S187" s="21"/>
      <c r="T187" s="21">
        <v>317</v>
      </c>
      <c r="U187" s="21"/>
      <c r="V187" s="21"/>
      <c r="W187" s="22">
        <f>AVERAGE(Q187:V187)</f>
        <v>260.5</v>
      </c>
    </row>
    <row r="188" spans="1:24" ht="15" customHeight="1" x14ac:dyDescent="0.25">
      <c r="A188" s="6">
        <v>2</v>
      </c>
      <c r="B188" s="21" t="s">
        <v>159</v>
      </c>
      <c r="C188" s="13">
        <v>45884</v>
      </c>
      <c r="D188" s="20">
        <v>45955</v>
      </c>
      <c r="E188" s="21">
        <v>4</v>
      </c>
      <c r="F188" s="21">
        <v>0</v>
      </c>
      <c r="G188" s="21">
        <v>105</v>
      </c>
      <c r="H188" s="21"/>
      <c r="I188" s="21"/>
      <c r="J188" s="21">
        <v>92</v>
      </c>
      <c r="K188" s="21">
        <v>122</v>
      </c>
      <c r="L188" s="21">
        <v>71</v>
      </c>
      <c r="M188" s="21"/>
      <c r="N188" s="20">
        <v>45973</v>
      </c>
      <c r="O188" s="21">
        <v>4</v>
      </c>
      <c r="P188" s="21">
        <v>0</v>
      </c>
      <c r="Q188" s="21">
        <v>141</v>
      </c>
      <c r="R188" s="21"/>
      <c r="S188" s="21"/>
      <c r="T188" s="21">
        <v>127</v>
      </c>
      <c r="U188" s="21">
        <v>139</v>
      </c>
      <c r="V188" s="21">
        <v>131</v>
      </c>
      <c r="W188" s="22">
        <f>AVERAGE(Q188:V188)</f>
        <v>134.5</v>
      </c>
    </row>
    <row r="189" spans="1:24" ht="17.25" customHeight="1" x14ac:dyDescent="0.25">
      <c r="A189" s="6">
        <v>3</v>
      </c>
      <c r="B189" s="21" t="s">
        <v>162</v>
      </c>
      <c r="C189" s="13">
        <v>46039</v>
      </c>
      <c r="D189" s="20">
        <v>46108</v>
      </c>
      <c r="E189" s="21">
        <v>2</v>
      </c>
      <c r="F189" s="21">
        <v>0</v>
      </c>
      <c r="G189" s="21">
        <v>116</v>
      </c>
      <c r="H189" s="21">
        <v>118</v>
      </c>
      <c r="I189" s="21"/>
      <c r="J189" s="21"/>
      <c r="K189" s="21"/>
      <c r="L189" s="21"/>
      <c r="M189" s="21">
        <f>AVERAGE(G189:L189)</f>
        <v>117</v>
      </c>
      <c r="N189" s="20">
        <v>46133</v>
      </c>
      <c r="O189" s="21">
        <v>2</v>
      </c>
      <c r="P189" s="21">
        <v>0</v>
      </c>
      <c r="Q189" s="21">
        <v>180</v>
      </c>
      <c r="R189" s="21">
        <v>279</v>
      </c>
      <c r="S189" s="21"/>
      <c r="T189" s="21"/>
      <c r="U189" s="21"/>
      <c r="V189" s="21"/>
      <c r="W189" s="22">
        <f>AVERAGE(Q189:V189)</f>
        <v>229.5</v>
      </c>
    </row>
    <row r="190" spans="1:24" ht="17.25" customHeight="1" x14ac:dyDescent="0.25">
      <c r="A190" s="5">
        <v>4</v>
      </c>
      <c r="B190" s="21" t="s">
        <v>162</v>
      </c>
      <c r="C190" s="13">
        <v>46148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2"/>
    </row>
    <row r="191" spans="1:24" ht="17.25" customHeight="1" x14ac:dyDescent="0.25">
      <c r="A191" s="5">
        <v>5</v>
      </c>
      <c r="B191" s="21"/>
      <c r="C191" s="8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2"/>
    </row>
    <row r="192" spans="1:24" ht="15.75" customHeight="1" thickBot="1" x14ac:dyDescent="0.3">
      <c r="A192" s="7">
        <v>6</v>
      </c>
      <c r="B192" s="37"/>
      <c r="C192" s="10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9"/>
    </row>
    <row r="193" spans="1:24" ht="20.100000000000001" customHeight="1" x14ac:dyDescent="0.25"/>
    <row r="194" spans="1:24" ht="20.100000000000001" customHeight="1" thickBot="1" x14ac:dyDescent="0.3"/>
    <row r="195" spans="1:24" ht="20.100000000000001" customHeight="1" x14ac:dyDescent="0.25">
      <c r="A195" s="100" t="s">
        <v>2</v>
      </c>
      <c r="B195" s="101"/>
      <c r="C195" s="178" t="s">
        <v>189</v>
      </c>
      <c r="D195" s="179"/>
      <c r="E195" s="111" t="s">
        <v>398</v>
      </c>
      <c r="F195" s="112"/>
      <c r="G195" s="101" t="s">
        <v>4</v>
      </c>
      <c r="H195" s="101"/>
      <c r="I195" s="102" t="s">
        <v>139</v>
      </c>
      <c r="J195" s="102"/>
      <c r="K195" s="102"/>
      <c r="L195" s="102"/>
      <c r="M195" s="102"/>
      <c r="N195" s="102"/>
      <c r="O195" s="101" t="s">
        <v>6</v>
      </c>
      <c r="P195" s="101"/>
      <c r="Q195" s="103"/>
      <c r="R195" s="104"/>
      <c r="S195" s="104"/>
      <c r="T195" s="104"/>
      <c r="U195" s="104"/>
      <c r="V195" s="104"/>
      <c r="W195" s="105"/>
      <c r="X195" s="1"/>
    </row>
    <row r="196" spans="1:24" ht="20.100000000000001" customHeight="1" x14ac:dyDescent="0.25">
      <c r="A196" s="106" t="s">
        <v>7</v>
      </c>
      <c r="B196" s="107"/>
      <c r="C196" s="116" t="s">
        <v>44</v>
      </c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09"/>
      <c r="P196" s="109"/>
      <c r="Q196" s="107"/>
      <c r="R196" s="107"/>
      <c r="S196" s="107"/>
      <c r="T196" s="107"/>
      <c r="U196" s="107"/>
      <c r="V196" s="107"/>
      <c r="W196" s="110"/>
      <c r="X196" s="1"/>
    </row>
    <row r="197" spans="1:24" ht="24.95" customHeight="1" x14ac:dyDescent="0.25">
      <c r="A197" s="113" t="s">
        <v>8</v>
      </c>
      <c r="B197" s="114" t="s">
        <v>9</v>
      </c>
      <c r="C197" s="114" t="s">
        <v>10</v>
      </c>
      <c r="D197" s="114" t="s">
        <v>11</v>
      </c>
      <c r="E197" s="114" t="s">
        <v>12</v>
      </c>
      <c r="F197" s="114" t="s">
        <v>13</v>
      </c>
      <c r="G197" s="114" t="s">
        <v>14</v>
      </c>
      <c r="H197" s="114"/>
      <c r="I197" s="114"/>
      <c r="J197" s="114"/>
      <c r="K197" s="114"/>
      <c r="L197" s="114"/>
      <c r="M197" s="114" t="s">
        <v>15</v>
      </c>
      <c r="N197" s="114" t="s">
        <v>16</v>
      </c>
      <c r="O197" s="114" t="s">
        <v>17</v>
      </c>
      <c r="P197" s="114" t="s">
        <v>18</v>
      </c>
      <c r="Q197" s="114" t="s">
        <v>19</v>
      </c>
      <c r="R197" s="114"/>
      <c r="S197" s="114"/>
      <c r="T197" s="114"/>
      <c r="U197" s="114"/>
      <c r="V197" s="114"/>
      <c r="W197" s="115" t="s">
        <v>20</v>
      </c>
      <c r="X197" s="3"/>
    </row>
    <row r="198" spans="1:24" ht="24.95" customHeight="1" x14ac:dyDescent="0.25">
      <c r="A198" s="113"/>
      <c r="B198" s="114"/>
      <c r="C198" s="114"/>
      <c r="D198" s="114"/>
      <c r="E198" s="114"/>
      <c r="F198" s="114"/>
      <c r="G198" s="31" t="s">
        <v>21</v>
      </c>
      <c r="H198" s="31" t="s">
        <v>21</v>
      </c>
      <c r="I198" s="31" t="s">
        <v>21</v>
      </c>
      <c r="J198" s="31" t="s">
        <v>22</v>
      </c>
      <c r="K198" s="31" t="s">
        <v>22</v>
      </c>
      <c r="L198" s="31" t="s">
        <v>22</v>
      </c>
      <c r="M198" s="114"/>
      <c r="N198" s="114"/>
      <c r="O198" s="114"/>
      <c r="P198" s="114"/>
      <c r="Q198" s="31" t="s">
        <v>21</v>
      </c>
      <c r="R198" s="31" t="s">
        <v>21</v>
      </c>
      <c r="S198" s="31" t="s">
        <v>21</v>
      </c>
      <c r="T198" s="31" t="s">
        <v>22</v>
      </c>
      <c r="U198" s="31" t="s">
        <v>22</v>
      </c>
      <c r="V198" s="31" t="s">
        <v>22</v>
      </c>
      <c r="W198" s="115"/>
      <c r="X198" s="3"/>
    </row>
    <row r="199" spans="1:24" ht="15.75" customHeight="1" x14ac:dyDescent="0.25">
      <c r="A199" s="5">
        <v>1</v>
      </c>
      <c r="B199" s="20" t="s">
        <v>175</v>
      </c>
      <c r="C199" s="13">
        <v>45738</v>
      </c>
      <c r="D199" s="13">
        <v>45849</v>
      </c>
      <c r="E199" s="8">
        <v>2</v>
      </c>
      <c r="F199" s="8">
        <v>0</v>
      </c>
      <c r="G199" s="8">
        <v>162</v>
      </c>
      <c r="H199" s="8"/>
      <c r="I199" s="8"/>
      <c r="J199" s="8">
        <v>164</v>
      </c>
      <c r="K199" s="8"/>
      <c r="L199" s="8"/>
      <c r="M199" s="8"/>
      <c r="N199" s="13">
        <v>45869</v>
      </c>
      <c r="O199" s="8">
        <v>2</v>
      </c>
      <c r="P199" s="8">
        <v>0</v>
      </c>
      <c r="Q199" s="8">
        <v>204</v>
      </c>
      <c r="R199" s="8"/>
      <c r="S199" s="8"/>
      <c r="T199" s="8">
        <v>317</v>
      </c>
      <c r="U199" s="8"/>
      <c r="V199" s="8"/>
      <c r="W199" s="9"/>
    </row>
    <row r="200" spans="1:24" ht="16.5" customHeight="1" x14ac:dyDescent="0.25">
      <c r="A200" s="6">
        <v>2</v>
      </c>
      <c r="B200" s="21" t="s">
        <v>175</v>
      </c>
      <c r="C200" s="13">
        <v>45851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</row>
    <row r="201" spans="1:24" ht="14.25" customHeight="1" x14ac:dyDescent="0.25">
      <c r="A201" s="6">
        <v>3</v>
      </c>
      <c r="B201" s="21" t="s">
        <v>242</v>
      </c>
      <c r="C201" s="13">
        <v>45950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</row>
    <row r="202" spans="1:24" ht="16.5" customHeight="1" x14ac:dyDescent="0.25">
      <c r="A202" s="5">
        <v>4</v>
      </c>
      <c r="B202" s="21" t="s">
        <v>242</v>
      </c>
      <c r="C202" s="13">
        <v>46039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</row>
    <row r="203" spans="1:24" ht="17.25" customHeight="1" x14ac:dyDescent="0.25">
      <c r="A203" s="5">
        <v>5</v>
      </c>
      <c r="B203" s="21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</row>
    <row r="204" spans="1:24" ht="17.25" customHeight="1" thickBot="1" x14ac:dyDescent="0.3">
      <c r="A204" s="7">
        <v>6</v>
      </c>
      <c r="B204" s="37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4" ht="20.100000000000001" customHeight="1" x14ac:dyDescent="0.25"/>
    <row r="206" spans="1:24" ht="20.100000000000001" customHeight="1" thickBot="1" x14ac:dyDescent="0.3"/>
    <row r="207" spans="1:24" ht="20.100000000000001" customHeight="1" x14ac:dyDescent="0.25">
      <c r="A207" s="100" t="s">
        <v>2</v>
      </c>
      <c r="B207" s="101"/>
      <c r="C207" s="132" t="s">
        <v>190</v>
      </c>
      <c r="D207" s="133"/>
      <c r="E207" s="111" t="s">
        <v>396</v>
      </c>
      <c r="F207" s="112"/>
      <c r="G207" s="101" t="s">
        <v>4</v>
      </c>
      <c r="H207" s="101"/>
      <c r="I207" s="102" t="s">
        <v>139</v>
      </c>
      <c r="J207" s="102"/>
      <c r="K207" s="102"/>
      <c r="L207" s="102"/>
      <c r="M207" s="102"/>
      <c r="N207" s="102"/>
      <c r="O207" s="101" t="s">
        <v>6</v>
      </c>
      <c r="P207" s="101"/>
      <c r="Q207" s="103"/>
      <c r="R207" s="104"/>
      <c r="S207" s="104"/>
      <c r="T207" s="104"/>
      <c r="U207" s="104"/>
      <c r="V207" s="104"/>
      <c r="W207" s="105"/>
      <c r="X207" s="1"/>
    </row>
    <row r="208" spans="1:24" ht="20.100000000000001" customHeight="1" x14ac:dyDescent="0.25">
      <c r="A208" s="106" t="s">
        <v>7</v>
      </c>
      <c r="B208" s="107"/>
      <c r="C208" s="135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7"/>
      <c r="O208" s="109"/>
      <c r="P208" s="109"/>
      <c r="Q208" s="107"/>
      <c r="R208" s="107"/>
      <c r="S208" s="107"/>
      <c r="T208" s="107"/>
      <c r="U208" s="107"/>
      <c r="V208" s="107"/>
      <c r="W208" s="110"/>
      <c r="X208" s="1"/>
    </row>
    <row r="209" spans="1:24" ht="24.95" customHeight="1" x14ac:dyDescent="0.25">
      <c r="A209" s="113" t="s">
        <v>8</v>
      </c>
      <c r="B209" s="114" t="s">
        <v>9</v>
      </c>
      <c r="C209" s="138" t="s">
        <v>10</v>
      </c>
      <c r="D209" s="138" t="s">
        <v>11</v>
      </c>
      <c r="E209" s="138" t="s">
        <v>12</v>
      </c>
      <c r="F209" s="138" t="s">
        <v>13</v>
      </c>
      <c r="G209" s="140" t="s">
        <v>14</v>
      </c>
      <c r="H209" s="141"/>
      <c r="I209" s="141"/>
      <c r="J209" s="141"/>
      <c r="K209" s="141"/>
      <c r="L209" s="142"/>
      <c r="M209" s="138" t="s">
        <v>15</v>
      </c>
      <c r="N209" s="138" t="s">
        <v>16</v>
      </c>
      <c r="O209" s="114" t="s">
        <v>17</v>
      </c>
      <c r="P209" s="114" t="s">
        <v>18</v>
      </c>
      <c r="Q209" s="114" t="s">
        <v>19</v>
      </c>
      <c r="R209" s="114"/>
      <c r="S209" s="114"/>
      <c r="T209" s="114"/>
      <c r="U209" s="114"/>
      <c r="V209" s="114"/>
      <c r="W209" s="115" t="s">
        <v>20</v>
      </c>
      <c r="X209" s="3"/>
    </row>
    <row r="210" spans="1:24" ht="24.95" customHeight="1" x14ac:dyDescent="0.25">
      <c r="A210" s="113"/>
      <c r="B210" s="114"/>
      <c r="C210" s="139"/>
      <c r="D210" s="139"/>
      <c r="E210" s="139"/>
      <c r="F210" s="139"/>
      <c r="G210" s="31" t="s">
        <v>21</v>
      </c>
      <c r="H210" s="31" t="s">
        <v>21</v>
      </c>
      <c r="I210" s="31" t="s">
        <v>21</v>
      </c>
      <c r="J210" s="31" t="s">
        <v>22</v>
      </c>
      <c r="K210" s="31" t="s">
        <v>22</v>
      </c>
      <c r="L210" s="31" t="s">
        <v>22</v>
      </c>
      <c r="M210" s="139"/>
      <c r="N210" s="139"/>
      <c r="O210" s="114"/>
      <c r="P210" s="114"/>
      <c r="Q210" s="31" t="s">
        <v>21</v>
      </c>
      <c r="R210" s="31" t="s">
        <v>21</v>
      </c>
      <c r="S210" s="31" t="s">
        <v>21</v>
      </c>
      <c r="T210" s="31" t="s">
        <v>22</v>
      </c>
      <c r="U210" s="31" t="s">
        <v>22</v>
      </c>
      <c r="V210" s="31" t="s">
        <v>22</v>
      </c>
      <c r="W210" s="115"/>
      <c r="X210" s="3"/>
    </row>
    <row r="211" spans="1:24" ht="15" customHeight="1" x14ac:dyDescent="0.25">
      <c r="A211" s="5">
        <v>1</v>
      </c>
      <c r="B211" s="21" t="s">
        <v>175</v>
      </c>
      <c r="C211" s="20">
        <v>45770</v>
      </c>
      <c r="D211" s="20">
        <v>45840</v>
      </c>
      <c r="E211" s="21">
        <v>3</v>
      </c>
      <c r="F211" s="21">
        <v>0</v>
      </c>
      <c r="G211" s="21">
        <v>100</v>
      </c>
      <c r="H211" s="21">
        <v>114</v>
      </c>
      <c r="I211" s="21"/>
      <c r="J211" s="21">
        <v>111</v>
      </c>
      <c r="K211" s="21"/>
      <c r="L211" s="21"/>
      <c r="M211" s="41">
        <f>AVERAGE(G211:L211)</f>
        <v>108.33333333333333</v>
      </c>
      <c r="N211" s="20">
        <v>45869</v>
      </c>
      <c r="O211" s="21">
        <v>2</v>
      </c>
      <c r="P211" s="21">
        <v>1</v>
      </c>
      <c r="Q211" s="21">
        <v>253</v>
      </c>
      <c r="R211" s="21"/>
      <c r="S211" s="21"/>
      <c r="T211" s="21">
        <v>183</v>
      </c>
      <c r="U211" s="21"/>
      <c r="V211" s="21"/>
      <c r="W211" s="22">
        <f>AVERAGE(Q211:V211)</f>
        <v>218</v>
      </c>
    </row>
    <row r="212" spans="1:24" ht="16.5" customHeight="1" x14ac:dyDescent="0.25">
      <c r="A212" s="6">
        <v>2</v>
      </c>
      <c r="B212" s="21" t="s">
        <v>159</v>
      </c>
      <c r="C212" s="20">
        <v>45884</v>
      </c>
      <c r="D212" s="21" t="s">
        <v>428</v>
      </c>
      <c r="E212" s="21"/>
      <c r="F212" s="21"/>
      <c r="G212" s="21"/>
      <c r="H212" s="21"/>
      <c r="I212" s="21"/>
      <c r="J212" s="21"/>
      <c r="K212" s="21"/>
      <c r="L212" s="21"/>
      <c r="M212" s="41"/>
      <c r="N212" s="21"/>
      <c r="O212" s="21"/>
      <c r="P212" s="21"/>
      <c r="Q212" s="21"/>
      <c r="R212" s="21"/>
      <c r="S212" s="21"/>
      <c r="T212" s="21"/>
      <c r="U212" s="21"/>
      <c r="V212" s="21"/>
      <c r="W212" s="22"/>
    </row>
    <row r="213" spans="1:24" ht="15.75" customHeight="1" x14ac:dyDescent="0.25">
      <c r="A213" s="6">
        <v>3</v>
      </c>
      <c r="B213" s="21" t="s">
        <v>162</v>
      </c>
      <c r="C213" s="13">
        <v>46039</v>
      </c>
      <c r="D213" s="20">
        <v>46118</v>
      </c>
      <c r="E213" s="21">
        <v>3</v>
      </c>
      <c r="F213" s="21">
        <v>0</v>
      </c>
      <c r="G213" s="21">
        <v>115</v>
      </c>
      <c r="H213" s="21"/>
      <c r="I213" s="21"/>
      <c r="J213" s="21">
        <v>122</v>
      </c>
      <c r="K213" s="21">
        <v>118</v>
      </c>
      <c r="L213" s="21"/>
      <c r="M213" s="41">
        <f>AVERAGE(G213:L213)</f>
        <v>118.33333333333333</v>
      </c>
      <c r="N213" s="20">
        <v>46139</v>
      </c>
      <c r="O213" s="21">
        <v>3</v>
      </c>
      <c r="P213" s="21">
        <v>0</v>
      </c>
      <c r="Q213" s="21">
        <v>231</v>
      </c>
      <c r="R213" s="21"/>
      <c r="S213" s="21"/>
      <c r="T213" s="21">
        <v>132</v>
      </c>
      <c r="U213" s="21">
        <v>197</v>
      </c>
      <c r="V213" s="21"/>
      <c r="W213" s="40">
        <f>AVERAGE(Q213:V213)</f>
        <v>186.66666666666666</v>
      </c>
    </row>
    <row r="214" spans="1:24" ht="15.75" customHeight="1" x14ac:dyDescent="0.25">
      <c r="A214" s="5">
        <v>4</v>
      </c>
      <c r="B214" s="21" t="s">
        <v>162</v>
      </c>
      <c r="C214" s="13">
        <v>46148</v>
      </c>
      <c r="D214" s="21"/>
      <c r="E214" s="21"/>
      <c r="F214" s="21"/>
      <c r="G214" s="21"/>
      <c r="H214" s="21"/>
      <c r="I214" s="21"/>
      <c r="J214" s="21"/>
      <c r="K214" s="21"/>
      <c r="L214" s="21"/>
      <c r="M214" s="41"/>
      <c r="N214" s="21"/>
      <c r="O214" s="21"/>
      <c r="P214" s="21"/>
      <c r="Q214" s="21"/>
      <c r="R214" s="21"/>
      <c r="S214" s="21"/>
      <c r="T214" s="21"/>
      <c r="U214" s="21"/>
      <c r="V214" s="21"/>
      <c r="W214" s="22"/>
    </row>
    <row r="215" spans="1:24" ht="16.5" customHeight="1" x14ac:dyDescent="0.25">
      <c r="A215" s="5">
        <v>5</v>
      </c>
      <c r="B215" s="8"/>
      <c r="C215" s="8"/>
      <c r="D215" s="21"/>
      <c r="E215" s="21"/>
      <c r="F215" s="21"/>
      <c r="G215" s="21"/>
      <c r="H215" s="21"/>
      <c r="I215" s="21"/>
      <c r="J215" s="21"/>
      <c r="K215" s="21"/>
      <c r="L215" s="21"/>
      <c r="M215" s="41"/>
      <c r="N215" s="21"/>
      <c r="O215" s="21"/>
      <c r="P215" s="21"/>
      <c r="Q215" s="21"/>
      <c r="R215" s="21"/>
      <c r="S215" s="21"/>
      <c r="T215" s="21"/>
      <c r="U215" s="21"/>
      <c r="V215" s="21"/>
      <c r="W215" s="22"/>
    </row>
    <row r="216" spans="1:24" ht="15.75" customHeight="1" thickBot="1" x14ac:dyDescent="0.3">
      <c r="A216" s="7">
        <v>6</v>
      </c>
      <c r="B216" s="10"/>
      <c r="C216" s="10"/>
      <c r="D216" s="37"/>
      <c r="E216" s="37"/>
      <c r="F216" s="37"/>
      <c r="G216" s="37"/>
      <c r="H216" s="37"/>
      <c r="I216" s="37"/>
      <c r="J216" s="37"/>
      <c r="K216" s="37"/>
      <c r="L216" s="37"/>
      <c r="M216" s="42"/>
      <c r="N216" s="37"/>
      <c r="O216" s="37"/>
      <c r="P216" s="37"/>
      <c r="Q216" s="37"/>
      <c r="R216" s="37"/>
      <c r="S216" s="37"/>
      <c r="T216" s="37"/>
      <c r="U216" s="37"/>
      <c r="V216" s="37"/>
      <c r="W216" s="39"/>
    </row>
    <row r="217" spans="1:24" ht="20.100000000000001" customHeight="1" x14ac:dyDescent="0.25"/>
    <row r="218" spans="1:24" ht="20.100000000000001" customHeight="1" thickBot="1" x14ac:dyDescent="0.3"/>
    <row r="219" spans="1:24" ht="20.100000000000001" customHeight="1" x14ac:dyDescent="0.25">
      <c r="A219" s="100" t="s">
        <v>2</v>
      </c>
      <c r="B219" s="101"/>
      <c r="C219" s="111" t="s">
        <v>191</v>
      </c>
      <c r="D219" s="112"/>
      <c r="E219" s="111" t="s">
        <v>398</v>
      </c>
      <c r="F219" s="112"/>
      <c r="G219" s="101" t="s">
        <v>4</v>
      </c>
      <c r="H219" s="101"/>
      <c r="I219" s="102" t="s">
        <v>139</v>
      </c>
      <c r="J219" s="102"/>
      <c r="K219" s="102"/>
      <c r="L219" s="102"/>
      <c r="M219" s="102"/>
      <c r="N219" s="102"/>
      <c r="O219" s="101" t="s">
        <v>6</v>
      </c>
      <c r="P219" s="101"/>
      <c r="Q219" s="103"/>
      <c r="R219" s="104"/>
      <c r="S219" s="104"/>
      <c r="T219" s="104"/>
      <c r="U219" s="104"/>
      <c r="V219" s="104"/>
      <c r="W219" s="105"/>
      <c r="X219" s="1"/>
    </row>
    <row r="220" spans="1:24" ht="20.100000000000001" customHeight="1" x14ac:dyDescent="0.25">
      <c r="A220" s="106" t="s">
        <v>7</v>
      </c>
      <c r="B220" s="107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7"/>
      <c r="R220" s="107"/>
      <c r="S220" s="107"/>
      <c r="T220" s="107"/>
      <c r="U220" s="107"/>
      <c r="V220" s="107"/>
      <c r="W220" s="110"/>
      <c r="X220" s="1"/>
    </row>
    <row r="221" spans="1:24" ht="24.95" customHeight="1" x14ac:dyDescent="0.25">
      <c r="A221" s="113" t="s">
        <v>8</v>
      </c>
      <c r="B221" s="114" t="s">
        <v>9</v>
      </c>
      <c r="C221" s="114" t="s">
        <v>10</v>
      </c>
      <c r="D221" s="114" t="s">
        <v>11</v>
      </c>
      <c r="E221" s="114" t="s">
        <v>12</v>
      </c>
      <c r="F221" s="114" t="s">
        <v>13</v>
      </c>
      <c r="G221" s="114" t="s">
        <v>14</v>
      </c>
      <c r="H221" s="114"/>
      <c r="I221" s="114"/>
      <c r="J221" s="114"/>
      <c r="K221" s="114"/>
      <c r="L221" s="114"/>
      <c r="M221" s="114" t="s">
        <v>15</v>
      </c>
      <c r="N221" s="114" t="s">
        <v>16</v>
      </c>
      <c r="O221" s="114" t="s">
        <v>17</v>
      </c>
      <c r="P221" s="114" t="s">
        <v>18</v>
      </c>
      <c r="Q221" s="114" t="s">
        <v>19</v>
      </c>
      <c r="R221" s="114"/>
      <c r="S221" s="114"/>
      <c r="T221" s="114"/>
      <c r="U221" s="114"/>
      <c r="V221" s="114"/>
      <c r="W221" s="115" t="s">
        <v>20</v>
      </c>
      <c r="X221" s="3"/>
    </row>
    <row r="222" spans="1:24" ht="24.95" customHeight="1" x14ac:dyDescent="0.25">
      <c r="A222" s="113"/>
      <c r="B222" s="114"/>
      <c r="C222" s="114"/>
      <c r="D222" s="114"/>
      <c r="E222" s="114"/>
      <c r="F222" s="114"/>
      <c r="G222" s="31" t="s">
        <v>21</v>
      </c>
      <c r="H222" s="31" t="s">
        <v>21</v>
      </c>
      <c r="I222" s="31" t="s">
        <v>21</v>
      </c>
      <c r="J222" s="31" t="s">
        <v>22</v>
      </c>
      <c r="K222" s="31" t="s">
        <v>22</v>
      </c>
      <c r="L222" s="31" t="s">
        <v>22</v>
      </c>
      <c r="M222" s="114"/>
      <c r="N222" s="114"/>
      <c r="O222" s="114"/>
      <c r="P222" s="114"/>
      <c r="Q222" s="31" t="s">
        <v>21</v>
      </c>
      <c r="R222" s="31" t="s">
        <v>21</v>
      </c>
      <c r="S222" s="31" t="s">
        <v>21</v>
      </c>
      <c r="T222" s="31" t="s">
        <v>22</v>
      </c>
      <c r="U222" s="31" t="s">
        <v>22</v>
      </c>
      <c r="V222" s="31" t="s">
        <v>22</v>
      </c>
      <c r="W222" s="115"/>
      <c r="X222" s="3"/>
    </row>
    <row r="223" spans="1:24" ht="17.25" customHeight="1" x14ac:dyDescent="0.25">
      <c r="A223" s="5">
        <v>1</v>
      </c>
      <c r="B223" s="21" t="s">
        <v>175</v>
      </c>
      <c r="C223" s="13">
        <v>45738</v>
      </c>
      <c r="D223" s="20">
        <v>45830</v>
      </c>
      <c r="E223" s="21">
        <v>1</v>
      </c>
      <c r="F223" s="21">
        <v>0</v>
      </c>
      <c r="G223" s="21">
        <v>187</v>
      </c>
      <c r="H223" s="21"/>
      <c r="I223" s="21"/>
      <c r="J223" s="21"/>
      <c r="K223" s="21"/>
      <c r="L223" s="21"/>
      <c r="M223" s="21">
        <v>187</v>
      </c>
      <c r="N223" s="20">
        <v>45869</v>
      </c>
      <c r="O223" s="21">
        <v>1</v>
      </c>
      <c r="P223" s="21">
        <v>0</v>
      </c>
      <c r="Q223" s="21">
        <v>261</v>
      </c>
      <c r="R223" s="21"/>
      <c r="S223" s="21"/>
      <c r="T223" s="21"/>
      <c r="U223" s="21"/>
      <c r="V223" s="21"/>
      <c r="W223" s="22">
        <v>261</v>
      </c>
    </row>
    <row r="224" spans="1:24" ht="17.25" customHeight="1" x14ac:dyDescent="0.25">
      <c r="A224" s="6">
        <v>2</v>
      </c>
      <c r="B224" s="21" t="s">
        <v>175</v>
      </c>
      <c r="C224" s="13">
        <v>45851</v>
      </c>
      <c r="D224" s="20">
        <v>45925</v>
      </c>
      <c r="E224" s="21">
        <v>3</v>
      </c>
      <c r="F224" s="21">
        <v>0</v>
      </c>
      <c r="G224" s="21">
        <v>127</v>
      </c>
      <c r="H224" s="21"/>
      <c r="I224" s="21"/>
      <c r="J224" s="21">
        <v>110</v>
      </c>
      <c r="K224" s="21">
        <v>119</v>
      </c>
      <c r="L224" s="21"/>
      <c r="M224" s="41">
        <f>AVERAGE(G224:L224)</f>
        <v>118.66666666666667</v>
      </c>
      <c r="N224" s="20">
        <v>45944</v>
      </c>
      <c r="O224" s="21">
        <v>3</v>
      </c>
      <c r="P224" s="21">
        <v>0</v>
      </c>
      <c r="Q224" s="21">
        <v>236</v>
      </c>
      <c r="R224" s="21"/>
      <c r="S224" s="21"/>
      <c r="T224" s="21">
        <v>179</v>
      </c>
      <c r="U224" s="21">
        <v>267</v>
      </c>
      <c r="V224" s="21"/>
      <c r="W224" s="40">
        <f>AVERAGE(Q224:V224)</f>
        <v>227.33333333333334</v>
      </c>
    </row>
    <row r="225" spans="1:24" ht="16.5" customHeight="1" x14ac:dyDescent="0.25">
      <c r="A225" s="6">
        <v>3</v>
      </c>
      <c r="B225" s="21" t="s">
        <v>242</v>
      </c>
      <c r="C225" s="13">
        <v>45950</v>
      </c>
      <c r="D225" s="20">
        <v>46023</v>
      </c>
      <c r="E225" s="21">
        <v>4</v>
      </c>
      <c r="F225" s="21">
        <v>0</v>
      </c>
      <c r="G225" s="21">
        <v>120</v>
      </c>
      <c r="H225" s="21">
        <v>125</v>
      </c>
      <c r="I225" s="21"/>
      <c r="J225" s="21">
        <v>118</v>
      </c>
      <c r="K225" s="21">
        <v>110</v>
      </c>
      <c r="L225" s="21"/>
      <c r="M225" s="41">
        <f>AVERAGE(G225:L225)</f>
        <v>118.25</v>
      </c>
      <c r="N225" s="20">
        <v>46039</v>
      </c>
      <c r="O225" s="21">
        <v>4</v>
      </c>
      <c r="P225" s="21">
        <v>0</v>
      </c>
      <c r="Q225" s="21">
        <v>217</v>
      </c>
      <c r="R225" s="21">
        <v>197</v>
      </c>
      <c r="S225" s="21"/>
      <c r="T225" s="21">
        <v>187</v>
      </c>
      <c r="U225" s="21">
        <v>163</v>
      </c>
      <c r="V225" s="21"/>
      <c r="W225" s="40">
        <f>AVERAGE(Q225:V225)</f>
        <v>191</v>
      </c>
    </row>
    <row r="226" spans="1:24" ht="17.25" customHeight="1" x14ac:dyDescent="0.25">
      <c r="A226" s="5">
        <v>4</v>
      </c>
      <c r="B226" s="21" t="s">
        <v>242</v>
      </c>
      <c r="C226" s="13">
        <v>46039</v>
      </c>
      <c r="D226" s="20">
        <v>45382</v>
      </c>
      <c r="E226" s="21">
        <v>3</v>
      </c>
      <c r="F226" s="21">
        <v>0</v>
      </c>
      <c r="G226" s="21"/>
      <c r="H226" s="21"/>
      <c r="I226" s="21"/>
      <c r="J226" s="21">
        <v>108</v>
      </c>
      <c r="K226" s="21">
        <v>117</v>
      </c>
      <c r="L226" s="21">
        <v>139</v>
      </c>
      <c r="M226" s="41">
        <f>AVERAGE(G226:L226)</f>
        <v>121.33333333333333</v>
      </c>
      <c r="N226" s="20">
        <v>46133</v>
      </c>
      <c r="O226" s="21">
        <v>3</v>
      </c>
      <c r="P226" s="21">
        <v>0</v>
      </c>
      <c r="Q226" s="21"/>
      <c r="R226" s="21"/>
      <c r="S226" s="21"/>
      <c r="T226" s="21">
        <v>280</v>
      </c>
      <c r="U226" s="21">
        <v>288</v>
      </c>
      <c r="V226" s="21">
        <v>299</v>
      </c>
      <c r="W226" s="40">
        <f>AVERAGE(Q226:V226)</f>
        <v>289</v>
      </c>
    </row>
    <row r="227" spans="1:24" ht="18" customHeight="1" x14ac:dyDescent="0.25">
      <c r="A227" s="5">
        <v>5</v>
      </c>
      <c r="B227" s="21" t="s">
        <v>243</v>
      </c>
      <c r="C227" s="13">
        <v>46148</v>
      </c>
      <c r="D227" s="21"/>
      <c r="E227" s="21"/>
      <c r="F227" s="21"/>
      <c r="G227" s="21"/>
      <c r="H227" s="21"/>
      <c r="I227" s="21"/>
      <c r="J227" s="21"/>
      <c r="K227" s="21"/>
      <c r="L227" s="21"/>
      <c r="M227" s="41"/>
      <c r="N227" s="21"/>
      <c r="O227" s="21"/>
      <c r="P227" s="21"/>
      <c r="Q227" s="21"/>
      <c r="R227" s="21"/>
      <c r="S227" s="21"/>
      <c r="T227" s="21"/>
      <c r="U227" s="21"/>
      <c r="V227" s="21"/>
      <c r="W227" s="40"/>
    </row>
    <row r="228" spans="1:24" ht="15.75" customHeight="1" thickBot="1" x14ac:dyDescent="0.3">
      <c r="A228" s="7">
        <v>6</v>
      </c>
      <c r="B228" s="37"/>
      <c r="C228" s="10"/>
      <c r="D228" s="37"/>
      <c r="E228" s="37"/>
      <c r="F228" s="37"/>
      <c r="G228" s="37"/>
      <c r="H228" s="37"/>
      <c r="I228" s="37"/>
      <c r="J228" s="37"/>
      <c r="K228" s="37"/>
      <c r="L228" s="37"/>
      <c r="M228" s="42"/>
      <c r="N228" s="37"/>
      <c r="O228" s="37"/>
      <c r="P228" s="37"/>
      <c r="Q228" s="37"/>
      <c r="R228" s="37"/>
      <c r="S228" s="37"/>
      <c r="T228" s="37"/>
      <c r="U228" s="37"/>
      <c r="V228" s="37"/>
      <c r="W228" s="43"/>
    </row>
    <row r="229" spans="1:24" ht="20.100000000000001" customHeight="1" x14ac:dyDescent="0.25"/>
    <row r="230" spans="1:24" ht="20.100000000000001" customHeight="1" thickBot="1" x14ac:dyDescent="0.3"/>
    <row r="231" spans="1:24" ht="20.100000000000001" customHeight="1" x14ac:dyDescent="0.25">
      <c r="A231" s="100" t="s">
        <v>2</v>
      </c>
      <c r="B231" s="101"/>
      <c r="C231" s="184" t="s">
        <v>192</v>
      </c>
      <c r="D231" s="185"/>
      <c r="E231" s="111" t="s">
        <v>398</v>
      </c>
      <c r="F231" s="112"/>
      <c r="G231" s="101" t="s">
        <v>4</v>
      </c>
      <c r="H231" s="101"/>
      <c r="I231" s="102" t="s">
        <v>5</v>
      </c>
      <c r="J231" s="102"/>
      <c r="K231" s="102"/>
      <c r="L231" s="102"/>
      <c r="M231" s="102"/>
      <c r="N231" s="102"/>
      <c r="O231" s="101" t="s">
        <v>6</v>
      </c>
      <c r="P231" s="101"/>
      <c r="Q231" s="103"/>
      <c r="R231" s="104"/>
      <c r="S231" s="104"/>
      <c r="T231" s="104"/>
      <c r="U231" s="104"/>
      <c r="V231" s="104"/>
      <c r="W231" s="105"/>
      <c r="X231" s="1"/>
    </row>
    <row r="232" spans="1:24" ht="20.100000000000001" customHeight="1" x14ac:dyDescent="0.25">
      <c r="A232" s="106" t="s">
        <v>7</v>
      </c>
      <c r="B232" s="107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7"/>
      <c r="R232" s="107"/>
      <c r="S232" s="107"/>
      <c r="T232" s="107"/>
      <c r="U232" s="107"/>
      <c r="V232" s="107"/>
      <c r="W232" s="110"/>
      <c r="X232" s="1"/>
    </row>
    <row r="233" spans="1:24" ht="24.95" customHeight="1" x14ac:dyDescent="0.25">
      <c r="A233" s="113" t="s">
        <v>8</v>
      </c>
      <c r="B233" s="114" t="s">
        <v>9</v>
      </c>
      <c r="C233" s="114" t="s">
        <v>10</v>
      </c>
      <c r="D233" s="114" t="s">
        <v>11</v>
      </c>
      <c r="E233" s="114" t="s">
        <v>12</v>
      </c>
      <c r="F233" s="114" t="s">
        <v>13</v>
      </c>
      <c r="G233" s="114" t="s">
        <v>14</v>
      </c>
      <c r="H233" s="114"/>
      <c r="I233" s="114"/>
      <c r="J233" s="114"/>
      <c r="K233" s="114"/>
      <c r="L233" s="114"/>
      <c r="M233" s="114" t="s">
        <v>15</v>
      </c>
      <c r="N233" s="114" t="s">
        <v>16</v>
      </c>
      <c r="O233" s="114" t="s">
        <v>17</v>
      </c>
      <c r="P233" s="114" t="s">
        <v>18</v>
      </c>
      <c r="Q233" s="114" t="s">
        <v>19</v>
      </c>
      <c r="R233" s="114"/>
      <c r="S233" s="114"/>
      <c r="T233" s="114"/>
      <c r="U233" s="114"/>
      <c r="V233" s="114"/>
      <c r="W233" s="115" t="s">
        <v>20</v>
      </c>
      <c r="X233" s="3"/>
    </row>
    <row r="234" spans="1:24" ht="24.95" customHeight="1" x14ac:dyDescent="0.25">
      <c r="A234" s="113"/>
      <c r="B234" s="114"/>
      <c r="C234" s="114"/>
      <c r="D234" s="114"/>
      <c r="E234" s="114"/>
      <c r="F234" s="114"/>
      <c r="G234" s="31" t="s">
        <v>21</v>
      </c>
      <c r="H234" s="31" t="s">
        <v>21</v>
      </c>
      <c r="I234" s="31" t="s">
        <v>21</v>
      </c>
      <c r="J234" s="31" t="s">
        <v>22</v>
      </c>
      <c r="K234" s="31" t="s">
        <v>22</v>
      </c>
      <c r="L234" s="31" t="s">
        <v>22</v>
      </c>
      <c r="M234" s="114"/>
      <c r="N234" s="114"/>
      <c r="O234" s="114"/>
      <c r="P234" s="114"/>
      <c r="Q234" s="31" t="s">
        <v>21</v>
      </c>
      <c r="R234" s="31" t="s">
        <v>21</v>
      </c>
      <c r="S234" s="31" t="s">
        <v>21</v>
      </c>
      <c r="T234" s="31" t="s">
        <v>22</v>
      </c>
      <c r="U234" s="31" t="s">
        <v>22</v>
      </c>
      <c r="V234" s="31" t="s">
        <v>22</v>
      </c>
      <c r="W234" s="115"/>
      <c r="X234" s="3"/>
    </row>
    <row r="235" spans="1:24" ht="16.5" customHeight="1" x14ac:dyDescent="0.25">
      <c r="A235" s="5">
        <v>1</v>
      </c>
      <c r="B235" s="21" t="s">
        <v>175</v>
      </c>
      <c r="C235" s="13">
        <v>45738</v>
      </c>
      <c r="D235" s="13">
        <v>45834</v>
      </c>
      <c r="E235" s="21">
        <v>1</v>
      </c>
      <c r="F235" s="21">
        <v>0</v>
      </c>
      <c r="G235" s="21">
        <v>187</v>
      </c>
      <c r="H235" s="21"/>
      <c r="I235" s="21"/>
      <c r="J235" s="21"/>
      <c r="K235" s="21"/>
      <c r="L235" s="21"/>
      <c r="M235" s="21"/>
      <c r="N235" s="20">
        <v>45848</v>
      </c>
      <c r="O235" s="21">
        <v>1</v>
      </c>
      <c r="P235" s="21">
        <v>0</v>
      </c>
      <c r="Q235" s="21">
        <v>261</v>
      </c>
      <c r="R235" s="21"/>
      <c r="S235" s="21"/>
      <c r="T235" s="21"/>
      <c r="U235" s="21"/>
      <c r="V235" s="21"/>
      <c r="W235" s="22"/>
    </row>
    <row r="236" spans="1:24" ht="16.5" customHeight="1" x14ac:dyDescent="0.25">
      <c r="A236" s="6">
        <v>2</v>
      </c>
      <c r="B236" s="21" t="s">
        <v>175</v>
      </c>
      <c r="C236" s="13">
        <v>45851</v>
      </c>
      <c r="D236" s="13">
        <v>45925</v>
      </c>
      <c r="E236" s="21">
        <v>4</v>
      </c>
      <c r="F236" s="21">
        <v>1</v>
      </c>
      <c r="G236" s="21">
        <v>106</v>
      </c>
      <c r="H236" s="21"/>
      <c r="I236" s="21"/>
      <c r="J236" s="21">
        <v>101</v>
      </c>
      <c r="K236" s="21">
        <v>111</v>
      </c>
      <c r="L236" s="21"/>
      <c r="M236" s="21">
        <f>AVERAGE(G236:L236)</f>
        <v>106</v>
      </c>
      <c r="N236" s="20">
        <v>45944</v>
      </c>
      <c r="O236" s="21">
        <v>2</v>
      </c>
      <c r="P236" s="21">
        <v>1</v>
      </c>
      <c r="Q236" s="21">
        <v>205</v>
      </c>
      <c r="R236" s="21"/>
      <c r="S236" s="21"/>
      <c r="T236" s="21"/>
      <c r="U236" s="21">
        <v>194</v>
      </c>
      <c r="V236" s="21"/>
      <c r="W236" s="22">
        <f>AVERAGE(Q236:V236)</f>
        <v>199.5</v>
      </c>
    </row>
    <row r="237" spans="1:24" ht="15.75" customHeight="1" x14ac:dyDescent="0.25">
      <c r="A237" s="6">
        <v>3</v>
      </c>
      <c r="B237" s="21" t="s">
        <v>242</v>
      </c>
      <c r="C237" s="13">
        <v>45950</v>
      </c>
      <c r="D237" s="13">
        <v>45669</v>
      </c>
      <c r="E237" s="21">
        <v>4</v>
      </c>
      <c r="F237" s="21">
        <v>0</v>
      </c>
      <c r="G237" s="21">
        <v>118</v>
      </c>
      <c r="H237" s="21">
        <v>105</v>
      </c>
      <c r="I237" s="21">
        <v>109</v>
      </c>
      <c r="J237" s="21">
        <v>115</v>
      </c>
      <c r="K237" s="21"/>
      <c r="L237" s="21"/>
      <c r="M237" s="41">
        <f>AVERAGE(G237:L237)</f>
        <v>111.75</v>
      </c>
      <c r="N237" s="20">
        <v>46055</v>
      </c>
      <c r="O237" s="21">
        <v>3</v>
      </c>
      <c r="P237" s="21">
        <v>1</v>
      </c>
      <c r="Q237" s="21">
        <v>247</v>
      </c>
      <c r="R237" s="21">
        <v>236</v>
      </c>
      <c r="S237" s="21">
        <v>202</v>
      </c>
      <c r="T237" s="21"/>
      <c r="U237" s="21"/>
      <c r="V237" s="21"/>
      <c r="W237" s="40">
        <f>AVERAGE(Q237:V237)</f>
        <v>228.33333333333334</v>
      </c>
    </row>
    <row r="238" spans="1:24" ht="15.75" customHeight="1" x14ac:dyDescent="0.25">
      <c r="A238" s="5">
        <v>4</v>
      </c>
      <c r="B238" s="21" t="s">
        <v>242</v>
      </c>
      <c r="C238" s="13">
        <v>46039</v>
      </c>
      <c r="D238" s="13">
        <v>46120</v>
      </c>
      <c r="E238" s="21">
        <v>2</v>
      </c>
      <c r="F238" s="21">
        <v>0</v>
      </c>
      <c r="G238" s="21">
        <v>128</v>
      </c>
      <c r="H238" s="21">
        <v>125</v>
      </c>
      <c r="I238" s="21"/>
      <c r="J238" s="21"/>
      <c r="K238" s="21"/>
      <c r="L238" s="21"/>
      <c r="M238" s="21">
        <f>AVERAGE(G238:L238)</f>
        <v>126.5</v>
      </c>
      <c r="N238" s="20">
        <v>46139</v>
      </c>
      <c r="O238" s="21">
        <v>2</v>
      </c>
      <c r="P238" s="21">
        <v>1</v>
      </c>
      <c r="Q238" s="21">
        <v>360</v>
      </c>
      <c r="R238" s="21"/>
      <c r="S238" s="21"/>
      <c r="T238" s="21"/>
      <c r="U238" s="21"/>
      <c r="V238" s="21"/>
      <c r="W238" s="22">
        <v>360</v>
      </c>
    </row>
    <row r="239" spans="1:24" ht="15.75" customHeight="1" x14ac:dyDescent="0.25">
      <c r="A239" s="5">
        <v>5</v>
      </c>
      <c r="B239" s="21" t="s">
        <v>243</v>
      </c>
      <c r="C239" s="13">
        <v>46148</v>
      </c>
      <c r="D239" s="8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2"/>
    </row>
    <row r="240" spans="1:24" ht="16.5" customHeight="1" thickBot="1" x14ac:dyDescent="0.3">
      <c r="A240" s="7">
        <v>6</v>
      </c>
      <c r="B240" s="37"/>
      <c r="C240" s="10"/>
      <c r="D240" s="10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9"/>
    </row>
  </sheetData>
  <mergeCells count="482">
    <mergeCell ref="W233:W234"/>
    <mergeCell ref="G233:L233"/>
    <mergeCell ref="M233:M234"/>
    <mergeCell ref="N233:N234"/>
    <mergeCell ref="O233:O234"/>
    <mergeCell ref="P233:P234"/>
    <mergeCell ref="Q233:V233"/>
    <mergeCell ref="A232:B232"/>
    <mergeCell ref="C232:N232"/>
    <mergeCell ref="O232:P232"/>
    <mergeCell ref="Q232:W232"/>
    <mergeCell ref="A233:A234"/>
    <mergeCell ref="B233:B234"/>
    <mergeCell ref="C233:C234"/>
    <mergeCell ref="D233:D234"/>
    <mergeCell ref="E233:E234"/>
    <mergeCell ref="F233:F234"/>
    <mergeCell ref="A231:B231"/>
    <mergeCell ref="G231:H231"/>
    <mergeCell ref="I231:N231"/>
    <mergeCell ref="O231:P231"/>
    <mergeCell ref="Q231:W231"/>
    <mergeCell ref="G221:L221"/>
    <mergeCell ref="M221:M222"/>
    <mergeCell ref="N221:N222"/>
    <mergeCell ref="O221:O222"/>
    <mergeCell ref="P221:P222"/>
    <mergeCell ref="Q221:V221"/>
    <mergeCell ref="C231:D231"/>
    <mergeCell ref="E231:F231"/>
    <mergeCell ref="A220:B220"/>
    <mergeCell ref="C220:N220"/>
    <mergeCell ref="O220:P220"/>
    <mergeCell ref="Q220:W220"/>
    <mergeCell ref="A221:A222"/>
    <mergeCell ref="B221:B222"/>
    <mergeCell ref="C221:C222"/>
    <mergeCell ref="D221:D222"/>
    <mergeCell ref="E221:E222"/>
    <mergeCell ref="F221:F222"/>
    <mergeCell ref="W221:W222"/>
    <mergeCell ref="A219:B219"/>
    <mergeCell ref="G219:H219"/>
    <mergeCell ref="I219:N219"/>
    <mergeCell ref="O219:P219"/>
    <mergeCell ref="Q219:W219"/>
    <mergeCell ref="G209:L209"/>
    <mergeCell ref="M209:M210"/>
    <mergeCell ref="N209:N210"/>
    <mergeCell ref="O209:O210"/>
    <mergeCell ref="P209:P210"/>
    <mergeCell ref="Q209:V209"/>
    <mergeCell ref="C219:D219"/>
    <mergeCell ref="E219:F219"/>
    <mergeCell ref="A208:B208"/>
    <mergeCell ref="C208:N208"/>
    <mergeCell ref="O208:P208"/>
    <mergeCell ref="Q208:W208"/>
    <mergeCell ref="A209:A210"/>
    <mergeCell ref="B209:B210"/>
    <mergeCell ref="C209:C210"/>
    <mergeCell ref="D209:D210"/>
    <mergeCell ref="E209:E210"/>
    <mergeCell ref="F209:F210"/>
    <mergeCell ref="W209:W210"/>
    <mergeCell ref="A207:B207"/>
    <mergeCell ref="G207:H207"/>
    <mergeCell ref="I207:N207"/>
    <mergeCell ref="O207:P207"/>
    <mergeCell ref="Q207:W207"/>
    <mergeCell ref="G197:L197"/>
    <mergeCell ref="M197:M198"/>
    <mergeCell ref="N197:N198"/>
    <mergeCell ref="O197:O198"/>
    <mergeCell ref="P197:P198"/>
    <mergeCell ref="Q197:V197"/>
    <mergeCell ref="C207:D207"/>
    <mergeCell ref="E207:F207"/>
    <mergeCell ref="A196:B196"/>
    <mergeCell ref="C196:N196"/>
    <mergeCell ref="O196:P196"/>
    <mergeCell ref="Q196:W196"/>
    <mergeCell ref="A197:A198"/>
    <mergeCell ref="B197:B198"/>
    <mergeCell ref="C197:C198"/>
    <mergeCell ref="D197:D198"/>
    <mergeCell ref="E197:E198"/>
    <mergeCell ref="F197:F198"/>
    <mergeCell ref="W197:W198"/>
    <mergeCell ref="A195:B195"/>
    <mergeCell ref="G195:H195"/>
    <mergeCell ref="I195:N195"/>
    <mergeCell ref="O195:P195"/>
    <mergeCell ref="Q195:W195"/>
    <mergeCell ref="G185:L185"/>
    <mergeCell ref="M185:M186"/>
    <mergeCell ref="N185:N186"/>
    <mergeCell ref="O185:O186"/>
    <mergeCell ref="P185:P186"/>
    <mergeCell ref="Q185:V185"/>
    <mergeCell ref="C195:D195"/>
    <mergeCell ref="E195:F195"/>
    <mergeCell ref="A184:B184"/>
    <mergeCell ref="C184:N184"/>
    <mergeCell ref="O184:P184"/>
    <mergeCell ref="Q184:W184"/>
    <mergeCell ref="A185:A186"/>
    <mergeCell ref="B185:B186"/>
    <mergeCell ref="C185:C186"/>
    <mergeCell ref="D185:D186"/>
    <mergeCell ref="E185:E186"/>
    <mergeCell ref="F185:F186"/>
    <mergeCell ref="W185:W186"/>
    <mergeCell ref="A183:B183"/>
    <mergeCell ref="G183:H183"/>
    <mergeCell ref="I183:N183"/>
    <mergeCell ref="O183:P183"/>
    <mergeCell ref="Q183:W183"/>
    <mergeCell ref="G173:L173"/>
    <mergeCell ref="M173:M174"/>
    <mergeCell ref="N173:N174"/>
    <mergeCell ref="O173:O174"/>
    <mergeCell ref="P173:P174"/>
    <mergeCell ref="Q173:V173"/>
    <mergeCell ref="C183:D183"/>
    <mergeCell ref="E183:F183"/>
    <mergeCell ref="A172:B172"/>
    <mergeCell ref="C172:N172"/>
    <mergeCell ref="O172:P172"/>
    <mergeCell ref="Q172:W172"/>
    <mergeCell ref="A173:A174"/>
    <mergeCell ref="B173:B174"/>
    <mergeCell ref="C173:C174"/>
    <mergeCell ref="D173:D174"/>
    <mergeCell ref="E173:E174"/>
    <mergeCell ref="F173:F174"/>
    <mergeCell ref="W173:W174"/>
    <mergeCell ref="A171:B171"/>
    <mergeCell ref="G171:H171"/>
    <mergeCell ref="I171:N171"/>
    <mergeCell ref="O171:P171"/>
    <mergeCell ref="Q171:W171"/>
    <mergeCell ref="G161:L161"/>
    <mergeCell ref="M161:M162"/>
    <mergeCell ref="N161:N162"/>
    <mergeCell ref="O161:O162"/>
    <mergeCell ref="P161:P162"/>
    <mergeCell ref="Q161:V161"/>
    <mergeCell ref="C171:D171"/>
    <mergeCell ref="E171:F171"/>
    <mergeCell ref="A160:B160"/>
    <mergeCell ref="C160:N160"/>
    <mergeCell ref="O160:P160"/>
    <mergeCell ref="Q160:W160"/>
    <mergeCell ref="A161:A162"/>
    <mergeCell ref="B161:B162"/>
    <mergeCell ref="C161:C162"/>
    <mergeCell ref="D161:D162"/>
    <mergeCell ref="E161:E162"/>
    <mergeCell ref="F161:F162"/>
    <mergeCell ref="W161:W162"/>
    <mergeCell ref="A159:B159"/>
    <mergeCell ref="G159:H159"/>
    <mergeCell ref="I159:N159"/>
    <mergeCell ref="O159:P159"/>
    <mergeCell ref="Q159:W159"/>
    <mergeCell ref="G149:L149"/>
    <mergeCell ref="M149:M150"/>
    <mergeCell ref="N149:N150"/>
    <mergeCell ref="O149:O150"/>
    <mergeCell ref="P149:P150"/>
    <mergeCell ref="Q149:V149"/>
    <mergeCell ref="C159:D159"/>
    <mergeCell ref="E159:F159"/>
    <mergeCell ref="A148:B148"/>
    <mergeCell ref="C148:N148"/>
    <mergeCell ref="O148:P148"/>
    <mergeCell ref="Q148:W148"/>
    <mergeCell ref="A149:A150"/>
    <mergeCell ref="B149:B150"/>
    <mergeCell ref="C149:C150"/>
    <mergeCell ref="D149:D150"/>
    <mergeCell ref="E149:E150"/>
    <mergeCell ref="F149:F150"/>
    <mergeCell ref="W149:W150"/>
    <mergeCell ref="A147:B147"/>
    <mergeCell ref="G147:H147"/>
    <mergeCell ref="I147:N147"/>
    <mergeCell ref="O147:P147"/>
    <mergeCell ref="Q147:W147"/>
    <mergeCell ref="G137:L137"/>
    <mergeCell ref="M137:M138"/>
    <mergeCell ref="N137:N138"/>
    <mergeCell ref="O137:O138"/>
    <mergeCell ref="P137:P138"/>
    <mergeCell ref="Q137:V137"/>
    <mergeCell ref="C147:D147"/>
    <mergeCell ref="E147:F147"/>
    <mergeCell ref="A136:B136"/>
    <mergeCell ref="C136:N136"/>
    <mergeCell ref="O136:P136"/>
    <mergeCell ref="Q136:W136"/>
    <mergeCell ref="A137:A138"/>
    <mergeCell ref="B137:B138"/>
    <mergeCell ref="C137:C138"/>
    <mergeCell ref="D137:D138"/>
    <mergeCell ref="E137:E138"/>
    <mergeCell ref="F137:F138"/>
    <mergeCell ref="W137:W138"/>
    <mergeCell ref="A135:B135"/>
    <mergeCell ref="G135:H135"/>
    <mergeCell ref="I135:N135"/>
    <mergeCell ref="O135:P135"/>
    <mergeCell ref="Q135:W135"/>
    <mergeCell ref="G125:L125"/>
    <mergeCell ref="M125:M126"/>
    <mergeCell ref="N125:N126"/>
    <mergeCell ref="O125:O126"/>
    <mergeCell ref="P125:P126"/>
    <mergeCell ref="Q125:V125"/>
    <mergeCell ref="C135:D135"/>
    <mergeCell ref="E135:F135"/>
    <mergeCell ref="A124:B124"/>
    <mergeCell ref="C124:N124"/>
    <mergeCell ref="O124:P124"/>
    <mergeCell ref="Q124:W124"/>
    <mergeCell ref="A125:A126"/>
    <mergeCell ref="B125:B126"/>
    <mergeCell ref="C125:C126"/>
    <mergeCell ref="D125:D126"/>
    <mergeCell ref="E125:E126"/>
    <mergeCell ref="F125:F126"/>
    <mergeCell ref="W125:W126"/>
    <mergeCell ref="A123:B123"/>
    <mergeCell ref="G123:H123"/>
    <mergeCell ref="I123:N123"/>
    <mergeCell ref="O123:P123"/>
    <mergeCell ref="Q123:W123"/>
    <mergeCell ref="G113:L113"/>
    <mergeCell ref="M113:M114"/>
    <mergeCell ref="N113:N114"/>
    <mergeCell ref="O113:O114"/>
    <mergeCell ref="P113:P114"/>
    <mergeCell ref="Q113:V113"/>
    <mergeCell ref="C123:D123"/>
    <mergeCell ref="E123:F123"/>
    <mergeCell ref="A112:B112"/>
    <mergeCell ref="C112:N112"/>
    <mergeCell ref="O112:P112"/>
    <mergeCell ref="Q112:W112"/>
    <mergeCell ref="A113:A114"/>
    <mergeCell ref="B113:B114"/>
    <mergeCell ref="C113:C114"/>
    <mergeCell ref="D113:D114"/>
    <mergeCell ref="E113:E114"/>
    <mergeCell ref="F113:F114"/>
    <mergeCell ref="W113:W114"/>
    <mergeCell ref="A111:B111"/>
    <mergeCell ref="G111:H111"/>
    <mergeCell ref="I111:N111"/>
    <mergeCell ref="O111:P111"/>
    <mergeCell ref="Q111:W111"/>
    <mergeCell ref="G101:L101"/>
    <mergeCell ref="M101:M102"/>
    <mergeCell ref="N101:N102"/>
    <mergeCell ref="O101:O102"/>
    <mergeCell ref="P101:P102"/>
    <mergeCell ref="Q101:V101"/>
    <mergeCell ref="C111:D111"/>
    <mergeCell ref="E111:F111"/>
    <mergeCell ref="A100:B100"/>
    <mergeCell ref="C100:N100"/>
    <mergeCell ref="O100:P100"/>
    <mergeCell ref="Q100:W100"/>
    <mergeCell ref="A101:A102"/>
    <mergeCell ref="B101:B102"/>
    <mergeCell ref="C101:C102"/>
    <mergeCell ref="D101:D102"/>
    <mergeCell ref="E101:E102"/>
    <mergeCell ref="F101:F102"/>
    <mergeCell ref="W101:W102"/>
    <mergeCell ref="A99:B99"/>
    <mergeCell ref="G99:H99"/>
    <mergeCell ref="I99:N99"/>
    <mergeCell ref="O99:P99"/>
    <mergeCell ref="Q99:W99"/>
    <mergeCell ref="G89:L89"/>
    <mergeCell ref="M89:M90"/>
    <mergeCell ref="N89:N90"/>
    <mergeCell ref="O89:O90"/>
    <mergeCell ref="P89:P90"/>
    <mergeCell ref="Q89:V89"/>
    <mergeCell ref="C99:D99"/>
    <mergeCell ref="E99:F99"/>
    <mergeCell ref="A88:B88"/>
    <mergeCell ref="C88:N88"/>
    <mergeCell ref="O88:P88"/>
    <mergeCell ref="Q88:W88"/>
    <mergeCell ref="A89:A90"/>
    <mergeCell ref="B89:B90"/>
    <mergeCell ref="C89:C90"/>
    <mergeCell ref="D89:D90"/>
    <mergeCell ref="E89:E90"/>
    <mergeCell ref="F89:F90"/>
    <mergeCell ref="W89:W90"/>
    <mergeCell ref="A87:B87"/>
    <mergeCell ref="G87:H87"/>
    <mergeCell ref="I87:N87"/>
    <mergeCell ref="O87:P87"/>
    <mergeCell ref="Q87:W87"/>
    <mergeCell ref="G77:L77"/>
    <mergeCell ref="M77:M78"/>
    <mergeCell ref="N77:N78"/>
    <mergeCell ref="O77:O78"/>
    <mergeCell ref="P77:P78"/>
    <mergeCell ref="Q77:V77"/>
    <mergeCell ref="C87:D87"/>
    <mergeCell ref="E87:F87"/>
    <mergeCell ref="A76:B76"/>
    <mergeCell ref="C76:N76"/>
    <mergeCell ref="O76:P76"/>
    <mergeCell ref="Q76:W76"/>
    <mergeCell ref="A77:A78"/>
    <mergeCell ref="B77:B78"/>
    <mergeCell ref="C77:C78"/>
    <mergeCell ref="D77:D78"/>
    <mergeCell ref="E77:E78"/>
    <mergeCell ref="F77:F78"/>
    <mergeCell ref="W77:W78"/>
    <mergeCell ref="A75:B75"/>
    <mergeCell ref="G75:H75"/>
    <mergeCell ref="I75:N75"/>
    <mergeCell ref="O75:P75"/>
    <mergeCell ref="Q75:W75"/>
    <mergeCell ref="G65:L65"/>
    <mergeCell ref="M65:M66"/>
    <mergeCell ref="N65:N66"/>
    <mergeCell ref="O65:O66"/>
    <mergeCell ref="P65:P66"/>
    <mergeCell ref="Q65:V65"/>
    <mergeCell ref="C75:D75"/>
    <mergeCell ref="E75:F75"/>
    <mergeCell ref="A64:B64"/>
    <mergeCell ref="C64:N64"/>
    <mergeCell ref="O64:P64"/>
    <mergeCell ref="Q64:W64"/>
    <mergeCell ref="A65:A66"/>
    <mergeCell ref="B65:B66"/>
    <mergeCell ref="C65:C66"/>
    <mergeCell ref="D65:D66"/>
    <mergeCell ref="E65:E66"/>
    <mergeCell ref="F65:F66"/>
    <mergeCell ref="W65:W66"/>
    <mergeCell ref="A63:B63"/>
    <mergeCell ref="G63:H63"/>
    <mergeCell ref="I63:N63"/>
    <mergeCell ref="O63:P63"/>
    <mergeCell ref="Q63:W63"/>
    <mergeCell ref="G53:L53"/>
    <mergeCell ref="M53:M54"/>
    <mergeCell ref="N53:N54"/>
    <mergeCell ref="O53:O54"/>
    <mergeCell ref="P53:P54"/>
    <mergeCell ref="Q53:V53"/>
    <mergeCell ref="C63:D63"/>
    <mergeCell ref="E63:F63"/>
    <mergeCell ref="A52:B52"/>
    <mergeCell ref="C52:N52"/>
    <mergeCell ref="O52:P52"/>
    <mergeCell ref="Q52:W52"/>
    <mergeCell ref="A53:A54"/>
    <mergeCell ref="B53:B54"/>
    <mergeCell ref="C53:C54"/>
    <mergeCell ref="D53:D54"/>
    <mergeCell ref="E53:E54"/>
    <mergeCell ref="F53:F54"/>
    <mergeCell ref="W53:W54"/>
    <mergeCell ref="A51:B51"/>
    <mergeCell ref="G51:H51"/>
    <mergeCell ref="I51:N51"/>
    <mergeCell ref="O51:P51"/>
    <mergeCell ref="Q51:W51"/>
    <mergeCell ref="G41:L41"/>
    <mergeCell ref="M41:M42"/>
    <mergeCell ref="N41:N42"/>
    <mergeCell ref="O41:O42"/>
    <mergeCell ref="P41:P42"/>
    <mergeCell ref="Q41:V41"/>
    <mergeCell ref="C51:D51"/>
    <mergeCell ref="E51:F51"/>
    <mergeCell ref="A40:B40"/>
    <mergeCell ref="C40:N40"/>
    <mergeCell ref="O40:P40"/>
    <mergeCell ref="Q40:W40"/>
    <mergeCell ref="A41:A42"/>
    <mergeCell ref="B41:B42"/>
    <mergeCell ref="C41:C42"/>
    <mergeCell ref="D41:D42"/>
    <mergeCell ref="E41:E42"/>
    <mergeCell ref="F41:F42"/>
    <mergeCell ref="W41:W42"/>
    <mergeCell ref="A39:B39"/>
    <mergeCell ref="G39:H39"/>
    <mergeCell ref="I39:N39"/>
    <mergeCell ref="O39:P39"/>
    <mergeCell ref="Q39:W39"/>
    <mergeCell ref="G29:L29"/>
    <mergeCell ref="M29:M30"/>
    <mergeCell ref="N29:N30"/>
    <mergeCell ref="O29:O30"/>
    <mergeCell ref="P29:P30"/>
    <mergeCell ref="Q29:V29"/>
    <mergeCell ref="C39:D39"/>
    <mergeCell ref="E39:F39"/>
    <mergeCell ref="A28:B28"/>
    <mergeCell ref="C28:N28"/>
    <mergeCell ref="O28:P28"/>
    <mergeCell ref="Q28:W28"/>
    <mergeCell ref="A29:A30"/>
    <mergeCell ref="B29:B30"/>
    <mergeCell ref="C29:C30"/>
    <mergeCell ref="D29:D30"/>
    <mergeCell ref="E29:E30"/>
    <mergeCell ref="F29:F30"/>
    <mergeCell ref="W29:W30"/>
    <mergeCell ref="A27:B27"/>
    <mergeCell ref="G27:H27"/>
    <mergeCell ref="I27:N27"/>
    <mergeCell ref="O27:P27"/>
    <mergeCell ref="Q27:W27"/>
    <mergeCell ref="G17:L17"/>
    <mergeCell ref="M17:M18"/>
    <mergeCell ref="N17:N18"/>
    <mergeCell ref="O17:O18"/>
    <mergeCell ref="P17:P18"/>
    <mergeCell ref="Q17:V17"/>
    <mergeCell ref="C27:D27"/>
    <mergeCell ref="E27:F27"/>
    <mergeCell ref="A16:B16"/>
    <mergeCell ref="C16:N16"/>
    <mergeCell ref="O16:P16"/>
    <mergeCell ref="Q16:W16"/>
    <mergeCell ref="A17:A18"/>
    <mergeCell ref="B17:B18"/>
    <mergeCell ref="C17:C18"/>
    <mergeCell ref="D17:D18"/>
    <mergeCell ref="E17:E18"/>
    <mergeCell ref="F17:F18"/>
    <mergeCell ref="W17:W18"/>
    <mergeCell ref="A5:A6"/>
    <mergeCell ref="B5:B6"/>
    <mergeCell ref="C5:C6"/>
    <mergeCell ref="D5:D6"/>
    <mergeCell ref="E5:E6"/>
    <mergeCell ref="F5:F6"/>
    <mergeCell ref="W5:W6"/>
    <mergeCell ref="A15:B15"/>
    <mergeCell ref="G15:H15"/>
    <mergeCell ref="I15:N15"/>
    <mergeCell ref="O15:P15"/>
    <mergeCell ref="Q15:W15"/>
    <mergeCell ref="G5:L5"/>
    <mergeCell ref="M5:M6"/>
    <mergeCell ref="N5:N6"/>
    <mergeCell ref="O5:O6"/>
    <mergeCell ref="P5:P6"/>
    <mergeCell ref="Q5:V5"/>
    <mergeCell ref="C15:D15"/>
    <mergeCell ref="E15:F15"/>
    <mergeCell ref="A1:W1"/>
    <mergeCell ref="A2:W2"/>
    <mergeCell ref="A3:B3"/>
    <mergeCell ref="G3:H3"/>
    <mergeCell ref="I3:N3"/>
    <mergeCell ref="O3:P3"/>
    <mergeCell ref="Q3:W3"/>
    <mergeCell ref="A4:B4"/>
    <mergeCell ref="C4:N4"/>
    <mergeCell ref="O4:P4"/>
    <mergeCell ref="Q4:W4"/>
    <mergeCell ref="C3:D3"/>
    <mergeCell ref="E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D8B6-2B99-4252-9A08-76D96F980A85}">
  <dimension ref="A1:X240"/>
  <sheetViews>
    <sheetView topLeftCell="A222" workbookViewId="0">
      <selection activeCell="C231" sqref="C231:D231"/>
    </sheetView>
  </sheetViews>
  <sheetFormatPr baseColWidth="10" defaultColWidth="9.140625" defaultRowHeight="15" x14ac:dyDescent="0.25"/>
  <cols>
    <col min="2" max="2" width="11" customWidth="1"/>
    <col min="3" max="4" width="12.42578125" customWidth="1"/>
    <col min="5" max="5" width="11.42578125" customWidth="1"/>
    <col min="6" max="6" width="11.140625" customWidth="1"/>
    <col min="7" max="8" width="5.28515625" customWidth="1"/>
    <col min="9" max="9" width="5.42578125" customWidth="1"/>
    <col min="10" max="11" width="5.28515625" customWidth="1"/>
    <col min="12" max="12" width="5.7109375" customWidth="1"/>
    <col min="13" max="13" width="10.28515625" customWidth="1"/>
    <col min="14" max="14" width="13" customWidth="1"/>
    <col min="15" max="15" width="9.85546875" customWidth="1"/>
    <col min="16" max="16" width="10.28515625" customWidth="1"/>
    <col min="17" max="17" width="5" customWidth="1"/>
    <col min="18" max="18" width="5.42578125" customWidth="1"/>
    <col min="19" max="19" width="5.28515625" customWidth="1"/>
    <col min="20" max="20" width="5.5703125" customWidth="1"/>
    <col min="21" max="21" width="5.7109375" customWidth="1"/>
    <col min="22" max="22" width="6" customWidth="1"/>
    <col min="23" max="23" width="9.5703125" customWidth="1"/>
  </cols>
  <sheetData>
    <row r="1" spans="1:24" ht="21" x14ac:dyDescent="0.3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4"/>
    </row>
    <row r="2" spans="1:24" ht="24.75" thickBot="1" x14ac:dyDescent="0.3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2"/>
    </row>
    <row r="3" spans="1:24" ht="15.75" x14ac:dyDescent="0.25">
      <c r="A3" s="100" t="s">
        <v>2</v>
      </c>
      <c r="B3" s="101"/>
      <c r="C3" s="184" t="s">
        <v>193</v>
      </c>
      <c r="D3" s="185"/>
      <c r="E3" s="111" t="s">
        <v>398</v>
      </c>
      <c r="F3" s="112"/>
      <c r="G3" s="101" t="s">
        <v>4</v>
      </c>
      <c r="H3" s="101"/>
      <c r="I3" s="102" t="s">
        <v>139</v>
      </c>
      <c r="J3" s="102"/>
      <c r="K3" s="102"/>
      <c r="L3" s="102"/>
      <c r="M3" s="102"/>
      <c r="N3" s="102"/>
      <c r="O3" s="101" t="s">
        <v>6</v>
      </c>
      <c r="P3" s="101"/>
      <c r="Q3" s="103"/>
      <c r="R3" s="104"/>
      <c r="S3" s="104"/>
      <c r="T3" s="104"/>
      <c r="U3" s="104"/>
      <c r="V3" s="104"/>
      <c r="W3" s="105"/>
      <c r="X3" s="1"/>
    </row>
    <row r="4" spans="1:24" ht="15.75" x14ac:dyDescent="0.25">
      <c r="A4" s="106" t="s">
        <v>7</v>
      </c>
      <c r="B4" s="107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7"/>
      <c r="R4" s="107"/>
      <c r="S4" s="107"/>
      <c r="T4" s="107"/>
      <c r="U4" s="107"/>
      <c r="V4" s="107"/>
      <c r="W4" s="110"/>
      <c r="X4" s="1"/>
    </row>
    <row r="5" spans="1:24" x14ac:dyDescent="0.25">
      <c r="A5" s="113" t="s">
        <v>8</v>
      </c>
      <c r="B5" s="114" t="s">
        <v>9</v>
      </c>
      <c r="C5" s="114" t="s">
        <v>10</v>
      </c>
      <c r="D5" s="114" t="s">
        <v>11</v>
      </c>
      <c r="E5" s="114" t="s">
        <v>12</v>
      </c>
      <c r="F5" s="114" t="s">
        <v>13</v>
      </c>
      <c r="G5" s="114" t="s">
        <v>14</v>
      </c>
      <c r="H5" s="114"/>
      <c r="I5" s="114"/>
      <c r="J5" s="114"/>
      <c r="K5" s="114"/>
      <c r="L5" s="114"/>
      <c r="M5" s="114" t="s">
        <v>15</v>
      </c>
      <c r="N5" s="114" t="s">
        <v>16</v>
      </c>
      <c r="O5" s="114" t="s">
        <v>17</v>
      </c>
      <c r="P5" s="114" t="s">
        <v>18</v>
      </c>
      <c r="Q5" s="114" t="s">
        <v>19</v>
      </c>
      <c r="R5" s="114"/>
      <c r="S5" s="114"/>
      <c r="T5" s="114"/>
      <c r="U5" s="114"/>
      <c r="V5" s="114"/>
      <c r="W5" s="115" t="s">
        <v>20</v>
      </c>
      <c r="X5" s="3"/>
    </row>
    <row r="6" spans="1:24" ht="42" customHeight="1" x14ac:dyDescent="0.25">
      <c r="A6" s="113"/>
      <c r="B6" s="114"/>
      <c r="C6" s="114"/>
      <c r="D6" s="114"/>
      <c r="E6" s="114"/>
      <c r="F6" s="114"/>
      <c r="G6" s="31" t="s">
        <v>21</v>
      </c>
      <c r="H6" s="31" t="s">
        <v>21</v>
      </c>
      <c r="I6" s="31" t="s">
        <v>21</v>
      </c>
      <c r="J6" s="31" t="s">
        <v>22</v>
      </c>
      <c r="K6" s="31" t="s">
        <v>22</v>
      </c>
      <c r="L6" s="31" t="s">
        <v>22</v>
      </c>
      <c r="M6" s="114"/>
      <c r="N6" s="114"/>
      <c r="O6" s="114"/>
      <c r="P6" s="114"/>
      <c r="Q6" s="31" t="s">
        <v>21</v>
      </c>
      <c r="R6" s="31" t="s">
        <v>21</v>
      </c>
      <c r="S6" s="31" t="s">
        <v>21</v>
      </c>
      <c r="T6" s="31" t="s">
        <v>22</v>
      </c>
      <c r="U6" s="31" t="s">
        <v>22</v>
      </c>
      <c r="V6" s="31" t="s">
        <v>22</v>
      </c>
      <c r="W6" s="115"/>
      <c r="X6" s="3"/>
    </row>
    <row r="7" spans="1:24" ht="15.75" x14ac:dyDescent="0.25">
      <c r="A7" s="5">
        <v>1</v>
      </c>
      <c r="B7" s="8" t="s">
        <v>175</v>
      </c>
      <c r="C7" s="13">
        <v>45738</v>
      </c>
      <c r="D7" s="20" t="s">
        <v>371</v>
      </c>
      <c r="E7" s="21"/>
      <c r="F7" s="21"/>
      <c r="G7" s="21"/>
      <c r="H7" s="21"/>
      <c r="I7" s="21"/>
      <c r="J7" s="21"/>
      <c r="K7" s="21"/>
      <c r="L7" s="21"/>
      <c r="M7" s="21"/>
      <c r="N7" s="20"/>
      <c r="O7" s="21"/>
      <c r="P7" s="21"/>
      <c r="Q7" s="21"/>
      <c r="R7" s="21"/>
      <c r="S7" s="21"/>
      <c r="T7" s="21"/>
      <c r="U7" s="21"/>
      <c r="V7" s="21"/>
      <c r="W7" s="22"/>
    </row>
    <row r="8" spans="1:24" ht="15.75" x14ac:dyDescent="0.25">
      <c r="A8" s="6">
        <v>2</v>
      </c>
      <c r="B8" s="8" t="s">
        <v>175</v>
      </c>
      <c r="C8" s="13">
        <v>45851</v>
      </c>
      <c r="D8" s="20">
        <v>45924</v>
      </c>
      <c r="E8" s="21">
        <v>2</v>
      </c>
      <c r="F8" s="21">
        <v>0</v>
      </c>
      <c r="G8" s="21">
        <v>150</v>
      </c>
      <c r="H8" s="21">
        <v>151</v>
      </c>
      <c r="I8" s="21"/>
      <c r="J8" s="21"/>
      <c r="K8" s="21"/>
      <c r="L8" s="21"/>
      <c r="M8" s="21">
        <f>AVERAGE(G8:L8)</f>
        <v>150.5</v>
      </c>
      <c r="N8" s="20">
        <v>45944</v>
      </c>
      <c r="O8" s="21">
        <v>2</v>
      </c>
      <c r="P8" s="21">
        <v>0</v>
      </c>
      <c r="Q8" s="21">
        <v>246</v>
      </c>
      <c r="R8" s="21">
        <v>191</v>
      </c>
      <c r="S8" s="21"/>
      <c r="T8" s="21"/>
      <c r="U8" s="21"/>
      <c r="V8" s="21"/>
      <c r="W8" s="22">
        <f>AVERAGE(Q8:V8)</f>
        <v>218.5</v>
      </c>
    </row>
    <row r="9" spans="1:24" ht="15.75" x14ac:dyDescent="0.25">
      <c r="A9" s="6">
        <v>3</v>
      </c>
      <c r="B9" s="8" t="s">
        <v>242</v>
      </c>
      <c r="C9" s="13">
        <v>45950</v>
      </c>
      <c r="D9" s="20">
        <v>46034</v>
      </c>
      <c r="E9" s="21">
        <v>3</v>
      </c>
      <c r="F9" s="21">
        <v>0</v>
      </c>
      <c r="G9" s="21">
        <v>127</v>
      </c>
      <c r="H9" s="21"/>
      <c r="I9" s="21"/>
      <c r="J9" s="21">
        <v>126</v>
      </c>
      <c r="K9" s="21">
        <v>128</v>
      </c>
      <c r="L9" s="21"/>
      <c r="M9" s="21">
        <f>AVERAGE(G9:L9)</f>
        <v>127</v>
      </c>
      <c r="N9" s="20">
        <v>46055</v>
      </c>
      <c r="O9" s="21">
        <v>3</v>
      </c>
      <c r="P9" s="21">
        <v>0</v>
      </c>
      <c r="Q9" s="21">
        <v>205</v>
      </c>
      <c r="R9" s="21"/>
      <c r="S9" s="21"/>
      <c r="T9" s="21">
        <v>284</v>
      </c>
      <c r="U9" s="21">
        <v>255</v>
      </c>
      <c r="V9" s="21"/>
      <c r="W9" s="22">
        <f>AVERAGE(Q9:V9)</f>
        <v>248</v>
      </c>
    </row>
    <row r="10" spans="1:24" ht="15.75" x14ac:dyDescent="0.25">
      <c r="A10" s="5">
        <v>4</v>
      </c>
      <c r="B10" s="8" t="s">
        <v>242</v>
      </c>
      <c r="C10" s="13">
        <v>46039</v>
      </c>
      <c r="D10" s="20">
        <v>46126</v>
      </c>
      <c r="E10" s="21">
        <v>2</v>
      </c>
      <c r="F10" s="21">
        <v>0</v>
      </c>
      <c r="G10" s="21">
        <v>115</v>
      </c>
      <c r="H10" s="21"/>
      <c r="I10" s="21"/>
      <c r="J10" s="21">
        <v>119</v>
      </c>
      <c r="K10" s="21"/>
      <c r="L10" s="21"/>
      <c r="M10" s="21">
        <f>AVERAGE(G10:L10)</f>
        <v>117</v>
      </c>
      <c r="N10" s="20">
        <v>46139</v>
      </c>
      <c r="O10" s="21">
        <v>2</v>
      </c>
      <c r="P10" s="21">
        <v>0</v>
      </c>
      <c r="Q10" s="21">
        <v>315</v>
      </c>
      <c r="R10" s="21"/>
      <c r="S10" s="21"/>
      <c r="T10" s="21">
        <v>297</v>
      </c>
      <c r="U10" s="21"/>
      <c r="V10" s="21"/>
      <c r="W10" s="22">
        <f>AVERAGE(Q10:V10)</f>
        <v>306</v>
      </c>
    </row>
    <row r="11" spans="1:24" ht="15.75" x14ac:dyDescent="0.25">
      <c r="A11" s="5">
        <v>5</v>
      </c>
      <c r="B11" s="8" t="s">
        <v>243</v>
      </c>
      <c r="C11" s="13">
        <v>46148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2"/>
    </row>
    <row r="12" spans="1:24" ht="16.5" thickBot="1" x14ac:dyDescent="0.3">
      <c r="A12" s="7">
        <v>6</v>
      </c>
      <c r="B12" s="10"/>
      <c r="C12" s="10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9"/>
    </row>
    <row r="14" spans="1:24" ht="15.75" thickBot="1" x14ac:dyDescent="0.3"/>
    <row r="15" spans="1:24" ht="15.75" x14ac:dyDescent="0.25">
      <c r="A15" s="100" t="s">
        <v>2</v>
      </c>
      <c r="B15" s="101"/>
      <c r="C15" s="178" t="s">
        <v>194</v>
      </c>
      <c r="D15" s="179"/>
      <c r="E15" s="111" t="s">
        <v>398</v>
      </c>
      <c r="F15" s="112"/>
      <c r="G15" s="101" t="s">
        <v>4</v>
      </c>
      <c r="H15" s="101"/>
      <c r="I15" s="102" t="s">
        <v>139</v>
      </c>
      <c r="J15" s="102"/>
      <c r="K15" s="102"/>
      <c r="L15" s="102"/>
      <c r="M15" s="102"/>
      <c r="N15" s="102"/>
      <c r="O15" s="101" t="s">
        <v>6</v>
      </c>
      <c r="P15" s="101"/>
      <c r="Q15" s="103"/>
      <c r="R15" s="104"/>
      <c r="S15" s="104"/>
      <c r="T15" s="104"/>
      <c r="U15" s="104"/>
      <c r="V15" s="104"/>
      <c r="W15" s="105"/>
      <c r="X15" s="1"/>
    </row>
    <row r="16" spans="1:24" ht="15.75" x14ac:dyDescent="0.25">
      <c r="A16" s="106" t="s">
        <v>7</v>
      </c>
      <c r="B16" s="107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7"/>
      <c r="R16" s="107"/>
      <c r="S16" s="107"/>
      <c r="T16" s="107"/>
      <c r="U16" s="107"/>
      <c r="V16" s="107"/>
      <c r="W16" s="110"/>
      <c r="X16" s="1"/>
    </row>
    <row r="17" spans="1:24" ht="15" customHeight="1" x14ac:dyDescent="0.25">
      <c r="A17" s="113" t="s">
        <v>8</v>
      </c>
      <c r="B17" s="114" t="s">
        <v>9</v>
      </c>
      <c r="C17" s="114" t="s">
        <v>10</v>
      </c>
      <c r="D17" s="114" t="s">
        <v>11</v>
      </c>
      <c r="E17" s="114" t="s">
        <v>12</v>
      </c>
      <c r="F17" s="114" t="s">
        <v>13</v>
      </c>
      <c r="G17" s="114" t="s">
        <v>14</v>
      </c>
      <c r="H17" s="114"/>
      <c r="I17" s="114"/>
      <c r="J17" s="114"/>
      <c r="K17" s="114"/>
      <c r="L17" s="114"/>
      <c r="M17" s="114" t="s">
        <v>15</v>
      </c>
      <c r="N17" s="114" t="s">
        <v>16</v>
      </c>
      <c r="O17" s="114" t="s">
        <v>17</v>
      </c>
      <c r="P17" s="114" t="s">
        <v>18</v>
      </c>
      <c r="Q17" s="114" t="s">
        <v>19</v>
      </c>
      <c r="R17" s="114"/>
      <c r="S17" s="114"/>
      <c r="T17" s="114"/>
      <c r="U17" s="114"/>
      <c r="V17" s="114"/>
      <c r="W17" s="115" t="s">
        <v>20</v>
      </c>
      <c r="X17" s="3"/>
    </row>
    <row r="18" spans="1:24" ht="28.5" customHeight="1" x14ac:dyDescent="0.25">
      <c r="A18" s="113"/>
      <c r="B18" s="114"/>
      <c r="C18" s="114"/>
      <c r="D18" s="114"/>
      <c r="E18" s="114"/>
      <c r="F18" s="114"/>
      <c r="G18" s="31" t="s">
        <v>21</v>
      </c>
      <c r="H18" s="31" t="s">
        <v>21</v>
      </c>
      <c r="I18" s="31" t="s">
        <v>21</v>
      </c>
      <c r="J18" s="31" t="s">
        <v>22</v>
      </c>
      <c r="K18" s="31" t="s">
        <v>22</v>
      </c>
      <c r="L18" s="31" t="s">
        <v>22</v>
      </c>
      <c r="M18" s="114"/>
      <c r="N18" s="114"/>
      <c r="O18" s="114"/>
      <c r="P18" s="114"/>
      <c r="Q18" s="31" t="s">
        <v>21</v>
      </c>
      <c r="R18" s="31" t="s">
        <v>21</v>
      </c>
      <c r="S18" s="31" t="s">
        <v>21</v>
      </c>
      <c r="T18" s="31" t="s">
        <v>22</v>
      </c>
      <c r="U18" s="31" t="s">
        <v>22</v>
      </c>
      <c r="V18" s="31" t="s">
        <v>22</v>
      </c>
      <c r="W18" s="115"/>
      <c r="X18" s="3"/>
    </row>
    <row r="19" spans="1:24" ht="15.75" x14ac:dyDescent="0.25">
      <c r="A19" s="5">
        <v>1</v>
      </c>
      <c r="B19" s="8" t="s">
        <v>175</v>
      </c>
      <c r="C19" s="13">
        <v>45738</v>
      </c>
      <c r="D19" s="20">
        <v>45808</v>
      </c>
      <c r="E19" s="21">
        <v>2</v>
      </c>
      <c r="F19" s="21">
        <v>0</v>
      </c>
      <c r="G19" s="21">
        <v>138</v>
      </c>
      <c r="H19" s="21"/>
      <c r="I19" s="21"/>
      <c r="J19" s="21">
        <v>155</v>
      </c>
      <c r="K19" s="21"/>
      <c r="L19" s="21"/>
      <c r="M19" s="21">
        <f>AVERAGE(G19,J19)</f>
        <v>146.5</v>
      </c>
      <c r="N19" s="20">
        <v>45833</v>
      </c>
      <c r="O19" s="21">
        <v>2</v>
      </c>
      <c r="P19" s="21">
        <v>0</v>
      </c>
      <c r="Q19" s="21">
        <v>311</v>
      </c>
      <c r="R19" s="21"/>
      <c r="S19" s="21"/>
      <c r="T19" s="21">
        <v>345</v>
      </c>
      <c r="U19" s="21"/>
      <c r="V19" s="21"/>
      <c r="W19" s="22">
        <f>AVERAGE(Q19,T19)</f>
        <v>328</v>
      </c>
    </row>
    <row r="20" spans="1:24" ht="15.75" x14ac:dyDescent="0.25">
      <c r="A20" s="6">
        <v>2</v>
      </c>
      <c r="B20" s="8" t="s">
        <v>175</v>
      </c>
      <c r="C20" s="13">
        <v>45851</v>
      </c>
      <c r="D20" s="20">
        <v>45926</v>
      </c>
      <c r="E20" s="21">
        <v>2</v>
      </c>
      <c r="F20" s="21">
        <v>0</v>
      </c>
      <c r="G20" s="21"/>
      <c r="H20" s="21"/>
      <c r="I20" s="21"/>
      <c r="J20" s="21">
        <v>173</v>
      </c>
      <c r="K20" s="21">
        <v>159</v>
      </c>
      <c r="L20" s="21"/>
      <c r="M20" s="21">
        <f>AVERAGE(G20:L20)</f>
        <v>166</v>
      </c>
      <c r="N20" s="20">
        <v>45944</v>
      </c>
      <c r="O20" s="21">
        <v>2</v>
      </c>
      <c r="P20" s="21">
        <v>0</v>
      </c>
      <c r="Q20" s="21"/>
      <c r="R20" s="21"/>
      <c r="S20" s="21"/>
      <c r="T20" s="21">
        <v>249</v>
      </c>
      <c r="U20" s="21">
        <v>216</v>
      </c>
      <c r="V20" s="21"/>
      <c r="W20" s="22">
        <f>AVERAGE(Q20:V20)</f>
        <v>232.5</v>
      </c>
    </row>
    <row r="21" spans="1:24" ht="15.75" x14ac:dyDescent="0.25">
      <c r="A21" s="6">
        <v>3</v>
      </c>
      <c r="B21" s="8" t="s">
        <v>242</v>
      </c>
      <c r="C21" s="13">
        <v>45950</v>
      </c>
      <c r="D21" s="20">
        <v>46024</v>
      </c>
      <c r="E21" s="21">
        <v>2</v>
      </c>
      <c r="F21" s="21">
        <v>0</v>
      </c>
      <c r="G21" s="21">
        <v>130</v>
      </c>
      <c r="H21" s="21">
        <v>125</v>
      </c>
      <c r="I21" s="21"/>
      <c r="J21" s="21"/>
      <c r="K21" s="21"/>
      <c r="L21" s="21"/>
      <c r="M21" s="21">
        <f>AVERAGE(G21:L21)</f>
        <v>127.5</v>
      </c>
      <c r="N21" s="21"/>
      <c r="O21" s="21">
        <v>0</v>
      </c>
      <c r="P21" s="21">
        <v>2</v>
      </c>
      <c r="Q21" s="21"/>
      <c r="R21" s="21"/>
      <c r="S21" s="21"/>
      <c r="T21" s="21"/>
      <c r="U21" s="21"/>
      <c r="V21" s="21"/>
      <c r="W21" s="22"/>
    </row>
    <row r="22" spans="1:24" ht="15.75" x14ac:dyDescent="0.25">
      <c r="A22" s="5">
        <v>4</v>
      </c>
      <c r="B22" s="8" t="s">
        <v>242</v>
      </c>
      <c r="C22" s="13">
        <v>46039</v>
      </c>
      <c r="D22" s="21" t="s">
        <v>428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4" ht="15.75" x14ac:dyDescent="0.25">
      <c r="A23" s="5">
        <v>5</v>
      </c>
      <c r="B23" s="8" t="s">
        <v>243</v>
      </c>
      <c r="C23" s="13">
        <v>46148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4" ht="16.5" thickBot="1" x14ac:dyDescent="0.3">
      <c r="A24" s="7">
        <v>6</v>
      </c>
      <c r="B24" s="10"/>
      <c r="C24" s="10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9"/>
    </row>
    <row r="26" spans="1:24" ht="15.75" thickBot="1" x14ac:dyDescent="0.3"/>
    <row r="27" spans="1:24" ht="15.75" x14ac:dyDescent="0.25">
      <c r="A27" s="100" t="s">
        <v>2</v>
      </c>
      <c r="B27" s="101"/>
      <c r="C27" s="194" t="s">
        <v>195</v>
      </c>
      <c r="D27" s="195"/>
      <c r="E27" s="111" t="s">
        <v>394</v>
      </c>
      <c r="F27" s="112"/>
      <c r="G27" s="101" t="s">
        <v>4</v>
      </c>
      <c r="H27" s="101"/>
      <c r="I27" s="102" t="s">
        <v>139</v>
      </c>
      <c r="J27" s="102"/>
      <c r="K27" s="102"/>
      <c r="L27" s="102"/>
      <c r="M27" s="102"/>
      <c r="N27" s="102"/>
      <c r="O27" s="101" t="s">
        <v>6</v>
      </c>
      <c r="P27" s="101"/>
      <c r="Q27" s="103"/>
      <c r="R27" s="104"/>
      <c r="S27" s="104"/>
      <c r="T27" s="104"/>
      <c r="U27" s="104"/>
      <c r="V27" s="104"/>
      <c r="W27" s="105"/>
      <c r="X27" s="1"/>
    </row>
    <row r="28" spans="1:24" ht="15.75" x14ac:dyDescent="0.25">
      <c r="A28" s="106" t="s">
        <v>7</v>
      </c>
      <c r="B28" s="107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7"/>
      <c r="R28" s="107"/>
      <c r="S28" s="107"/>
      <c r="T28" s="107"/>
      <c r="U28" s="107"/>
      <c r="V28" s="107"/>
      <c r="W28" s="110"/>
      <c r="X28" s="1"/>
    </row>
    <row r="29" spans="1:24" ht="15" customHeight="1" x14ac:dyDescent="0.25">
      <c r="A29" s="113" t="s">
        <v>8</v>
      </c>
      <c r="B29" s="114" t="s">
        <v>9</v>
      </c>
      <c r="C29" s="114" t="s">
        <v>10</v>
      </c>
      <c r="D29" s="114" t="s">
        <v>11</v>
      </c>
      <c r="E29" s="114" t="s">
        <v>12</v>
      </c>
      <c r="F29" s="114" t="s">
        <v>13</v>
      </c>
      <c r="G29" s="114" t="s">
        <v>14</v>
      </c>
      <c r="H29" s="114"/>
      <c r="I29" s="114"/>
      <c r="J29" s="114"/>
      <c r="K29" s="114"/>
      <c r="L29" s="114"/>
      <c r="M29" s="114" t="s">
        <v>15</v>
      </c>
      <c r="N29" s="114" t="s">
        <v>16</v>
      </c>
      <c r="O29" s="114" t="s">
        <v>17</v>
      </c>
      <c r="P29" s="114" t="s">
        <v>18</v>
      </c>
      <c r="Q29" s="114" t="s">
        <v>19</v>
      </c>
      <c r="R29" s="114"/>
      <c r="S29" s="114"/>
      <c r="T29" s="114"/>
      <c r="U29" s="114"/>
      <c r="V29" s="114"/>
      <c r="W29" s="115" t="s">
        <v>20</v>
      </c>
      <c r="X29" s="3"/>
    </row>
    <row r="30" spans="1:24" ht="34.5" customHeight="1" x14ac:dyDescent="0.25">
      <c r="A30" s="113"/>
      <c r="B30" s="114"/>
      <c r="C30" s="114"/>
      <c r="D30" s="114"/>
      <c r="E30" s="114"/>
      <c r="F30" s="114"/>
      <c r="G30" s="31" t="s">
        <v>21</v>
      </c>
      <c r="H30" s="31" t="s">
        <v>21</v>
      </c>
      <c r="I30" s="31" t="s">
        <v>21</v>
      </c>
      <c r="J30" s="31" t="s">
        <v>22</v>
      </c>
      <c r="K30" s="31" t="s">
        <v>22</v>
      </c>
      <c r="L30" s="31" t="s">
        <v>22</v>
      </c>
      <c r="M30" s="114"/>
      <c r="N30" s="114"/>
      <c r="O30" s="114"/>
      <c r="P30" s="114"/>
      <c r="Q30" s="31" t="s">
        <v>21</v>
      </c>
      <c r="R30" s="31" t="s">
        <v>21</v>
      </c>
      <c r="S30" s="31" t="s">
        <v>21</v>
      </c>
      <c r="T30" s="31" t="s">
        <v>22</v>
      </c>
      <c r="U30" s="31" t="s">
        <v>22</v>
      </c>
      <c r="V30" s="31" t="s">
        <v>22</v>
      </c>
      <c r="W30" s="115"/>
      <c r="X30" s="3"/>
    </row>
    <row r="31" spans="1:24" ht="15.75" x14ac:dyDescent="0.25">
      <c r="A31" s="5">
        <v>1</v>
      </c>
      <c r="B31" s="8" t="s">
        <v>159</v>
      </c>
      <c r="C31" s="13">
        <v>45738</v>
      </c>
      <c r="D31" s="20">
        <v>45828</v>
      </c>
      <c r="E31" s="21">
        <v>2</v>
      </c>
      <c r="F31" s="21">
        <v>0</v>
      </c>
      <c r="G31" s="21">
        <v>166</v>
      </c>
      <c r="H31" s="21"/>
      <c r="I31" s="21"/>
      <c r="J31" s="21">
        <v>170</v>
      </c>
      <c r="K31" s="21"/>
      <c r="L31" s="21"/>
      <c r="M31" s="21">
        <f>AVERAGE(G31:L31)</f>
        <v>168</v>
      </c>
      <c r="N31" s="20">
        <v>45848</v>
      </c>
      <c r="O31" s="21">
        <v>2</v>
      </c>
      <c r="P31" s="21">
        <v>0</v>
      </c>
      <c r="Q31" s="21">
        <v>215</v>
      </c>
      <c r="R31" s="21"/>
      <c r="S31" s="21"/>
      <c r="T31" s="21">
        <v>248</v>
      </c>
      <c r="U31" s="21"/>
      <c r="V31" s="21"/>
      <c r="W31" s="22">
        <f>AVERAGE(Q31:V31)</f>
        <v>231.5</v>
      </c>
    </row>
    <row r="32" spans="1:24" ht="15.75" x14ac:dyDescent="0.25">
      <c r="A32" s="6">
        <v>2</v>
      </c>
      <c r="B32" s="8" t="s">
        <v>181</v>
      </c>
      <c r="C32" s="13">
        <v>45851</v>
      </c>
      <c r="D32" s="20">
        <v>45926</v>
      </c>
      <c r="E32" s="21">
        <v>3</v>
      </c>
      <c r="F32" s="21">
        <v>0</v>
      </c>
      <c r="G32" s="21">
        <v>140</v>
      </c>
      <c r="H32" s="21"/>
      <c r="I32" s="21"/>
      <c r="J32" s="21">
        <v>129</v>
      </c>
      <c r="K32" s="21">
        <v>135</v>
      </c>
      <c r="L32" s="21"/>
      <c r="M32" s="41">
        <f>AVERAGE(G32:L32)</f>
        <v>134.66666666666666</v>
      </c>
      <c r="N32" s="20">
        <v>45944</v>
      </c>
      <c r="O32" s="21">
        <v>3</v>
      </c>
      <c r="P32" s="21">
        <v>0</v>
      </c>
      <c r="Q32" s="21">
        <v>211</v>
      </c>
      <c r="R32" s="21"/>
      <c r="S32" s="21"/>
      <c r="T32" s="21">
        <v>201</v>
      </c>
      <c r="U32" s="21">
        <v>217</v>
      </c>
      <c r="V32" s="21"/>
      <c r="W32" s="33">
        <f>AVERAGE(Q32:V32)</f>
        <v>209.66666666666666</v>
      </c>
    </row>
    <row r="33" spans="1:24" ht="15.75" x14ac:dyDescent="0.25">
      <c r="A33" s="6">
        <v>3</v>
      </c>
      <c r="B33" s="8" t="s">
        <v>162</v>
      </c>
      <c r="C33" s="13">
        <v>45950</v>
      </c>
      <c r="D33" s="20">
        <v>46025</v>
      </c>
      <c r="E33" s="21">
        <v>2</v>
      </c>
      <c r="F33" s="21">
        <v>0</v>
      </c>
      <c r="G33" s="21">
        <v>132</v>
      </c>
      <c r="H33" s="21">
        <v>135</v>
      </c>
      <c r="I33" s="21"/>
      <c r="J33" s="21"/>
      <c r="K33" s="21"/>
      <c r="L33" s="21"/>
      <c r="M33" s="41">
        <f>AVERAGE(G33:L33)</f>
        <v>133.5</v>
      </c>
      <c r="N33" s="20">
        <v>46039</v>
      </c>
      <c r="O33" s="21">
        <v>2</v>
      </c>
      <c r="P33" s="21">
        <v>0</v>
      </c>
      <c r="Q33" s="21">
        <v>231</v>
      </c>
      <c r="R33" s="21">
        <v>226</v>
      </c>
      <c r="S33" s="21"/>
      <c r="T33" s="21"/>
      <c r="U33" s="21"/>
      <c r="V33" s="21"/>
      <c r="W33" s="33">
        <f>AVERAGE(Q33:V33)</f>
        <v>228.5</v>
      </c>
    </row>
    <row r="34" spans="1:24" ht="15.75" x14ac:dyDescent="0.25">
      <c r="A34" s="5">
        <v>4</v>
      </c>
      <c r="B34" s="8" t="s">
        <v>212</v>
      </c>
      <c r="C34" s="13">
        <v>46039</v>
      </c>
      <c r="D34" s="20">
        <v>46113</v>
      </c>
      <c r="E34" s="21">
        <v>2</v>
      </c>
      <c r="F34" s="21">
        <v>0</v>
      </c>
      <c r="G34" s="21">
        <v>114</v>
      </c>
      <c r="H34" s="21"/>
      <c r="I34" s="21"/>
      <c r="J34" s="21">
        <v>151</v>
      </c>
      <c r="K34" s="21"/>
      <c r="L34" s="21"/>
      <c r="M34" s="41">
        <f>AVERAGE(G34:L34)</f>
        <v>132.5</v>
      </c>
      <c r="N34" s="20">
        <v>46139</v>
      </c>
      <c r="O34" s="21">
        <v>2</v>
      </c>
      <c r="P34" s="21">
        <v>0</v>
      </c>
      <c r="Q34" s="21">
        <v>340</v>
      </c>
      <c r="R34" s="21"/>
      <c r="S34" s="21"/>
      <c r="T34" s="21">
        <v>370</v>
      </c>
      <c r="U34" s="21"/>
      <c r="V34" s="21"/>
      <c r="W34" s="33">
        <f>AVERAGE(Q34:V34)</f>
        <v>355</v>
      </c>
    </row>
    <row r="35" spans="1:24" ht="15.75" x14ac:dyDescent="0.25">
      <c r="A35" s="5">
        <v>5</v>
      </c>
      <c r="B35" s="8" t="s">
        <v>140</v>
      </c>
      <c r="C35" s="13">
        <v>46148</v>
      </c>
      <c r="D35" s="21"/>
      <c r="E35" s="21"/>
      <c r="F35" s="21"/>
      <c r="G35" s="21"/>
      <c r="H35" s="21"/>
      <c r="I35" s="21"/>
      <c r="J35" s="21"/>
      <c r="K35" s="21"/>
      <c r="L35" s="21"/>
      <c r="M35" s="41"/>
      <c r="N35" s="21"/>
      <c r="O35" s="21"/>
      <c r="P35" s="21"/>
      <c r="Q35" s="21"/>
      <c r="R35" s="21"/>
      <c r="S35" s="21"/>
      <c r="T35" s="21"/>
      <c r="U35" s="21"/>
      <c r="V35" s="21"/>
      <c r="W35" s="33"/>
    </row>
    <row r="36" spans="1:24" ht="16.5" thickBot="1" x14ac:dyDescent="0.3">
      <c r="A36" s="7">
        <v>6</v>
      </c>
      <c r="B36" s="10"/>
      <c r="C36" s="10"/>
      <c r="D36" s="37"/>
      <c r="E36" s="37"/>
      <c r="F36" s="37"/>
      <c r="G36" s="37"/>
      <c r="H36" s="37"/>
      <c r="I36" s="37"/>
      <c r="J36" s="37"/>
      <c r="K36" s="37"/>
      <c r="L36" s="37"/>
      <c r="M36" s="42"/>
      <c r="N36" s="37"/>
      <c r="O36" s="37"/>
      <c r="P36" s="37"/>
      <c r="Q36" s="37"/>
      <c r="R36" s="37"/>
      <c r="S36" s="37"/>
      <c r="T36" s="37"/>
      <c r="U36" s="37"/>
      <c r="V36" s="37"/>
      <c r="W36" s="33"/>
    </row>
    <row r="38" spans="1:24" ht="15.75" thickBot="1" x14ac:dyDescent="0.3"/>
    <row r="39" spans="1:24" ht="15.75" x14ac:dyDescent="0.25">
      <c r="A39" s="100" t="s">
        <v>2</v>
      </c>
      <c r="B39" s="101"/>
      <c r="C39" s="193" t="s">
        <v>196</v>
      </c>
      <c r="D39" s="193"/>
      <c r="E39" s="109" t="s">
        <v>394</v>
      </c>
      <c r="F39" s="143"/>
      <c r="G39" s="101" t="s">
        <v>4</v>
      </c>
      <c r="H39" s="101"/>
      <c r="I39" s="102" t="s">
        <v>139</v>
      </c>
      <c r="J39" s="102"/>
      <c r="K39" s="102"/>
      <c r="L39" s="102"/>
      <c r="M39" s="102"/>
      <c r="N39" s="102"/>
      <c r="O39" s="101" t="s">
        <v>6</v>
      </c>
      <c r="P39" s="101"/>
      <c r="Q39" s="103"/>
      <c r="R39" s="104"/>
      <c r="S39" s="104"/>
      <c r="T39" s="104"/>
      <c r="U39" s="104"/>
      <c r="V39" s="104"/>
      <c r="W39" s="105"/>
      <c r="X39" s="1"/>
    </row>
    <row r="40" spans="1:24" ht="15.75" x14ac:dyDescent="0.25">
      <c r="A40" s="106" t="s">
        <v>7</v>
      </c>
      <c r="B40" s="107"/>
      <c r="C40" s="116" t="s">
        <v>44</v>
      </c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09"/>
      <c r="P40" s="109"/>
      <c r="Q40" s="107"/>
      <c r="R40" s="107"/>
      <c r="S40" s="107"/>
      <c r="T40" s="107"/>
      <c r="U40" s="107"/>
      <c r="V40" s="107"/>
      <c r="W40" s="110"/>
      <c r="X40" s="1"/>
    </row>
    <row r="41" spans="1:24" ht="15" customHeight="1" x14ac:dyDescent="0.25">
      <c r="A41" s="113" t="s">
        <v>8</v>
      </c>
      <c r="B41" s="114" t="s">
        <v>9</v>
      </c>
      <c r="C41" s="114" t="s">
        <v>10</v>
      </c>
      <c r="D41" s="114" t="s">
        <v>11</v>
      </c>
      <c r="E41" s="114" t="s">
        <v>12</v>
      </c>
      <c r="F41" s="114" t="s">
        <v>13</v>
      </c>
      <c r="G41" s="114" t="s">
        <v>14</v>
      </c>
      <c r="H41" s="114"/>
      <c r="I41" s="114"/>
      <c r="J41" s="114"/>
      <c r="K41" s="114"/>
      <c r="L41" s="114"/>
      <c r="M41" s="114" t="s">
        <v>15</v>
      </c>
      <c r="N41" s="114" t="s">
        <v>16</v>
      </c>
      <c r="O41" s="114" t="s">
        <v>17</v>
      </c>
      <c r="P41" s="114" t="s">
        <v>18</v>
      </c>
      <c r="Q41" s="114" t="s">
        <v>19</v>
      </c>
      <c r="R41" s="114"/>
      <c r="S41" s="114"/>
      <c r="T41" s="114"/>
      <c r="U41" s="114"/>
      <c r="V41" s="114"/>
      <c r="W41" s="115" t="s">
        <v>20</v>
      </c>
      <c r="X41" s="3"/>
    </row>
    <row r="42" spans="1:24" ht="31.5" customHeight="1" x14ac:dyDescent="0.25">
      <c r="A42" s="113"/>
      <c r="B42" s="114"/>
      <c r="C42" s="114"/>
      <c r="D42" s="114"/>
      <c r="E42" s="114"/>
      <c r="F42" s="114"/>
      <c r="G42" s="31" t="s">
        <v>21</v>
      </c>
      <c r="H42" s="31" t="s">
        <v>21</v>
      </c>
      <c r="I42" s="31" t="s">
        <v>21</v>
      </c>
      <c r="J42" s="31" t="s">
        <v>22</v>
      </c>
      <c r="K42" s="31" t="s">
        <v>22</v>
      </c>
      <c r="L42" s="31" t="s">
        <v>22</v>
      </c>
      <c r="M42" s="114"/>
      <c r="N42" s="114"/>
      <c r="O42" s="114"/>
      <c r="P42" s="114"/>
      <c r="Q42" s="31" t="s">
        <v>21</v>
      </c>
      <c r="R42" s="31" t="s">
        <v>21</v>
      </c>
      <c r="S42" s="31" t="s">
        <v>21</v>
      </c>
      <c r="T42" s="31" t="s">
        <v>22</v>
      </c>
      <c r="U42" s="31" t="s">
        <v>22</v>
      </c>
      <c r="V42" s="31" t="s">
        <v>22</v>
      </c>
      <c r="W42" s="115"/>
      <c r="X42" s="3"/>
    </row>
    <row r="43" spans="1:24" ht="15.75" x14ac:dyDescent="0.25">
      <c r="A43" s="5">
        <v>1</v>
      </c>
      <c r="B43" s="8" t="s">
        <v>159</v>
      </c>
      <c r="C43" s="13">
        <v>45738</v>
      </c>
      <c r="D43" s="20">
        <v>45819</v>
      </c>
      <c r="E43" s="21">
        <v>2</v>
      </c>
      <c r="F43" s="21">
        <v>0</v>
      </c>
      <c r="G43" s="21">
        <v>138</v>
      </c>
      <c r="H43" s="21"/>
      <c r="I43" s="21"/>
      <c r="J43" s="21">
        <v>139</v>
      </c>
      <c r="K43" s="21"/>
      <c r="L43" s="21"/>
      <c r="M43" s="21">
        <f>AVERAGE(G43:L43)</f>
        <v>138.5</v>
      </c>
      <c r="N43" s="20">
        <v>45848</v>
      </c>
      <c r="O43" s="21">
        <v>2</v>
      </c>
      <c r="P43" s="21">
        <v>0</v>
      </c>
      <c r="Q43" s="21">
        <v>338</v>
      </c>
      <c r="R43" s="21"/>
      <c r="S43" s="21"/>
      <c r="T43" s="21">
        <v>312</v>
      </c>
      <c r="U43" s="21"/>
      <c r="V43" s="21"/>
      <c r="W43" s="22">
        <f>AVERAGE(Q43:V43)</f>
        <v>325</v>
      </c>
    </row>
    <row r="44" spans="1:24" ht="15.75" x14ac:dyDescent="0.25">
      <c r="A44" s="6">
        <v>2</v>
      </c>
      <c r="B44" s="8" t="s">
        <v>159</v>
      </c>
      <c r="C44" s="13">
        <v>45851</v>
      </c>
      <c r="D44" s="20">
        <v>45927</v>
      </c>
      <c r="E44" s="21">
        <v>3</v>
      </c>
      <c r="F44" s="21">
        <v>0</v>
      </c>
      <c r="G44" s="21">
        <v>143</v>
      </c>
      <c r="H44" s="21"/>
      <c r="I44" s="21"/>
      <c r="J44" s="21">
        <v>130</v>
      </c>
      <c r="K44" s="21">
        <v>116</v>
      </c>
      <c r="L44" s="21"/>
      <c r="M44" s="41">
        <f>AVERAGE(G44:L44)</f>
        <v>129.66666666666666</v>
      </c>
      <c r="N44" s="20">
        <v>45944</v>
      </c>
      <c r="O44" s="21">
        <v>3</v>
      </c>
      <c r="P44" s="21">
        <v>0</v>
      </c>
      <c r="Q44" s="21">
        <v>226</v>
      </c>
      <c r="R44" s="21"/>
      <c r="S44" s="21"/>
      <c r="T44" s="21">
        <v>173</v>
      </c>
      <c r="U44" s="21">
        <v>190</v>
      </c>
      <c r="V44" s="21"/>
      <c r="W44" s="40">
        <f>AVERAGE(Q44:V44)</f>
        <v>196.33333333333334</v>
      </c>
    </row>
    <row r="45" spans="1:24" ht="15.75" x14ac:dyDescent="0.25">
      <c r="A45" s="6">
        <v>3</v>
      </c>
      <c r="B45" s="8" t="s">
        <v>162</v>
      </c>
      <c r="C45" s="13">
        <v>45950</v>
      </c>
      <c r="D45" s="20">
        <v>46030</v>
      </c>
      <c r="E45" s="21">
        <v>3</v>
      </c>
      <c r="F45" s="21">
        <v>0</v>
      </c>
      <c r="G45" s="21">
        <v>123</v>
      </c>
      <c r="H45" s="21">
        <v>122</v>
      </c>
      <c r="I45" s="21"/>
      <c r="J45" s="21">
        <v>125</v>
      </c>
      <c r="K45" s="21"/>
      <c r="L45" s="21"/>
      <c r="M45" s="41">
        <f>AVERAGE(G45:L45)</f>
        <v>123.33333333333333</v>
      </c>
      <c r="N45" s="20">
        <v>46055</v>
      </c>
      <c r="O45" s="21">
        <v>1</v>
      </c>
      <c r="P45" s="21">
        <v>2</v>
      </c>
      <c r="Q45" s="21">
        <v>214</v>
      </c>
      <c r="R45" s="21"/>
      <c r="S45" s="21"/>
      <c r="T45" s="21"/>
      <c r="U45" s="21"/>
      <c r="V45" s="21"/>
      <c r="W45" s="40">
        <f>AVERAGE(Q45:V45)</f>
        <v>214</v>
      </c>
    </row>
    <row r="46" spans="1:24" ht="15.75" x14ac:dyDescent="0.25">
      <c r="A46" s="5">
        <v>4</v>
      </c>
      <c r="B46" s="8" t="s">
        <v>212</v>
      </c>
      <c r="C46" s="13">
        <v>46039</v>
      </c>
      <c r="D46" s="20">
        <v>46110</v>
      </c>
      <c r="E46" s="21">
        <v>2</v>
      </c>
      <c r="F46" s="21">
        <v>0</v>
      </c>
      <c r="G46" s="21"/>
      <c r="H46" s="21"/>
      <c r="I46" s="21"/>
      <c r="J46" s="21">
        <v>129</v>
      </c>
      <c r="K46" s="21">
        <v>162</v>
      </c>
      <c r="L46" s="21"/>
      <c r="M46" s="41">
        <f>AVERAGE(G46:L46)</f>
        <v>145.5</v>
      </c>
      <c r="N46" s="20">
        <v>46133</v>
      </c>
      <c r="O46" s="21">
        <v>2</v>
      </c>
      <c r="P46" s="21">
        <v>0</v>
      </c>
      <c r="Q46" s="21"/>
      <c r="R46" s="21"/>
      <c r="S46" s="21"/>
      <c r="T46" s="21">
        <v>282</v>
      </c>
      <c r="U46" s="21">
        <v>280</v>
      </c>
      <c r="V46" s="21"/>
      <c r="W46" s="40">
        <f>AVERAGE(Q46:V46)</f>
        <v>281</v>
      </c>
    </row>
    <row r="47" spans="1:24" ht="15.75" x14ac:dyDescent="0.25">
      <c r="A47" s="5">
        <v>5</v>
      </c>
      <c r="B47" s="8"/>
      <c r="C47" s="8"/>
      <c r="D47" s="21"/>
      <c r="E47" s="21"/>
      <c r="F47" s="21"/>
      <c r="G47" s="21"/>
      <c r="H47" s="21"/>
      <c r="I47" s="21"/>
      <c r="J47" s="21"/>
      <c r="K47" s="21"/>
      <c r="L47" s="21"/>
      <c r="M47" s="41"/>
      <c r="N47" s="21"/>
      <c r="O47" s="21"/>
      <c r="P47" s="21"/>
      <c r="Q47" s="21"/>
      <c r="R47" s="21"/>
      <c r="S47" s="21"/>
      <c r="T47" s="21"/>
      <c r="U47" s="21"/>
      <c r="V47" s="21"/>
      <c r="W47" s="40"/>
    </row>
    <row r="48" spans="1:24" ht="16.5" thickBot="1" x14ac:dyDescent="0.3">
      <c r="A48" s="7">
        <v>6</v>
      </c>
      <c r="B48" s="10"/>
      <c r="C48" s="10"/>
      <c r="D48" s="37"/>
      <c r="E48" s="37"/>
      <c r="F48" s="37"/>
      <c r="G48" s="37"/>
      <c r="H48" s="37"/>
      <c r="I48" s="37"/>
      <c r="J48" s="37"/>
      <c r="K48" s="37"/>
      <c r="L48" s="37"/>
      <c r="M48" s="42"/>
      <c r="N48" s="37"/>
      <c r="O48" s="37"/>
      <c r="P48" s="37"/>
      <c r="Q48" s="37"/>
      <c r="R48" s="37"/>
      <c r="S48" s="37"/>
      <c r="T48" s="37"/>
      <c r="U48" s="37"/>
      <c r="V48" s="37"/>
      <c r="W48" s="43"/>
    </row>
    <row r="50" spans="1:24" ht="15.75" thickBot="1" x14ac:dyDescent="0.3"/>
    <row r="51" spans="1:24" ht="15.75" x14ac:dyDescent="0.25">
      <c r="A51" s="100" t="s">
        <v>2</v>
      </c>
      <c r="B51" s="101"/>
      <c r="C51" s="111" t="s">
        <v>197</v>
      </c>
      <c r="D51" s="112"/>
      <c r="E51" s="111" t="s">
        <v>392</v>
      </c>
      <c r="F51" s="112"/>
      <c r="G51" s="101" t="s">
        <v>4</v>
      </c>
      <c r="H51" s="101"/>
      <c r="I51" s="102" t="s">
        <v>139</v>
      </c>
      <c r="J51" s="102"/>
      <c r="K51" s="102"/>
      <c r="L51" s="102"/>
      <c r="M51" s="102"/>
      <c r="N51" s="102"/>
      <c r="O51" s="101" t="s">
        <v>6</v>
      </c>
      <c r="P51" s="101"/>
      <c r="Q51" s="103"/>
      <c r="R51" s="104"/>
      <c r="S51" s="104"/>
      <c r="T51" s="104"/>
      <c r="U51" s="104"/>
      <c r="V51" s="104"/>
      <c r="W51" s="105"/>
      <c r="X51" s="1"/>
    </row>
    <row r="52" spans="1:24" ht="15.75" x14ac:dyDescent="0.25">
      <c r="A52" s="106" t="s">
        <v>7</v>
      </c>
      <c r="B52" s="107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7"/>
      <c r="R52" s="107"/>
      <c r="S52" s="107"/>
      <c r="T52" s="107"/>
      <c r="U52" s="107"/>
      <c r="V52" s="107"/>
      <c r="W52" s="110"/>
      <c r="X52" s="1"/>
    </row>
    <row r="53" spans="1:24" ht="15" customHeight="1" x14ac:dyDescent="0.25">
      <c r="A53" s="113" t="s">
        <v>8</v>
      </c>
      <c r="B53" s="114" t="s">
        <v>9</v>
      </c>
      <c r="C53" s="114" t="s">
        <v>10</v>
      </c>
      <c r="D53" s="114" t="s">
        <v>11</v>
      </c>
      <c r="E53" s="114" t="s">
        <v>12</v>
      </c>
      <c r="F53" s="114" t="s">
        <v>13</v>
      </c>
      <c r="G53" s="114" t="s">
        <v>14</v>
      </c>
      <c r="H53" s="114"/>
      <c r="I53" s="114"/>
      <c r="J53" s="114"/>
      <c r="K53" s="114"/>
      <c r="L53" s="114"/>
      <c r="M53" s="114" t="s">
        <v>15</v>
      </c>
      <c r="N53" s="114" t="s">
        <v>16</v>
      </c>
      <c r="O53" s="114" t="s">
        <v>17</v>
      </c>
      <c r="P53" s="114" t="s">
        <v>18</v>
      </c>
      <c r="Q53" s="114" t="s">
        <v>19</v>
      </c>
      <c r="R53" s="114"/>
      <c r="S53" s="114"/>
      <c r="T53" s="114"/>
      <c r="U53" s="114"/>
      <c r="V53" s="114"/>
      <c r="W53" s="115" t="s">
        <v>20</v>
      </c>
      <c r="X53" s="3"/>
    </row>
    <row r="54" spans="1:24" ht="30" customHeight="1" x14ac:dyDescent="0.25">
      <c r="A54" s="113"/>
      <c r="B54" s="114"/>
      <c r="C54" s="114"/>
      <c r="D54" s="114"/>
      <c r="E54" s="114"/>
      <c r="F54" s="114"/>
      <c r="G54" s="31" t="s">
        <v>21</v>
      </c>
      <c r="H54" s="31" t="s">
        <v>21</v>
      </c>
      <c r="I54" s="31" t="s">
        <v>21</v>
      </c>
      <c r="J54" s="31" t="s">
        <v>22</v>
      </c>
      <c r="K54" s="31" t="s">
        <v>22</v>
      </c>
      <c r="L54" s="31" t="s">
        <v>22</v>
      </c>
      <c r="M54" s="114"/>
      <c r="N54" s="114"/>
      <c r="O54" s="114"/>
      <c r="P54" s="114"/>
      <c r="Q54" s="31" t="s">
        <v>21</v>
      </c>
      <c r="R54" s="31" t="s">
        <v>21</v>
      </c>
      <c r="S54" s="31" t="s">
        <v>21</v>
      </c>
      <c r="T54" s="31" t="s">
        <v>22</v>
      </c>
      <c r="U54" s="31" t="s">
        <v>22</v>
      </c>
      <c r="V54" s="31" t="s">
        <v>22</v>
      </c>
      <c r="W54" s="115"/>
      <c r="X54" s="3"/>
    </row>
    <row r="55" spans="1:24" ht="15.75" x14ac:dyDescent="0.25">
      <c r="A55" s="5">
        <v>1</v>
      </c>
      <c r="B55" s="8" t="s">
        <v>140</v>
      </c>
      <c r="C55" s="13">
        <v>45738</v>
      </c>
      <c r="D55" s="20">
        <v>45815</v>
      </c>
      <c r="E55" s="21">
        <v>2</v>
      </c>
      <c r="F55" s="21">
        <v>0</v>
      </c>
      <c r="G55" s="21"/>
      <c r="H55" s="21"/>
      <c r="I55" s="21"/>
      <c r="J55" s="21">
        <v>173</v>
      </c>
      <c r="K55" s="21">
        <v>160</v>
      </c>
      <c r="L55" s="21"/>
      <c r="M55" s="21">
        <f>AVERAGE(G55:L55)</f>
        <v>166.5</v>
      </c>
      <c r="N55" s="20">
        <v>45833</v>
      </c>
      <c r="O55" s="21">
        <v>2</v>
      </c>
      <c r="P55" s="21">
        <v>0</v>
      </c>
      <c r="Q55" s="21"/>
      <c r="R55" s="21"/>
      <c r="S55" s="21"/>
      <c r="T55" s="21">
        <v>288</v>
      </c>
      <c r="U55" s="21">
        <v>280</v>
      </c>
      <c r="V55" s="21"/>
      <c r="W55" s="22">
        <f>AVERAGE(Q55:V55)</f>
        <v>284</v>
      </c>
    </row>
    <row r="56" spans="1:24" ht="15.75" x14ac:dyDescent="0.25">
      <c r="A56" s="6">
        <v>2</v>
      </c>
      <c r="B56" s="8" t="s">
        <v>140</v>
      </c>
      <c r="C56" s="13">
        <v>45851</v>
      </c>
      <c r="D56" s="20">
        <v>45930</v>
      </c>
      <c r="E56" s="21">
        <v>3</v>
      </c>
      <c r="F56" s="21">
        <v>0</v>
      </c>
      <c r="G56" s="21">
        <v>132</v>
      </c>
      <c r="H56" s="21">
        <v>144</v>
      </c>
      <c r="I56" s="21">
        <v>142</v>
      </c>
      <c r="J56" s="21"/>
      <c r="K56" s="21"/>
      <c r="L56" s="21"/>
      <c r="M56" s="41">
        <f>AVERAGE(G56:L56)</f>
        <v>139.33333333333334</v>
      </c>
      <c r="N56" s="20">
        <v>45944</v>
      </c>
      <c r="O56" s="21">
        <v>3</v>
      </c>
      <c r="P56" s="21">
        <v>0</v>
      </c>
      <c r="Q56" s="21">
        <v>173</v>
      </c>
      <c r="R56" s="21">
        <v>200</v>
      </c>
      <c r="S56" s="21">
        <v>190</v>
      </c>
      <c r="T56" s="21"/>
      <c r="U56" s="21"/>
      <c r="V56" s="21"/>
      <c r="W56" s="40">
        <f>AVERAGE(Q56:V56)</f>
        <v>187.66666666666666</v>
      </c>
    </row>
    <row r="57" spans="1:24" ht="15.75" x14ac:dyDescent="0.25">
      <c r="A57" s="6">
        <v>3</v>
      </c>
      <c r="B57" s="8" t="s">
        <v>145</v>
      </c>
      <c r="C57" s="13">
        <v>45950</v>
      </c>
      <c r="D57" s="20">
        <v>46020</v>
      </c>
      <c r="E57" s="21">
        <v>3</v>
      </c>
      <c r="F57" s="21">
        <v>0</v>
      </c>
      <c r="G57" s="21">
        <v>119</v>
      </c>
      <c r="H57" s="21">
        <v>115</v>
      </c>
      <c r="I57" s="21"/>
      <c r="J57" s="21"/>
      <c r="K57" s="21">
        <v>135</v>
      </c>
      <c r="L57" s="21"/>
      <c r="M57" s="41">
        <f>AVERAGE(G57:L57)</f>
        <v>123</v>
      </c>
      <c r="N57" s="20">
        <v>46039</v>
      </c>
      <c r="O57" s="21">
        <v>3</v>
      </c>
      <c r="P57" s="21">
        <v>0</v>
      </c>
      <c r="Q57" s="21">
        <v>199</v>
      </c>
      <c r="R57" s="21">
        <v>238</v>
      </c>
      <c r="S57" s="21"/>
      <c r="T57" s="21">
        <v>166</v>
      </c>
      <c r="U57" s="21"/>
      <c r="V57" s="21"/>
      <c r="W57" s="40">
        <f>AVERAGE(Q57:V57)</f>
        <v>201</v>
      </c>
    </row>
    <row r="58" spans="1:24" ht="15.75" x14ac:dyDescent="0.25">
      <c r="A58" s="5">
        <v>4</v>
      </c>
      <c r="B58" s="8" t="s">
        <v>145</v>
      </c>
      <c r="C58" s="13">
        <v>46039</v>
      </c>
      <c r="D58" s="21" t="s">
        <v>428</v>
      </c>
      <c r="E58" s="21"/>
      <c r="F58" s="21"/>
      <c r="G58" s="21"/>
      <c r="H58" s="21"/>
      <c r="I58" s="21"/>
      <c r="J58" s="21"/>
      <c r="K58" s="21"/>
      <c r="L58" s="21"/>
      <c r="M58" s="41"/>
      <c r="N58" s="21"/>
      <c r="O58" s="21"/>
      <c r="P58" s="21"/>
      <c r="Q58" s="21"/>
      <c r="R58" s="21"/>
      <c r="S58" s="21"/>
      <c r="T58" s="21"/>
      <c r="U58" s="21"/>
      <c r="V58" s="21"/>
      <c r="W58" s="40"/>
    </row>
    <row r="59" spans="1:24" ht="15.75" x14ac:dyDescent="0.25">
      <c r="A59" s="5">
        <v>5</v>
      </c>
      <c r="B59" s="8"/>
      <c r="C59" s="8"/>
      <c r="D59" s="21"/>
      <c r="E59" s="21"/>
      <c r="F59" s="21"/>
      <c r="G59" s="21"/>
      <c r="H59" s="21"/>
      <c r="I59" s="21"/>
      <c r="J59" s="21"/>
      <c r="K59" s="21"/>
      <c r="L59" s="21"/>
      <c r="M59" s="41"/>
      <c r="N59" s="21"/>
      <c r="O59" s="21"/>
      <c r="P59" s="21"/>
      <c r="Q59" s="21"/>
      <c r="R59" s="21"/>
      <c r="S59" s="21"/>
      <c r="T59" s="21"/>
      <c r="U59" s="21"/>
      <c r="V59" s="21"/>
      <c r="W59" s="40"/>
    </row>
    <row r="60" spans="1:24" ht="16.5" thickBot="1" x14ac:dyDescent="0.3">
      <c r="A60" s="7">
        <v>6</v>
      </c>
      <c r="B60" s="10"/>
      <c r="C60" s="10"/>
      <c r="D60" s="37"/>
      <c r="E60" s="37"/>
      <c r="F60" s="37"/>
      <c r="G60" s="37"/>
      <c r="H60" s="37"/>
      <c r="I60" s="37"/>
      <c r="J60" s="37"/>
      <c r="K60" s="37"/>
      <c r="L60" s="37"/>
      <c r="M60" s="42"/>
      <c r="N60" s="37"/>
      <c r="O60" s="37"/>
      <c r="P60" s="37"/>
      <c r="Q60" s="37"/>
      <c r="R60" s="37"/>
      <c r="S60" s="37"/>
      <c r="T60" s="37"/>
      <c r="U60" s="37"/>
      <c r="V60" s="37"/>
      <c r="W60" s="43"/>
    </row>
    <row r="62" spans="1:24" ht="15.75" thickBot="1" x14ac:dyDescent="0.3"/>
    <row r="63" spans="1:24" ht="15.75" x14ac:dyDescent="0.25">
      <c r="A63" s="100" t="s">
        <v>2</v>
      </c>
      <c r="B63" s="101"/>
      <c r="C63" s="178" t="s">
        <v>198</v>
      </c>
      <c r="D63" s="179"/>
      <c r="E63" s="111" t="s">
        <v>397</v>
      </c>
      <c r="F63" s="112"/>
      <c r="G63" s="101" t="s">
        <v>4</v>
      </c>
      <c r="H63" s="101"/>
      <c r="I63" s="102" t="s">
        <v>139</v>
      </c>
      <c r="J63" s="102"/>
      <c r="K63" s="102"/>
      <c r="L63" s="102"/>
      <c r="M63" s="102"/>
      <c r="N63" s="102"/>
      <c r="O63" s="101" t="s">
        <v>6</v>
      </c>
      <c r="P63" s="101"/>
      <c r="Q63" s="103"/>
      <c r="R63" s="104"/>
      <c r="S63" s="104"/>
      <c r="T63" s="104"/>
      <c r="U63" s="104"/>
      <c r="V63" s="104"/>
      <c r="W63" s="105"/>
      <c r="X63" s="1"/>
    </row>
    <row r="64" spans="1:24" ht="15.75" x14ac:dyDescent="0.25">
      <c r="A64" s="106" t="s">
        <v>7</v>
      </c>
      <c r="B64" s="107"/>
      <c r="C64" s="116" t="s">
        <v>44</v>
      </c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09"/>
      <c r="P64" s="109"/>
      <c r="Q64" s="107"/>
      <c r="R64" s="107"/>
      <c r="S64" s="107"/>
      <c r="T64" s="107"/>
      <c r="U64" s="107"/>
      <c r="V64" s="107"/>
      <c r="W64" s="110"/>
      <c r="X64" s="1"/>
    </row>
    <row r="65" spans="1:24" ht="15" customHeight="1" x14ac:dyDescent="0.25">
      <c r="A65" s="113" t="s">
        <v>8</v>
      </c>
      <c r="B65" s="114" t="s">
        <v>9</v>
      </c>
      <c r="C65" s="114" t="s">
        <v>10</v>
      </c>
      <c r="D65" s="114" t="s">
        <v>11</v>
      </c>
      <c r="E65" s="114" t="s">
        <v>12</v>
      </c>
      <c r="F65" s="114" t="s">
        <v>13</v>
      </c>
      <c r="G65" s="114" t="s">
        <v>14</v>
      </c>
      <c r="H65" s="114"/>
      <c r="I65" s="114"/>
      <c r="J65" s="114"/>
      <c r="K65" s="114"/>
      <c r="L65" s="114"/>
      <c r="M65" s="114" t="s">
        <v>15</v>
      </c>
      <c r="N65" s="114" t="s">
        <v>16</v>
      </c>
      <c r="O65" s="114" t="s">
        <v>17</v>
      </c>
      <c r="P65" s="114" t="s">
        <v>18</v>
      </c>
      <c r="Q65" s="114" t="s">
        <v>19</v>
      </c>
      <c r="R65" s="114"/>
      <c r="S65" s="114"/>
      <c r="T65" s="114"/>
      <c r="U65" s="114"/>
      <c r="V65" s="114"/>
      <c r="W65" s="115" t="s">
        <v>20</v>
      </c>
      <c r="X65" s="3"/>
    </row>
    <row r="66" spans="1:24" ht="30.75" customHeight="1" x14ac:dyDescent="0.25">
      <c r="A66" s="113"/>
      <c r="B66" s="114"/>
      <c r="C66" s="114"/>
      <c r="D66" s="114"/>
      <c r="E66" s="114"/>
      <c r="F66" s="114"/>
      <c r="G66" s="31" t="s">
        <v>21</v>
      </c>
      <c r="H66" s="31" t="s">
        <v>21</v>
      </c>
      <c r="I66" s="31" t="s">
        <v>21</v>
      </c>
      <c r="J66" s="31" t="s">
        <v>22</v>
      </c>
      <c r="K66" s="31" t="s">
        <v>22</v>
      </c>
      <c r="L66" s="31" t="s">
        <v>22</v>
      </c>
      <c r="M66" s="114"/>
      <c r="N66" s="114"/>
      <c r="O66" s="114"/>
      <c r="P66" s="114"/>
      <c r="Q66" s="31" t="s">
        <v>21</v>
      </c>
      <c r="R66" s="31" t="s">
        <v>21</v>
      </c>
      <c r="S66" s="31" t="s">
        <v>21</v>
      </c>
      <c r="T66" s="31" t="s">
        <v>22</v>
      </c>
      <c r="U66" s="31" t="s">
        <v>22</v>
      </c>
      <c r="V66" s="31" t="s">
        <v>22</v>
      </c>
      <c r="W66" s="115"/>
      <c r="X66" s="3"/>
    </row>
    <row r="67" spans="1:24" ht="15.75" x14ac:dyDescent="0.25">
      <c r="A67" s="5">
        <v>1</v>
      </c>
      <c r="B67" s="8" t="s">
        <v>181</v>
      </c>
      <c r="C67" s="13">
        <v>45738</v>
      </c>
      <c r="D67" s="13">
        <v>45828</v>
      </c>
      <c r="E67" s="21">
        <v>1</v>
      </c>
      <c r="F67" s="21">
        <v>0</v>
      </c>
      <c r="G67" s="21">
        <v>174</v>
      </c>
      <c r="H67" s="21"/>
      <c r="I67" s="21"/>
      <c r="J67" s="21"/>
      <c r="K67" s="21"/>
      <c r="L67" s="21"/>
      <c r="M67" s="21">
        <v>174</v>
      </c>
      <c r="N67" s="20">
        <v>45848</v>
      </c>
      <c r="O67" s="21">
        <v>2</v>
      </c>
      <c r="P67" s="21">
        <v>0</v>
      </c>
      <c r="Q67" s="21">
        <v>328</v>
      </c>
      <c r="R67" s="21"/>
      <c r="S67" s="21"/>
      <c r="T67" s="21"/>
      <c r="U67" s="21"/>
      <c r="V67" s="21"/>
      <c r="W67" s="22">
        <v>328</v>
      </c>
    </row>
    <row r="68" spans="1:24" ht="15.75" x14ac:dyDescent="0.25">
      <c r="A68" s="6">
        <v>2</v>
      </c>
      <c r="B68" s="8" t="s">
        <v>181</v>
      </c>
      <c r="C68" s="13">
        <v>45851</v>
      </c>
      <c r="D68" s="13">
        <v>45928</v>
      </c>
      <c r="E68" s="21">
        <v>3</v>
      </c>
      <c r="F68" s="21">
        <v>0</v>
      </c>
      <c r="G68" s="21">
        <v>93</v>
      </c>
      <c r="H68" s="21"/>
      <c r="I68" s="21"/>
      <c r="J68" s="21">
        <v>111</v>
      </c>
      <c r="K68" s="21">
        <v>92</v>
      </c>
      <c r="L68" s="21"/>
      <c r="M68" s="41">
        <f>AVERAGE(G68:L68)</f>
        <v>98.666666666666671</v>
      </c>
      <c r="N68" s="20">
        <v>45944</v>
      </c>
      <c r="O68" s="21">
        <v>2</v>
      </c>
      <c r="P68" s="21">
        <v>1</v>
      </c>
      <c r="Q68" s="21">
        <v>187</v>
      </c>
      <c r="R68" s="21"/>
      <c r="S68" s="21"/>
      <c r="T68" s="21">
        <v>139</v>
      </c>
      <c r="U68" s="21"/>
      <c r="V68" s="21"/>
      <c r="W68" s="40">
        <f>AVERAGE(Q68:S68)</f>
        <v>187</v>
      </c>
    </row>
    <row r="69" spans="1:24" ht="15.75" x14ac:dyDescent="0.25">
      <c r="A69" s="6">
        <v>3</v>
      </c>
      <c r="B69" s="8"/>
      <c r="C69" s="8"/>
      <c r="D69" s="8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2"/>
    </row>
    <row r="70" spans="1:24" ht="15.75" x14ac:dyDescent="0.25">
      <c r="A70" s="5">
        <v>4</v>
      </c>
      <c r="B70" s="8"/>
      <c r="C70" s="8"/>
      <c r="D70" s="8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2"/>
    </row>
    <row r="71" spans="1:24" ht="15.75" x14ac:dyDescent="0.25">
      <c r="A71" s="5">
        <v>5</v>
      </c>
      <c r="B71" s="8"/>
      <c r="C71" s="8"/>
      <c r="D71" s="8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2"/>
    </row>
    <row r="72" spans="1:24" ht="16.5" thickBot="1" x14ac:dyDescent="0.3">
      <c r="A72" s="7">
        <v>6</v>
      </c>
      <c r="B72" s="10"/>
      <c r="C72" s="10"/>
      <c r="D72" s="10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9"/>
    </row>
    <row r="74" spans="1:24" ht="15.75" thickBot="1" x14ac:dyDescent="0.3"/>
    <row r="75" spans="1:24" ht="15.75" x14ac:dyDescent="0.25">
      <c r="A75" s="100" t="s">
        <v>2</v>
      </c>
      <c r="B75" s="101"/>
      <c r="C75" s="184" t="s">
        <v>199</v>
      </c>
      <c r="D75" s="185"/>
      <c r="E75" s="111" t="s">
        <v>398</v>
      </c>
      <c r="F75" s="112"/>
      <c r="G75" s="101" t="s">
        <v>4</v>
      </c>
      <c r="H75" s="101"/>
      <c r="I75" s="102" t="s">
        <v>139</v>
      </c>
      <c r="J75" s="102"/>
      <c r="K75" s="102"/>
      <c r="L75" s="102"/>
      <c r="M75" s="102"/>
      <c r="N75" s="102"/>
      <c r="O75" s="101" t="s">
        <v>6</v>
      </c>
      <c r="P75" s="101"/>
      <c r="Q75" s="103"/>
      <c r="R75" s="104"/>
      <c r="S75" s="104"/>
      <c r="T75" s="104"/>
      <c r="U75" s="104"/>
      <c r="V75" s="104"/>
      <c r="W75" s="105"/>
      <c r="X75" s="1"/>
    </row>
    <row r="76" spans="1:24" ht="15.75" x14ac:dyDescent="0.25">
      <c r="A76" s="106" t="s">
        <v>7</v>
      </c>
      <c r="B76" s="107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7"/>
      <c r="R76" s="107"/>
      <c r="S76" s="107"/>
      <c r="T76" s="107"/>
      <c r="U76" s="107"/>
      <c r="V76" s="107"/>
      <c r="W76" s="110"/>
      <c r="X76" s="1"/>
    </row>
    <row r="77" spans="1:24" ht="15" customHeight="1" x14ac:dyDescent="0.25">
      <c r="A77" s="113" t="s">
        <v>8</v>
      </c>
      <c r="B77" s="114" t="s">
        <v>9</v>
      </c>
      <c r="C77" s="114" t="s">
        <v>10</v>
      </c>
      <c r="D77" s="114" t="s">
        <v>11</v>
      </c>
      <c r="E77" s="114" t="s">
        <v>12</v>
      </c>
      <c r="F77" s="114" t="s">
        <v>13</v>
      </c>
      <c r="G77" s="114" t="s">
        <v>14</v>
      </c>
      <c r="H77" s="114"/>
      <c r="I77" s="114"/>
      <c r="J77" s="114"/>
      <c r="K77" s="114"/>
      <c r="L77" s="114"/>
      <c r="M77" s="114" t="s">
        <v>15</v>
      </c>
      <c r="N77" s="114" t="s">
        <v>16</v>
      </c>
      <c r="O77" s="114" t="s">
        <v>17</v>
      </c>
      <c r="P77" s="114" t="s">
        <v>18</v>
      </c>
      <c r="Q77" s="114" t="s">
        <v>19</v>
      </c>
      <c r="R77" s="114"/>
      <c r="S77" s="114"/>
      <c r="T77" s="114"/>
      <c r="U77" s="114"/>
      <c r="V77" s="114"/>
      <c r="W77" s="115" t="s">
        <v>20</v>
      </c>
      <c r="X77" s="3"/>
    </row>
    <row r="78" spans="1:24" ht="30.75" customHeight="1" x14ac:dyDescent="0.25">
      <c r="A78" s="113"/>
      <c r="B78" s="114"/>
      <c r="C78" s="114"/>
      <c r="D78" s="114"/>
      <c r="E78" s="114"/>
      <c r="F78" s="114"/>
      <c r="G78" s="31" t="s">
        <v>21</v>
      </c>
      <c r="H78" s="31" t="s">
        <v>21</v>
      </c>
      <c r="I78" s="31" t="s">
        <v>21</v>
      </c>
      <c r="J78" s="31" t="s">
        <v>22</v>
      </c>
      <c r="K78" s="31" t="s">
        <v>22</v>
      </c>
      <c r="L78" s="31" t="s">
        <v>22</v>
      </c>
      <c r="M78" s="114"/>
      <c r="N78" s="114"/>
      <c r="O78" s="114"/>
      <c r="P78" s="114"/>
      <c r="Q78" s="31" t="s">
        <v>21</v>
      </c>
      <c r="R78" s="31" t="s">
        <v>21</v>
      </c>
      <c r="S78" s="31" t="s">
        <v>21</v>
      </c>
      <c r="T78" s="31" t="s">
        <v>22</v>
      </c>
      <c r="U78" s="31" t="s">
        <v>22</v>
      </c>
      <c r="V78" s="31" t="s">
        <v>22</v>
      </c>
      <c r="W78" s="115"/>
      <c r="X78" s="3"/>
    </row>
    <row r="79" spans="1:24" ht="15.75" x14ac:dyDescent="0.25">
      <c r="A79" s="5">
        <v>1</v>
      </c>
      <c r="B79" s="8" t="s">
        <v>175</v>
      </c>
      <c r="C79" s="13">
        <v>45738</v>
      </c>
      <c r="D79" s="13">
        <v>45828</v>
      </c>
      <c r="E79" s="21">
        <v>1</v>
      </c>
      <c r="F79" s="21">
        <v>0</v>
      </c>
      <c r="G79" s="21">
        <v>174</v>
      </c>
      <c r="H79" s="21"/>
      <c r="I79" s="21"/>
      <c r="J79" s="21"/>
      <c r="K79" s="21"/>
      <c r="L79" s="21"/>
      <c r="M79" s="21">
        <v>174</v>
      </c>
      <c r="N79" s="20">
        <v>45848</v>
      </c>
      <c r="O79" s="21">
        <v>1</v>
      </c>
      <c r="P79" s="21">
        <v>0</v>
      </c>
      <c r="Q79" s="21">
        <v>328</v>
      </c>
      <c r="R79" s="21"/>
      <c r="S79" s="21"/>
      <c r="T79" s="21"/>
      <c r="U79" s="21"/>
      <c r="V79" s="21"/>
      <c r="W79" s="22"/>
    </row>
    <row r="80" spans="1:24" ht="15.75" x14ac:dyDescent="0.25">
      <c r="A80" s="6">
        <v>2</v>
      </c>
      <c r="B80" s="8" t="s">
        <v>175</v>
      </c>
      <c r="C80" s="13">
        <v>45851</v>
      </c>
      <c r="D80" s="13">
        <v>45920</v>
      </c>
      <c r="E80" s="21">
        <v>3</v>
      </c>
      <c r="F80" s="21">
        <v>0</v>
      </c>
      <c r="G80" s="21"/>
      <c r="H80" s="21"/>
      <c r="I80" s="21"/>
      <c r="J80" s="21">
        <v>140</v>
      </c>
      <c r="K80" s="21">
        <v>132</v>
      </c>
      <c r="L80" s="21">
        <v>128</v>
      </c>
      <c r="M80" s="41">
        <f>AVERAGE(G80:L80)</f>
        <v>133.33333333333334</v>
      </c>
      <c r="N80" s="20">
        <v>45944</v>
      </c>
      <c r="O80" s="21">
        <v>3</v>
      </c>
      <c r="P80" s="21">
        <v>1</v>
      </c>
      <c r="Q80" s="21"/>
      <c r="R80" s="21"/>
      <c r="S80" s="21"/>
      <c r="T80" s="21">
        <v>251</v>
      </c>
      <c r="U80" s="21">
        <v>231</v>
      </c>
      <c r="V80" s="21"/>
      <c r="W80" s="22">
        <f>AVERAGE(Q80:V80)</f>
        <v>241</v>
      </c>
    </row>
    <row r="81" spans="1:24" ht="15.75" x14ac:dyDescent="0.25">
      <c r="A81" s="6">
        <v>3</v>
      </c>
      <c r="B81" s="8" t="s">
        <v>242</v>
      </c>
      <c r="C81" s="13">
        <v>45950</v>
      </c>
      <c r="D81" s="13">
        <v>46022</v>
      </c>
      <c r="E81" s="21">
        <v>3</v>
      </c>
      <c r="F81" s="21">
        <v>0</v>
      </c>
      <c r="G81" s="21">
        <v>121</v>
      </c>
      <c r="H81" s="21"/>
      <c r="I81" s="21"/>
      <c r="J81" s="21">
        <v>128</v>
      </c>
      <c r="K81" s="21">
        <v>125</v>
      </c>
      <c r="L81" s="21"/>
      <c r="M81" s="41">
        <f>AVERAGE(G81:L81)</f>
        <v>124.66666666666667</v>
      </c>
      <c r="N81" s="20">
        <v>46039</v>
      </c>
      <c r="O81" s="21">
        <v>3</v>
      </c>
      <c r="P81" s="21">
        <v>0</v>
      </c>
      <c r="Q81" s="21">
        <v>198</v>
      </c>
      <c r="R81" s="21"/>
      <c r="S81" s="21"/>
      <c r="T81" s="21">
        <v>235</v>
      </c>
      <c r="U81" s="21">
        <v>210</v>
      </c>
      <c r="V81" s="21"/>
      <c r="W81" s="40">
        <f>AVERAGE(Q81:V81)</f>
        <v>214.33333333333334</v>
      </c>
    </row>
    <row r="82" spans="1:24" ht="15.75" x14ac:dyDescent="0.25">
      <c r="A82" s="5">
        <v>4</v>
      </c>
      <c r="B82" s="8" t="s">
        <v>242</v>
      </c>
      <c r="C82" s="13">
        <v>46039</v>
      </c>
      <c r="D82" s="13">
        <v>46113</v>
      </c>
      <c r="E82" s="21">
        <v>1</v>
      </c>
      <c r="F82" s="21">
        <v>0</v>
      </c>
      <c r="G82" s="21">
        <v>141</v>
      </c>
      <c r="H82" s="21"/>
      <c r="I82" s="21"/>
      <c r="J82" s="21"/>
      <c r="K82" s="21"/>
      <c r="L82" s="21"/>
      <c r="M82" s="41">
        <v>141</v>
      </c>
      <c r="N82" s="20">
        <v>46139</v>
      </c>
      <c r="O82" s="21">
        <v>1</v>
      </c>
      <c r="P82" s="21">
        <v>0</v>
      </c>
      <c r="Q82" s="21">
        <v>330</v>
      </c>
      <c r="R82" s="21"/>
      <c r="S82" s="21"/>
      <c r="T82" s="21"/>
      <c r="U82" s="21"/>
      <c r="V82" s="21"/>
      <c r="W82" s="22">
        <v>330</v>
      </c>
    </row>
    <row r="83" spans="1:24" ht="15.75" x14ac:dyDescent="0.25">
      <c r="A83" s="5">
        <v>5</v>
      </c>
      <c r="B83" s="8"/>
      <c r="C83" s="8"/>
      <c r="D83" s="8"/>
      <c r="E83" s="21"/>
      <c r="F83" s="21"/>
      <c r="G83" s="21"/>
      <c r="H83" s="21"/>
      <c r="I83" s="21"/>
      <c r="J83" s="21"/>
      <c r="K83" s="21"/>
      <c r="L83" s="21"/>
      <c r="M83" s="41"/>
      <c r="N83" s="21"/>
      <c r="O83" s="21"/>
      <c r="P83" s="21"/>
      <c r="Q83" s="21"/>
      <c r="R83" s="21"/>
      <c r="S83" s="21"/>
      <c r="T83" s="21"/>
      <c r="U83" s="21"/>
      <c r="V83" s="21"/>
      <c r="W83" s="22"/>
    </row>
    <row r="84" spans="1:24" ht="16.5" thickBot="1" x14ac:dyDescent="0.3">
      <c r="A84" s="7">
        <v>6</v>
      </c>
      <c r="B84" s="10"/>
      <c r="C84" s="10"/>
      <c r="D84" s="10"/>
      <c r="E84" s="37"/>
      <c r="F84" s="37"/>
      <c r="G84" s="37"/>
      <c r="H84" s="37"/>
      <c r="I84" s="37"/>
      <c r="J84" s="37"/>
      <c r="K84" s="37"/>
      <c r="L84" s="37"/>
      <c r="M84" s="42"/>
      <c r="N84" s="37"/>
      <c r="O84" s="37"/>
      <c r="P84" s="37"/>
      <c r="Q84" s="37"/>
      <c r="R84" s="37"/>
      <c r="S84" s="37"/>
      <c r="T84" s="37"/>
      <c r="U84" s="37"/>
      <c r="V84" s="37"/>
      <c r="W84" s="39"/>
    </row>
    <row r="86" spans="1:24" ht="15.75" thickBot="1" x14ac:dyDescent="0.3"/>
    <row r="87" spans="1:24" ht="15.75" x14ac:dyDescent="0.25">
      <c r="A87" s="100" t="s">
        <v>2</v>
      </c>
      <c r="B87" s="101"/>
      <c r="C87" s="178" t="s">
        <v>200</v>
      </c>
      <c r="D87" s="179"/>
      <c r="E87" s="111" t="s">
        <v>398</v>
      </c>
      <c r="F87" s="112"/>
      <c r="G87" s="101" t="s">
        <v>4</v>
      </c>
      <c r="H87" s="101"/>
      <c r="I87" s="102" t="s">
        <v>139</v>
      </c>
      <c r="J87" s="102"/>
      <c r="K87" s="102"/>
      <c r="L87" s="102"/>
      <c r="M87" s="102"/>
      <c r="N87" s="102"/>
      <c r="O87" s="101" t="s">
        <v>6</v>
      </c>
      <c r="P87" s="101"/>
      <c r="Q87" s="103"/>
      <c r="R87" s="104"/>
      <c r="S87" s="104"/>
      <c r="T87" s="104"/>
      <c r="U87" s="104"/>
      <c r="V87" s="104"/>
      <c r="W87" s="105"/>
      <c r="X87" s="1"/>
    </row>
    <row r="88" spans="1:24" ht="15.75" x14ac:dyDescent="0.25">
      <c r="A88" s="106" t="s">
        <v>7</v>
      </c>
      <c r="B88" s="107"/>
      <c r="C88" s="116" t="s">
        <v>44</v>
      </c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09"/>
      <c r="P88" s="109"/>
      <c r="Q88" s="107"/>
      <c r="R88" s="107"/>
      <c r="S88" s="107"/>
      <c r="T88" s="107"/>
      <c r="U88" s="107"/>
      <c r="V88" s="107"/>
      <c r="W88" s="110"/>
      <c r="X88" s="1"/>
    </row>
    <row r="89" spans="1:24" ht="15" customHeight="1" x14ac:dyDescent="0.25">
      <c r="A89" s="113" t="s">
        <v>8</v>
      </c>
      <c r="B89" s="114" t="s">
        <v>9</v>
      </c>
      <c r="C89" s="114" t="s">
        <v>10</v>
      </c>
      <c r="D89" s="114" t="s">
        <v>11</v>
      </c>
      <c r="E89" s="114" t="s">
        <v>12</v>
      </c>
      <c r="F89" s="114" t="s">
        <v>13</v>
      </c>
      <c r="G89" s="114" t="s">
        <v>14</v>
      </c>
      <c r="H89" s="114"/>
      <c r="I89" s="114"/>
      <c r="J89" s="114"/>
      <c r="K89" s="114"/>
      <c r="L89" s="114"/>
      <c r="M89" s="114" t="s">
        <v>15</v>
      </c>
      <c r="N89" s="114" t="s">
        <v>16</v>
      </c>
      <c r="O89" s="114" t="s">
        <v>17</v>
      </c>
      <c r="P89" s="114" t="s">
        <v>18</v>
      </c>
      <c r="Q89" s="114" t="s">
        <v>19</v>
      </c>
      <c r="R89" s="114"/>
      <c r="S89" s="114"/>
      <c r="T89" s="114"/>
      <c r="U89" s="114"/>
      <c r="V89" s="114"/>
      <c r="W89" s="115" t="s">
        <v>20</v>
      </c>
      <c r="X89" s="3"/>
    </row>
    <row r="90" spans="1:24" ht="30.75" customHeight="1" x14ac:dyDescent="0.25">
      <c r="A90" s="113"/>
      <c r="B90" s="114"/>
      <c r="C90" s="114"/>
      <c r="D90" s="114"/>
      <c r="E90" s="114"/>
      <c r="F90" s="114"/>
      <c r="G90" s="31" t="s">
        <v>21</v>
      </c>
      <c r="H90" s="31" t="s">
        <v>21</v>
      </c>
      <c r="I90" s="31" t="s">
        <v>21</v>
      </c>
      <c r="J90" s="31" t="s">
        <v>22</v>
      </c>
      <c r="K90" s="31" t="s">
        <v>22</v>
      </c>
      <c r="L90" s="31" t="s">
        <v>22</v>
      </c>
      <c r="M90" s="114"/>
      <c r="N90" s="114"/>
      <c r="O90" s="114"/>
      <c r="P90" s="114"/>
      <c r="Q90" s="31" t="s">
        <v>21</v>
      </c>
      <c r="R90" s="31" t="s">
        <v>21</v>
      </c>
      <c r="S90" s="31" t="s">
        <v>21</v>
      </c>
      <c r="T90" s="31" t="s">
        <v>22</v>
      </c>
      <c r="U90" s="31" t="s">
        <v>22</v>
      </c>
      <c r="V90" s="31" t="s">
        <v>22</v>
      </c>
      <c r="W90" s="115"/>
      <c r="X90" s="3"/>
    </row>
    <row r="91" spans="1:24" ht="15.75" x14ac:dyDescent="0.25">
      <c r="A91" s="5">
        <v>1</v>
      </c>
      <c r="B91" s="8" t="s">
        <v>175</v>
      </c>
      <c r="C91" s="13">
        <v>45738</v>
      </c>
      <c r="D91" s="20">
        <v>45810</v>
      </c>
      <c r="E91" s="21">
        <v>2</v>
      </c>
      <c r="F91" s="21">
        <v>0</v>
      </c>
      <c r="G91" s="21">
        <v>177</v>
      </c>
      <c r="H91" s="21"/>
      <c r="I91" s="21"/>
      <c r="J91" s="21">
        <v>171</v>
      </c>
      <c r="K91" s="21"/>
      <c r="L91" s="21"/>
      <c r="M91" s="21">
        <f>AVERAGE(G91,J91)</f>
        <v>174</v>
      </c>
      <c r="N91" s="20">
        <v>45833</v>
      </c>
      <c r="O91" s="21">
        <v>2</v>
      </c>
      <c r="P91" s="21">
        <v>0</v>
      </c>
      <c r="Q91" s="21">
        <v>282</v>
      </c>
      <c r="R91" s="21"/>
      <c r="S91" s="21"/>
      <c r="T91" s="21">
        <v>273</v>
      </c>
      <c r="U91" s="21"/>
      <c r="V91" s="21"/>
      <c r="W91" s="22">
        <f>AVERAGE(Q91,T91)</f>
        <v>277.5</v>
      </c>
    </row>
    <row r="92" spans="1:24" ht="15.75" x14ac:dyDescent="0.25">
      <c r="A92" s="6">
        <v>2</v>
      </c>
      <c r="B92" s="8"/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2"/>
    </row>
    <row r="93" spans="1:24" ht="15.75" x14ac:dyDescent="0.25">
      <c r="A93" s="6">
        <v>3</v>
      </c>
      <c r="B93" s="8"/>
      <c r="C93" s="8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2"/>
    </row>
    <row r="94" spans="1:24" ht="15.75" x14ac:dyDescent="0.25">
      <c r="A94" s="5">
        <v>4</v>
      </c>
      <c r="B94" s="8"/>
      <c r="C94" s="8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2"/>
    </row>
    <row r="95" spans="1:24" ht="15.75" x14ac:dyDescent="0.25">
      <c r="A95" s="5">
        <v>5</v>
      </c>
      <c r="B95" s="8"/>
      <c r="C95" s="8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2"/>
    </row>
    <row r="96" spans="1:24" ht="16.5" thickBot="1" x14ac:dyDescent="0.3">
      <c r="A96" s="7">
        <v>6</v>
      </c>
      <c r="B96" s="10"/>
      <c r="C96" s="10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9"/>
    </row>
    <row r="98" spans="1:24" ht="15.75" thickBot="1" x14ac:dyDescent="0.3"/>
    <row r="99" spans="1:24" ht="15.75" x14ac:dyDescent="0.25">
      <c r="A99" s="100" t="s">
        <v>2</v>
      </c>
      <c r="B99" s="101"/>
      <c r="C99" s="194" t="s">
        <v>201</v>
      </c>
      <c r="D99" s="195"/>
      <c r="E99" s="111" t="s">
        <v>396</v>
      </c>
      <c r="F99" s="112"/>
      <c r="G99" s="101" t="s">
        <v>4</v>
      </c>
      <c r="H99" s="101"/>
      <c r="I99" s="102" t="s">
        <v>139</v>
      </c>
      <c r="J99" s="102"/>
      <c r="K99" s="102"/>
      <c r="L99" s="102"/>
      <c r="M99" s="102"/>
      <c r="N99" s="102"/>
      <c r="O99" s="101" t="s">
        <v>6</v>
      </c>
      <c r="P99" s="101"/>
      <c r="Q99" s="103"/>
      <c r="R99" s="104"/>
      <c r="S99" s="104"/>
      <c r="T99" s="104"/>
      <c r="U99" s="104"/>
      <c r="V99" s="104"/>
      <c r="W99" s="105"/>
      <c r="X99" s="1"/>
    </row>
    <row r="100" spans="1:24" ht="15.75" x14ac:dyDescent="0.25">
      <c r="A100" s="106" t="s">
        <v>7</v>
      </c>
      <c r="B100" s="107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7"/>
      <c r="R100" s="107"/>
      <c r="S100" s="107"/>
      <c r="T100" s="107"/>
      <c r="U100" s="107"/>
      <c r="V100" s="107"/>
      <c r="W100" s="110"/>
      <c r="X100" s="1"/>
    </row>
    <row r="101" spans="1:24" ht="15" customHeight="1" x14ac:dyDescent="0.25">
      <c r="A101" s="113" t="s">
        <v>8</v>
      </c>
      <c r="B101" s="114" t="s">
        <v>9</v>
      </c>
      <c r="C101" s="114" t="s">
        <v>10</v>
      </c>
      <c r="D101" s="114" t="s">
        <v>11</v>
      </c>
      <c r="E101" s="114" t="s">
        <v>12</v>
      </c>
      <c r="F101" s="114" t="s">
        <v>13</v>
      </c>
      <c r="G101" s="114" t="s">
        <v>14</v>
      </c>
      <c r="H101" s="114"/>
      <c r="I101" s="114"/>
      <c r="J101" s="114"/>
      <c r="K101" s="114"/>
      <c r="L101" s="114"/>
      <c r="M101" s="114" t="s">
        <v>15</v>
      </c>
      <c r="N101" s="114" t="s">
        <v>16</v>
      </c>
      <c r="O101" s="114" t="s">
        <v>17</v>
      </c>
      <c r="P101" s="114" t="s">
        <v>18</v>
      </c>
      <c r="Q101" s="114" t="s">
        <v>19</v>
      </c>
      <c r="R101" s="114"/>
      <c r="S101" s="114"/>
      <c r="T101" s="114"/>
      <c r="U101" s="114"/>
      <c r="V101" s="114"/>
      <c r="W101" s="115" t="s">
        <v>20</v>
      </c>
      <c r="X101" s="3"/>
    </row>
    <row r="102" spans="1:24" ht="27" customHeight="1" x14ac:dyDescent="0.25">
      <c r="A102" s="113"/>
      <c r="B102" s="114"/>
      <c r="C102" s="114"/>
      <c r="D102" s="114"/>
      <c r="E102" s="114"/>
      <c r="F102" s="114"/>
      <c r="G102" s="31" t="s">
        <v>21</v>
      </c>
      <c r="H102" s="31" t="s">
        <v>21</v>
      </c>
      <c r="I102" s="31" t="s">
        <v>21</v>
      </c>
      <c r="J102" s="31" t="s">
        <v>22</v>
      </c>
      <c r="K102" s="31" t="s">
        <v>22</v>
      </c>
      <c r="L102" s="31" t="s">
        <v>22</v>
      </c>
      <c r="M102" s="114"/>
      <c r="N102" s="114"/>
      <c r="O102" s="114"/>
      <c r="P102" s="114"/>
      <c r="Q102" s="31" t="s">
        <v>21</v>
      </c>
      <c r="R102" s="31" t="s">
        <v>21</v>
      </c>
      <c r="S102" s="31" t="s">
        <v>21</v>
      </c>
      <c r="T102" s="31" t="s">
        <v>22</v>
      </c>
      <c r="U102" s="31" t="s">
        <v>22</v>
      </c>
      <c r="V102" s="31" t="s">
        <v>22</v>
      </c>
      <c r="W102" s="115"/>
      <c r="X102" s="3"/>
    </row>
    <row r="103" spans="1:24" ht="15.75" x14ac:dyDescent="0.25">
      <c r="A103" s="5">
        <v>1</v>
      </c>
      <c r="B103" s="8" t="s">
        <v>175</v>
      </c>
      <c r="C103" s="13">
        <v>45738</v>
      </c>
      <c r="D103" s="20">
        <v>45838</v>
      </c>
      <c r="E103" s="21">
        <v>3</v>
      </c>
      <c r="F103" s="21">
        <v>0</v>
      </c>
      <c r="G103" s="21">
        <v>124</v>
      </c>
      <c r="H103" s="21">
        <v>126</v>
      </c>
      <c r="I103" s="21"/>
      <c r="J103" s="21">
        <v>109</v>
      </c>
      <c r="K103" s="21"/>
      <c r="L103" s="21"/>
      <c r="M103" s="41">
        <f>AVERAGE(G103:L103)</f>
        <v>119.66666666666667</v>
      </c>
      <c r="N103" s="20">
        <v>45869</v>
      </c>
      <c r="O103" s="21">
        <v>3</v>
      </c>
      <c r="P103" s="21">
        <v>0</v>
      </c>
      <c r="Q103" s="21">
        <v>245</v>
      </c>
      <c r="R103" s="21">
        <v>272</v>
      </c>
      <c r="S103" s="21"/>
      <c r="T103" s="21">
        <v>246</v>
      </c>
      <c r="U103" s="21"/>
      <c r="V103" s="21"/>
      <c r="W103" s="40">
        <f>AVERAGE(Q103:V103)</f>
        <v>254.33333333333334</v>
      </c>
    </row>
    <row r="104" spans="1:24" ht="15.75" x14ac:dyDescent="0.25">
      <c r="A104" s="6">
        <v>2</v>
      </c>
      <c r="B104" s="8" t="s">
        <v>159</v>
      </c>
      <c r="C104" s="13">
        <v>45884</v>
      </c>
      <c r="D104" s="20">
        <v>45970</v>
      </c>
      <c r="E104" s="21">
        <v>3</v>
      </c>
      <c r="F104" s="21">
        <v>0</v>
      </c>
      <c r="G104" s="21">
        <v>103</v>
      </c>
      <c r="H104" s="21"/>
      <c r="I104" s="21"/>
      <c r="J104" s="21">
        <v>95</v>
      </c>
      <c r="K104" s="21">
        <v>135</v>
      </c>
      <c r="L104" s="21"/>
      <c r="M104" s="41">
        <f>AVERAGE(G104:L104)</f>
        <v>111</v>
      </c>
      <c r="N104" s="20">
        <v>45986</v>
      </c>
      <c r="O104" s="21">
        <v>0</v>
      </c>
      <c r="P104" s="21">
        <v>0</v>
      </c>
      <c r="Q104" s="21"/>
      <c r="R104" s="21"/>
      <c r="S104" s="21"/>
      <c r="T104" s="21"/>
      <c r="U104" s="21"/>
      <c r="V104" s="21"/>
      <c r="W104" s="40"/>
    </row>
    <row r="105" spans="1:24" ht="15.75" x14ac:dyDescent="0.25">
      <c r="A105" s="6">
        <v>3</v>
      </c>
      <c r="B105" s="8" t="s">
        <v>162</v>
      </c>
      <c r="C105" s="13">
        <v>46039</v>
      </c>
      <c r="D105" s="20">
        <v>46120</v>
      </c>
      <c r="E105" s="21">
        <v>1</v>
      </c>
      <c r="F105" s="21">
        <v>0</v>
      </c>
      <c r="G105" s="21">
        <v>208</v>
      </c>
      <c r="H105" s="21"/>
      <c r="I105" s="21"/>
      <c r="J105" s="21"/>
      <c r="K105" s="21"/>
      <c r="L105" s="21"/>
      <c r="M105" s="41">
        <v>208</v>
      </c>
      <c r="N105" s="20">
        <v>46139</v>
      </c>
      <c r="O105" s="21">
        <v>1</v>
      </c>
      <c r="P105" s="21">
        <v>0</v>
      </c>
      <c r="Q105" s="21">
        <v>240</v>
      </c>
      <c r="R105" s="21"/>
      <c r="S105" s="21"/>
      <c r="T105" s="21"/>
      <c r="U105" s="21"/>
      <c r="V105" s="21"/>
      <c r="W105" s="40">
        <v>240</v>
      </c>
    </row>
    <row r="106" spans="1:24" ht="15.75" x14ac:dyDescent="0.25">
      <c r="A106" s="5">
        <v>4</v>
      </c>
      <c r="B106" s="8"/>
      <c r="C106" s="8"/>
      <c r="D106" s="21"/>
      <c r="E106" s="21"/>
      <c r="F106" s="21"/>
      <c r="G106" s="21"/>
      <c r="H106" s="21"/>
      <c r="I106" s="21"/>
      <c r="J106" s="21"/>
      <c r="K106" s="21"/>
      <c r="L106" s="21"/>
      <c r="M106" s="41"/>
      <c r="N106" s="21"/>
      <c r="O106" s="21"/>
      <c r="P106" s="21"/>
      <c r="Q106" s="21"/>
      <c r="R106" s="21"/>
      <c r="S106" s="21"/>
      <c r="T106" s="21"/>
      <c r="U106" s="21"/>
      <c r="V106" s="21"/>
      <c r="W106" s="40"/>
    </row>
    <row r="107" spans="1:24" ht="15.75" x14ac:dyDescent="0.25">
      <c r="A107" s="5">
        <v>5</v>
      </c>
      <c r="B107" s="8"/>
      <c r="C107" s="8"/>
      <c r="D107" s="21"/>
      <c r="E107" s="21"/>
      <c r="F107" s="21"/>
      <c r="G107" s="21"/>
      <c r="H107" s="21"/>
      <c r="I107" s="21"/>
      <c r="J107" s="21"/>
      <c r="K107" s="21"/>
      <c r="L107" s="21"/>
      <c r="M107" s="41"/>
      <c r="N107" s="21"/>
      <c r="O107" s="21"/>
      <c r="P107" s="21"/>
      <c r="Q107" s="21"/>
      <c r="R107" s="21"/>
      <c r="S107" s="21"/>
      <c r="T107" s="21"/>
      <c r="U107" s="21"/>
      <c r="V107" s="21"/>
      <c r="W107" s="40"/>
    </row>
    <row r="108" spans="1:24" ht="16.5" thickBot="1" x14ac:dyDescent="0.3">
      <c r="A108" s="7">
        <v>6</v>
      </c>
      <c r="B108" s="10"/>
      <c r="C108" s="10"/>
      <c r="D108" s="37"/>
      <c r="E108" s="37"/>
      <c r="F108" s="37"/>
      <c r="G108" s="37"/>
      <c r="H108" s="37"/>
      <c r="I108" s="37"/>
      <c r="J108" s="37"/>
      <c r="K108" s="37"/>
      <c r="L108" s="37"/>
      <c r="M108" s="42"/>
      <c r="N108" s="37"/>
      <c r="O108" s="37"/>
      <c r="P108" s="37"/>
      <c r="Q108" s="37"/>
      <c r="R108" s="37"/>
      <c r="S108" s="37"/>
      <c r="T108" s="37"/>
      <c r="U108" s="37"/>
      <c r="V108" s="37"/>
      <c r="W108" s="43"/>
    </row>
    <row r="110" spans="1:24" ht="15.75" thickBot="1" x14ac:dyDescent="0.3"/>
    <row r="111" spans="1:24" ht="15.75" x14ac:dyDescent="0.25">
      <c r="A111" s="100" t="s">
        <v>2</v>
      </c>
      <c r="B111" s="101"/>
      <c r="C111" s="178" t="s">
        <v>202</v>
      </c>
      <c r="D111" s="179"/>
      <c r="E111" s="111" t="s">
        <v>399</v>
      </c>
      <c r="F111" s="112"/>
      <c r="G111" s="101" t="s">
        <v>4</v>
      </c>
      <c r="H111" s="101"/>
      <c r="I111" s="102" t="s">
        <v>208</v>
      </c>
      <c r="J111" s="102"/>
      <c r="K111" s="102"/>
      <c r="L111" s="102"/>
      <c r="M111" s="102"/>
      <c r="N111" s="102"/>
      <c r="O111" s="101" t="s">
        <v>6</v>
      </c>
      <c r="P111" s="101"/>
      <c r="Q111" s="103"/>
      <c r="R111" s="104"/>
      <c r="S111" s="104"/>
      <c r="T111" s="104"/>
      <c r="U111" s="104"/>
      <c r="V111" s="104"/>
      <c r="W111" s="105"/>
      <c r="X111" s="1"/>
    </row>
    <row r="112" spans="1:24" ht="15.75" x14ac:dyDescent="0.25">
      <c r="A112" s="106" t="s">
        <v>7</v>
      </c>
      <c r="B112" s="107"/>
      <c r="C112" s="109" t="s">
        <v>369</v>
      </c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7"/>
      <c r="R112" s="107"/>
      <c r="S112" s="107"/>
      <c r="T112" s="107"/>
      <c r="U112" s="107"/>
      <c r="V112" s="107"/>
      <c r="W112" s="110"/>
      <c r="X112" s="1"/>
    </row>
    <row r="113" spans="1:24" ht="15" customHeight="1" x14ac:dyDescent="0.25">
      <c r="A113" s="113" t="s">
        <v>8</v>
      </c>
      <c r="B113" s="114" t="s">
        <v>9</v>
      </c>
      <c r="C113" s="114" t="s">
        <v>10</v>
      </c>
      <c r="D113" s="114" t="s">
        <v>11</v>
      </c>
      <c r="E113" s="114" t="s">
        <v>12</v>
      </c>
      <c r="F113" s="114" t="s">
        <v>13</v>
      </c>
      <c r="G113" s="114" t="s">
        <v>14</v>
      </c>
      <c r="H113" s="114"/>
      <c r="I113" s="114"/>
      <c r="J113" s="114"/>
      <c r="K113" s="114"/>
      <c r="L113" s="114"/>
      <c r="M113" s="114" t="s">
        <v>15</v>
      </c>
      <c r="N113" s="114" t="s">
        <v>16</v>
      </c>
      <c r="O113" s="114" t="s">
        <v>17</v>
      </c>
      <c r="P113" s="114" t="s">
        <v>18</v>
      </c>
      <c r="Q113" s="114" t="s">
        <v>19</v>
      </c>
      <c r="R113" s="114"/>
      <c r="S113" s="114"/>
      <c r="T113" s="114"/>
      <c r="U113" s="114"/>
      <c r="V113" s="114"/>
      <c r="W113" s="115" t="s">
        <v>20</v>
      </c>
      <c r="X113" s="3"/>
    </row>
    <row r="114" spans="1:24" ht="32.25" customHeight="1" x14ac:dyDescent="0.25">
      <c r="A114" s="113"/>
      <c r="B114" s="114"/>
      <c r="C114" s="114"/>
      <c r="D114" s="114"/>
      <c r="E114" s="114"/>
      <c r="F114" s="114"/>
      <c r="G114" s="31" t="s">
        <v>21</v>
      </c>
      <c r="H114" s="31" t="s">
        <v>21</v>
      </c>
      <c r="I114" s="31" t="s">
        <v>21</v>
      </c>
      <c r="J114" s="31" t="s">
        <v>22</v>
      </c>
      <c r="K114" s="31" t="s">
        <v>22</v>
      </c>
      <c r="L114" s="31" t="s">
        <v>22</v>
      </c>
      <c r="M114" s="114"/>
      <c r="N114" s="114"/>
      <c r="O114" s="114"/>
      <c r="P114" s="114"/>
      <c r="Q114" s="31" t="s">
        <v>21</v>
      </c>
      <c r="R114" s="31" t="s">
        <v>21</v>
      </c>
      <c r="S114" s="31" t="s">
        <v>21</v>
      </c>
      <c r="T114" s="31" t="s">
        <v>22</v>
      </c>
      <c r="U114" s="31" t="s">
        <v>22</v>
      </c>
      <c r="V114" s="31" t="s">
        <v>22</v>
      </c>
      <c r="W114" s="115"/>
      <c r="X114" s="3"/>
    </row>
    <row r="115" spans="1:24" ht="15.75" x14ac:dyDescent="0.25">
      <c r="A115" s="5">
        <v>1</v>
      </c>
      <c r="B115" s="8" t="s">
        <v>203</v>
      </c>
      <c r="C115" s="13">
        <v>45738</v>
      </c>
      <c r="D115" s="13">
        <v>45838</v>
      </c>
      <c r="E115" s="21">
        <v>3</v>
      </c>
      <c r="F115" s="21">
        <v>0</v>
      </c>
      <c r="G115" s="21">
        <v>124</v>
      </c>
      <c r="H115" s="21">
        <v>109</v>
      </c>
      <c r="I115" s="21"/>
      <c r="J115" s="21">
        <v>126</v>
      </c>
      <c r="K115" s="21"/>
      <c r="L115" s="21"/>
      <c r="M115" s="41">
        <f>AVERAGE(G115:L115)</f>
        <v>119.66666666666667</v>
      </c>
      <c r="N115" s="20">
        <v>45869</v>
      </c>
      <c r="O115" s="21">
        <v>3</v>
      </c>
      <c r="P115" s="21">
        <v>0</v>
      </c>
      <c r="Q115" s="21">
        <v>245</v>
      </c>
      <c r="R115" s="21">
        <v>272</v>
      </c>
      <c r="S115" s="21"/>
      <c r="T115" s="21">
        <v>246</v>
      </c>
      <c r="U115" s="21"/>
      <c r="V115" s="21"/>
      <c r="W115" s="40">
        <f>AVERAGE(Q115:V115)</f>
        <v>254.33333333333334</v>
      </c>
    </row>
    <row r="116" spans="1:24" ht="15.75" x14ac:dyDescent="0.25">
      <c r="A116" s="6">
        <v>2</v>
      </c>
      <c r="B116" s="8" t="s">
        <v>203</v>
      </c>
      <c r="C116" s="13"/>
      <c r="D116" s="13">
        <v>45892</v>
      </c>
      <c r="E116" s="21"/>
      <c r="F116" s="21"/>
      <c r="G116" s="21">
        <v>198</v>
      </c>
      <c r="H116" s="21"/>
      <c r="I116" s="21"/>
      <c r="J116" s="21"/>
      <c r="K116" s="21"/>
      <c r="L116" s="21"/>
      <c r="M116" s="41">
        <v>198</v>
      </c>
      <c r="N116" s="20">
        <v>45909</v>
      </c>
      <c r="O116" s="21">
        <v>1</v>
      </c>
      <c r="P116" s="21">
        <v>0</v>
      </c>
      <c r="Q116" s="21">
        <v>319</v>
      </c>
      <c r="R116" s="21"/>
      <c r="S116" s="21"/>
      <c r="T116" s="21"/>
      <c r="U116" s="21"/>
      <c r="V116" s="21"/>
      <c r="W116" s="40">
        <v>319</v>
      </c>
    </row>
    <row r="117" spans="1:24" ht="15.75" x14ac:dyDescent="0.25">
      <c r="A117" s="6">
        <v>3</v>
      </c>
      <c r="B117" s="8" t="s">
        <v>212</v>
      </c>
      <c r="C117" s="13"/>
      <c r="D117" s="8" t="s">
        <v>428</v>
      </c>
      <c r="E117" s="21"/>
      <c r="F117" s="21"/>
      <c r="G117" s="21"/>
      <c r="H117" s="21"/>
      <c r="I117" s="21"/>
      <c r="J117" s="21"/>
      <c r="K117" s="21"/>
      <c r="L117" s="21"/>
      <c r="M117" s="41"/>
      <c r="N117" s="21"/>
      <c r="O117" s="21"/>
      <c r="P117" s="21"/>
      <c r="Q117" s="21"/>
      <c r="R117" s="21"/>
      <c r="S117" s="21"/>
      <c r="T117" s="21"/>
      <c r="U117" s="21"/>
      <c r="V117" s="21"/>
      <c r="W117" s="40"/>
    </row>
    <row r="118" spans="1:24" ht="15.75" x14ac:dyDescent="0.25">
      <c r="A118" s="5">
        <v>4</v>
      </c>
      <c r="B118" s="8" t="s">
        <v>486</v>
      </c>
      <c r="C118" s="13">
        <v>46070</v>
      </c>
      <c r="D118" s="8" t="s">
        <v>428</v>
      </c>
      <c r="E118" s="21"/>
      <c r="F118" s="21"/>
      <c r="G118" s="21"/>
      <c r="H118" s="21"/>
      <c r="I118" s="21"/>
      <c r="J118" s="21"/>
      <c r="K118" s="21"/>
      <c r="L118" s="21"/>
      <c r="M118" s="41"/>
      <c r="N118" s="21"/>
      <c r="O118" s="21"/>
      <c r="P118" s="21"/>
      <c r="Q118" s="21"/>
      <c r="R118" s="21"/>
      <c r="S118" s="21"/>
      <c r="T118" s="21"/>
      <c r="U118" s="21"/>
      <c r="V118" s="21"/>
      <c r="W118" s="40"/>
    </row>
    <row r="119" spans="1:24" ht="15.75" x14ac:dyDescent="0.25">
      <c r="A119" s="5">
        <v>5</v>
      </c>
      <c r="B119" s="8"/>
      <c r="C119" s="8"/>
      <c r="D119" s="8"/>
      <c r="E119" s="21"/>
      <c r="F119" s="21"/>
      <c r="G119" s="21"/>
      <c r="H119" s="21"/>
      <c r="I119" s="21"/>
      <c r="J119" s="21"/>
      <c r="K119" s="21"/>
      <c r="L119" s="21"/>
      <c r="M119" s="41"/>
      <c r="N119" s="21"/>
      <c r="O119" s="21"/>
      <c r="P119" s="21"/>
      <c r="Q119" s="21"/>
      <c r="R119" s="21"/>
      <c r="S119" s="21"/>
      <c r="T119" s="21"/>
      <c r="U119" s="21"/>
      <c r="V119" s="21"/>
      <c r="W119" s="40"/>
    </row>
    <row r="120" spans="1:24" ht="16.5" thickBot="1" x14ac:dyDescent="0.3">
      <c r="A120" s="7">
        <v>6</v>
      </c>
      <c r="B120" s="10"/>
      <c r="C120" s="10"/>
      <c r="D120" s="10"/>
      <c r="E120" s="37"/>
      <c r="F120" s="37"/>
      <c r="G120" s="37"/>
      <c r="H120" s="37"/>
      <c r="I120" s="37"/>
      <c r="J120" s="37"/>
      <c r="K120" s="37"/>
      <c r="L120" s="37"/>
      <c r="M120" s="42"/>
      <c r="N120" s="37"/>
      <c r="O120" s="37"/>
      <c r="P120" s="37"/>
      <c r="Q120" s="37"/>
      <c r="R120" s="37"/>
      <c r="S120" s="37"/>
      <c r="T120" s="37"/>
      <c r="U120" s="37"/>
      <c r="V120" s="37"/>
      <c r="W120" s="43"/>
    </row>
    <row r="122" spans="1:24" ht="15.75" thickBot="1" x14ac:dyDescent="0.3"/>
    <row r="123" spans="1:24" ht="15.75" x14ac:dyDescent="0.25">
      <c r="A123" s="100" t="s">
        <v>2</v>
      </c>
      <c r="B123" s="101"/>
      <c r="C123" s="178" t="s">
        <v>204</v>
      </c>
      <c r="D123" s="179"/>
      <c r="E123" s="111" t="s">
        <v>400</v>
      </c>
      <c r="F123" s="112"/>
      <c r="G123" s="101" t="s">
        <v>4</v>
      </c>
      <c r="H123" s="101"/>
      <c r="I123" s="102" t="s">
        <v>208</v>
      </c>
      <c r="J123" s="102"/>
      <c r="K123" s="102"/>
      <c r="L123" s="102"/>
      <c r="M123" s="102"/>
      <c r="N123" s="102"/>
      <c r="O123" s="101" t="s">
        <v>6</v>
      </c>
      <c r="P123" s="101"/>
      <c r="Q123" s="103"/>
      <c r="R123" s="104"/>
      <c r="S123" s="104"/>
      <c r="T123" s="104"/>
      <c r="U123" s="104"/>
      <c r="V123" s="104"/>
      <c r="W123" s="105"/>
      <c r="X123" s="1"/>
    </row>
    <row r="124" spans="1:24" ht="15.75" x14ac:dyDescent="0.25">
      <c r="A124" s="106" t="s">
        <v>7</v>
      </c>
      <c r="B124" s="107"/>
      <c r="C124" s="116" t="s">
        <v>44</v>
      </c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09"/>
      <c r="P124" s="109"/>
      <c r="Q124" s="107"/>
      <c r="R124" s="107"/>
      <c r="S124" s="107"/>
      <c r="T124" s="107"/>
      <c r="U124" s="107"/>
      <c r="V124" s="107"/>
      <c r="W124" s="110"/>
      <c r="X124" s="1"/>
    </row>
    <row r="125" spans="1:24" ht="15" customHeight="1" x14ac:dyDescent="0.25">
      <c r="A125" s="113" t="s">
        <v>8</v>
      </c>
      <c r="B125" s="114" t="s">
        <v>9</v>
      </c>
      <c r="C125" s="114" t="s">
        <v>10</v>
      </c>
      <c r="D125" s="114" t="s">
        <v>11</v>
      </c>
      <c r="E125" s="114" t="s">
        <v>12</v>
      </c>
      <c r="F125" s="114" t="s">
        <v>13</v>
      </c>
      <c r="G125" s="114" t="s">
        <v>14</v>
      </c>
      <c r="H125" s="114"/>
      <c r="I125" s="114"/>
      <c r="J125" s="114"/>
      <c r="K125" s="114"/>
      <c r="L125" s="114"/>
      <c r="M125" s="114" t="s">
        <v>15</v>
      </c>
      <c r="N125" s="114" t="s">
        <v>16</v>
      </c>
      <c r="O125" s="114" t="s">
        <v>17</v>
      </c>
      <c r="P125" s="114" t="s">
        <v>18</v>
      </c>
      <c r="Q125" s="114" t="s">
        <v>19</v>
      </c>
      <c r="R125" s="114"/>
      <c r="S125" s="114"/>
      <c r="T125" s="114"/>
      <c r="U125" s="114"/>
      <c r="V125" s="114"/>
      <c r="W125" s="115" t="s">
        <v>20</v>
      </c>
      <c r="X125" s="3"/>
    </row>
    <row r="126" spans="1:24" ht="33.75" customHeight="1" x14ac:dyDescent="0.25">
      <c r="A126" s="113"/>
      <c r="B126" s="114"/>
      <c r="C126" s="114"/>
      <c r="D126" s="114"/>
      <c r="E126" s="114"/>
      <c r="F126" s="114"/>
      <c r="G126" s="31" t="s">
        <v>21</v>
      </c>
      <c r="H126" s="31" t="s">
        <v>21</v>
      </c>
      <c r="I126" s="31" t="s">
        <v>21</v>
      </c>
      <c r="J126" s="31" t="s">
        <v>22</v>
      </c>
      <c r="K126" s="31" t="s">
        <v>22</v>
      </c>
      <c r="L126" s="31" t="s">
        <v>22</v>
      </c>
      <c r="M126" s="114"/>
      <c r="N126" s="114"/>
      <c r="O126" s="114"/>
      <c r="P126" s="114"/>
      <c r="Q126" s="31" t="s">
        <v>21</v>
      </c>
      <c r="R126" s="31" t="s">
        <v>21</v>
      </c>
      <c r="S126" s="31" t="s">
        <v>21</v>
      </c>
      <c r="T126" s="31" t="s">
        <v>22</v>
      </c>
      <c r="U126" s="31" t="s">
        <v>22</v>
      </c>
      <c r="V126" s="31" t="s">
        <v>22</v>
      </c>
      <c r="W126" s="115"/>
      <c r="X126" s="3"/>
    </row>
    <row r="127" spans="1:24" ht="15.75" x14ac:dyDescent="0.25">
      <c r="A127" s="5">
        <v>1</v>
      </c>
      <c r="B127" s="8" t="s">
        <v>203</v>
      </c>
      <c r="C127" s="13">
        <v>45738</v>
      </c>
      <c r="D127" s="20">
        <v>45823</v>
      </c>
      <c r="E127" s="21">
        <v>1</v>
      </c>
      <c r="F127" s="21">
        <v>0</v>
      </c>
      <c r="G127" s="21">
        <v>157</v>
      </c>
      <c r="H127" s="21"/>
      <c r="I127" s="21"/>
      <c r="J127" s="21"/>
      <c r="K127" s="21"/>
      <c r="L127" s="21"/>
      <c r="M127" s="21">
        <v>157</v>
      </c>
      <c r="N127" s="20"/>
      <c r="O127" s="21"/>
      <c r="P127" s="21">
        <v>1</v>
      </c>
      <c r="Q127" s="21"/>
      <c r="R127" s="21"/>
      <c r="S127" s="21"/>
      <c r="T127" s="21"/>
      <c r="U127" s="21"/>
      <c r="V127" s="21"/>
      <c r="W127" s="22"/>
    </row>
    <row r="128" spans="1:24" ht="15.75" x14ac:dyDescent="0.25">
      <c r="A128" s="6">
        <v>2</v>
      </c>
      <c r="B128" s="8" t="s">
        <v>78</v>
      </c>
      <c r="C128" s="13">
        <v>45851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2"/>
    </row>
    <row r="129" spans="1:24" ht="15.75" x14ac:dyDescent="0.25">
      <c r="A129" s="6">
        <v>3</v>
      </c>
      <c r="B129" s="8"/>
      <c r="C129" s="8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2"/>
    </row>
    <row r="130" spans="1:24" ht="15.75" x14ac:dyDescent="0.25">
      <c r="A130" s="5">
        <v>4</v>
      </c>
      <c r="B130" s="8"/>
      <c r="C130" s="8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2"/>
    </row>
    <row r="131" spans="1:24" ht="15.75" x14ac:dyDescent="0.25">
      <c r="A131" s="5">
        <v>5</v>
      </c>
      <c r="B131" s="8"/>
      <c r="C131" s="8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2"/>
    </row>
    <row r="132" spans="1:24" ht="16.5" thickBot="1" x14ac:dyDescent="0.3">
      <c r="A132" s="7">
        <v>6</v>
      </c>
      <c r="B132" s="10"/>
      <c r="C132" s="10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9"/>
    </row>
    <row r="134" spans="1:24" ht="15.75" thickBot="1" x14ac:dyDescent="0.3"/>
    <row r="135" spans="1:24" ht="15.75" x14ac:dyDescent="0.25">
      <c r="A135" s="100" t="s">
        <v>2</v>
      </c>
      <c r="B135" s="101"/>
      <c r="C135" s="178" t="s">
        <v>205</v>
      </c>
      <c r="D135" s="179"/>
      <c r="E135" s="111" t="s">
        <v>400</v>
      </c>
      <c r="F135" s="112"/>
      <c r="G135" s="101" t="s">
        <v>4</v>
      </c>
      <c r="H135" s="101"/>
      <c r="I135" s="102" t="s">
        <v>208</v>
      </c>
      <c r="J135" s="102"/>
      <c r="K135" s="102"/>
      <c r="L135" s="102"/>
      <c r="M135" s="102"/>
      <c r="N135" s="102"/>
      <c r="O135" s="101" t="s">
        <v>6</v>
      </c>
      <c r="P135" s="101"/>
      <c r="Q135" s="103"/>
      <c r="R135" s="104"/>
      <c r="S135" s="104"/>
      <c r="T135" s="104"/>
      <c r="U135" s="104"/>
      <c r="V135" s="104"/>
      <c r="W135" s="105"/>
      <c r="X135" s="1"/>
    </row>
    <row r="136" spans="1:24" ht="15.75" x14ac:dyDescent="0.25">
      <c r="A136" s="106" t="s">
        <v>7</v>
      </c>
      <c r="B136" s="107"/>
      <c r="C136" s="116" t="s">
        <v>44</v>
      </c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09"/>
      <c r="P136" s="109"/>
      <c r="Q136" s="107"/>
      <c r="R136" s="107"/>
      <c r="S136" s="107"/>
      <c r="T136" s="107"/>
      <c r="U136" s="107"/>
      <c r="V136" s="107"/>
      <c r="W136" s="110"/>
      <c r="X136" s="1"/>
    </row>
    <row r="137" spans="1:24" ht="15" customHeight="1" x14ac:dyDescent="0.25">
      <c r="A137" s="113" t="s">
        <v>8</v>
      </c>
      <c r="B137" s="114" t="s">
        <v>9</v>
      </c>
      <c r="C137" s="114" t="s">
        <v>10</v>
      </c>
      <c r="D137" s="114" t="s">
        <v>11</v>
      </c>
      <c r="E137" s="114" t="s">
        <v>12</v>
      </c>
      <c r="F137" s="114" t="s">
        <v>13</v>
      </c>
      <c r="G137" s="114" t="s">
        <v>14</v>
      </c>
      <c r="H137" s="114"/>
      <c r="I137" s="114"/>
      <c r="J137" s="114"/>
      <c r="K137" s="114"/>
      <c r="L137" s="114"/>
      <c r="M137" s="114" t="s">
        <v>15</v>
      </c>
      <c r="N137" s="114" t="s">
        <v>16</v>
      </c>
      <c r="O137" s="114" t="s">
        <v>17</v>
      </c>
      <c r="P137" s="114" t="s">
        <v>18</v>
      </c>
      <c r="Q137" s="114" t="s">
        <v>19</v>
      </c>
      <c r="R137" s="114"/>
      <c r="S137" s="114"/>
      <c r="T137" s="114"/>
      <c r="U137" s="114"/>
      <c r="V137" s="114"/>
      <c r="W137" s="115" t="s">
        <v>20</v>
      </c>
      <c r="X137" s="3"/>
    </row>
    <row r="138" spans="1:24" ht="30" customHeight="1" x14ac:dyDescent="0.25">
      <c r="A138" s="113"/>
      <c r="B138" s="114"/>
      <c r="C138" s="114"/>
      <c r="D138" s="114"/>
      <c r="E138" s="114"/>
      <c r="F138" s="114"/>
      <c r="G138" s="31" t="s">
        <v>21</v>
      </c>
      <c r="H138" s="31" t="s">
        <v>21</v>
      </c>
      <c r="I138" s="31" t="s">
        <v>21</v>
      </c>
      <c r="J138" s="31" t="s">
        <v>22</v>
      </c>
      <c r="K138" s="31" t="s">
        <v>22</v>
      </c>
      <c r="L138" s="31" t="s">
        <v>22</v>
      </c>
      <c r="M138" s="114"/>
      <c r="N138" s="114"/>
      <c r="O138" s="114"/>
      <c r="P138" s="114"/>
      <c r="Q138" s="31" t="s">
        <v>21</v>
      </c>
      <c r="R138" s="31" t="s">
        <v>21</v>
      </c>
      <c r="S138" s="31" t="s">
        <v>21</v>
      </c>
      <c r="T138" s="31" t="s">
        <v>22</v>
      </c>
      <c r="U138" s="31" t="s">
        <v>22</v>
      </c>
      <c r="V138" s="31" t="s">
        <v>22</v>
      </c>
      <c r="W138" s="115"/>
      <c r="X138" s="3"/>
    </row>
    <row r="139" spans="1:24" ht="15.75" x14ac:dyDescent="0.25">
      <c r="A139" s="5">
        <v>1</v>
      </c>
      <c r="B139" s="8" t="s">
        <v>203</v>
      </c>
      <c r="C139" s="13">
        <v>45738</v>
      </c>
      <c r="D139" s="13">
        <v>45823</v>
      </c>
      <c r="E139" s="21">
        <v>1</v>
      </c>
      <c r="F139" s="21">
        <v>0</v>
      </c>
      <c r="G139" s="21"/>
      <c r="H139" s="21"/>
      <c r="I139" s="21"/>
      <c r="J139" s="21"/>
      <c r="K139" s="21"/>
      <c r="L139" s="21"/>
      <c r="M139" s="21"/>
      <c r="N139" s="20"/>
      <c r="O139" s="21"/>
      <c r="P139" s="21"/>
      <c r="Q139" s="21"/>
      <c r="R139" s="21"/>
      <c r="S139" s="21"/>
      <c r="T139" s="21"/>
      <c r="U139" s="21"/>
      <c r="V139" s="21"/>
      <c r="W139" s="22"/>
    </row>
    <row r="140" spans="1:24" ht="15.75" x14ac:dyDescent="0.25">
      <c r="A140" s="6">
        <v>2</v>
      </c>
      <c r="B140" s="8"/>
      <c r="C140" s="13"/>
      <c r="D140" s="8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2"/>
    </row>
    <row r="141" spans="1:24" ht="15.75" x14ac:dyDescent="0.25">
      <c r="A141" s="6">
        <v>3</v>
      </c>
      <c r="B141" s="8"/>
      <c r="C141" s="8"/>
      <c r="D141" s="8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2"/>
    </row>
    <row r="142" spans="1:24" ht="15.75" x14ac:dyDescent="0.25">
      <c r="A142" s="5">
        <v>4</v>
      </c>
      <c r="B142" s="8"/>
      <c r="C142" s="8"/>
      <c r="D142" s="8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2"/>
    </row>
    <row r="143" spans="1:24" ht="15.75" x14ac:dyDescent="0.25">
      <c r="A143" s="5">
        <v>5</v>
      </c>
      <c r="B143" s="8"/>
      <c r="C143" s="8"/>
      <c r="D143" s="8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2"/>
    </row>
    <row r="144" spans="1:24" ht="16.5" thickBot="1" x14ac:dyDescent="0.3">
      <c r="A144" s="7">
        <v>6</v>
      </c>
      <c r="B144" s="10"/>
      <c r="C144" s="10"/>
      <c r="D144" s="10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9"/>
    </row>
    <row r="146" spans="1:24" ht="15.75" thickBot="1" x14ac:dyDescent="0.3"/>
    <row r="147" spans="1:24" ht="15.75" x14ac:dyDescent="0.25">
      <c r="A147" s="100" t="s">
        <v>2</v>
      </c>
      <c r="B147" s="101"/>
      <c r="C147" s="178" t="s">
        <v>206</v>
      </c>
      <c r="D147" s="179"/>
      <c r="E147" s="111" t="s">
        <v>399</v>
      </c>
      <c r="F147" s="112"/>
      <c r="G147" s="101" t="s">
        <v>4</v>
      </c>
      <c r="H147" s="101"/>
      <c r="I147" s="102" t="s">
        <v>208</v>
      </c>
      <c r="J147" s="102"/>
      <c r="K147" s="102"/>
      <c r="L147" s="102"/>
      <c r="M147" s="102"/>
      <c r="N147" s="102"/>
      <c r="O147" s="101" t="s">
        <v>6</v>
      </c>
      <c r="P147" s="101"/>
      <c r="Q147" s="103"/>
      <c r="R147" s="104"/>
      <c r="S147" s="104"/>
      <c r="T147" s="104"/>
      <c r="U147" s="104"/>
      <c r="V147" s="104"/>
      <c r="W147" s="105"/>
      <c r="X147" s="1"/>
    </row>
    <row r="148" spans="1:24" ht="15.75" x14ac:dyDescent="0.25">
      <c r="A148" s="106" t="s">
        <v>7</v>
      </c>
      <c r="B148" s="107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7"/>
      <c r="R148" s="107"/>
      <c r="S148" s="107"/>
      <c r="T148" s="107"/>
      <c r="U148" s="107"/>
      <c r="V148" s="107"/>
      <c r="W148" s="110"/>
      <c r="X148" s="1"/>
    </row>
    <row r="149" spans="1:24" ht="15" customHeight="1" x14ac:dyDescent="0.25">
      <c r="A149" s="113" t="s">
        <v>8</v>
      </c>
      <c r="B149" s="114" t="s">
        <v>9</v>
      </c>
      <c r="C149" s="114" t="s">
        <v>10</v>
      </c>
      <c r="D149" s="114" t="s">
        <v>11</v>
      </c>
      <c r="E149" s="114" t="s">
        <v>12</v>
      </c>
      <c r="F149" s="114" t="s">
        <v>13</v>
      </c>
      <c r="G149" s="114" t="s">
        <v>14</v>
      </c>
      <c r="H149" s="114"/>
      <c r="I149" s="114"/>
      <c r="J149" s="114"/>
      <c r="K149" s="114"/>
      <c r="L149" s="114"/>
      <c r="M149" s="114" t="s">
        <v>15</v>
      </c>
      <c r="N149" s="114" t="s">
        <v>16</v>
      </c>
      <c r="O149" s="114" t="s">
        <v>17</v>
      </c>
      <c r="P149" s="114" t="s">
        <v>18</v>
      </c>
      <c r="Q149" s="114" t="s">
        <v>19</v>
      </c>
      <c r="R149" s="114"/>
      <c r="S149" s="114"/>
      <c r="T149" s="114"/>
      <c r="U149" s="114"/>
      <c r="V149" s="114"/>
      <c r="W149" s="115" t="s">
        <v>20</v>
      </c>
      <c r="X149" s="3"/>
    </row>
    <row r="150" spans="1:24" ht="30" customHeight="1" x14ac:dyDescent="0.25">
      <c r="A150" s="113"/>
      <c r="B150" s="114"/>
      <c r="C150" s="114"/>
      <c r="D150" s="114"/>
      <c r="E150" s="114"/>
      <c r="F150" s="114"/>
      <c r="G150" s="31" t="s">
        <v>21</v>
      </c>
      <c r="H150" s="31" t="s">
        <v>21</v>
      </c>
      <c r="I150" s="31" t="s">
        <v>21</v>
      </c>
      <c r="J150" s="31" t="s">
        <v>22</v>
      </c>
      <c r="K150" s="31" t="s">
        <v>22</v>
      </c>
      <c r="L150" s="31" t="s">
        <v>22</v>
      </c>
      <c r="M150" s="114"/>
      <c r="N150" s="114"/>
      <c r="O150" s="114"/>
      <c r="P150" s="114"/>
      <c r="Q150" s="31" t="s">
        <v>21</v>
      </c>
      <c r="R150" s="31" t="s">
        <v>21</v>
      </c>
      <c r="S150" s="31" t="s">
        <v>21</v>
      </c>
      <c r="T150" s="31" t="s">
        <v>22</v>
      </c>
      <c r="U150" s="31" t="s">
        <v>22</v>
      </c>
      <c r="V150" s="31" t="s">
        <v>22</v>
      </c>
      <c r="W150" s="115"/>
      <c r="X150" s="3"/>
    </row>
    <row r="151" spans="1:24" ht="15.75" x14ac:dyDescent="0.25">
      <c r="A151" s="5">
        <v>1</v>
      </c>
      <c r="B151" s="8" t="s">
        <v>203</v>
      </c>
      <c r="C151" s="13">
        <v>45738</v>
      </c>
      <c r="D151" s="13">
        <v>45830</v>
      </c>
      <c r="E151" s="8">
        <v>1</v>
      </c>
      <c r="F151" s="8">
        <v>1</v>
      </c>
      <c r="G151" s="8"/>
      <c r="H151" s="8"/>
      <c r="I151" s="8"/>
      <c r="J151" s="8"/>
      <c r="K151" s="8"/>
      <c r="L151" s="8"/>
      <c r="M151" s="8"/>
      <c r="N151" s="13"/>
      <c r="O151" s="8"/>
      <c r="P151" s="8"/>
      <c r="Q151" s="8"/>
      <c r="R151" s="8"/>
      <c r="S151" s="8"/>
      <c r="T151" s="8"/>
      <c r="U151" s="8"/>
      <c r="V151" s="8"/>
      <c r="W151" s="9"/>
    </row>
    <row r="152" spans="1:24" ht="15.75" x14ac:dyDescent="0.25">
      <c r="A152" s="6">
        <v>2</v>
      </c>
      <c r="B152" s="8" t="s">
        <v>203</v>
      </c>
      <c r="C152" s="13">
        <v>45851</v>
      </c>
      <c r="D152" s="8" t="s">
        <v>428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/>
    </row>
    <row r="153" spans="1:24" ht="15.75" x14ac:dyDescent="0.25">
      <c r="A153" s="6">
        <v>3</v>
      </c>
      <c r="B153" s="8" t="s">
        <v>212</v>
      </c>
      <c r="C153" s="13">
        <v>45884</v>
      </c>
      <c r="D153" s="8" t="s">
        <v>428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</row>
    <row r="154" spans="1:24" ht="15.75" x14ac:dyDescent="0.25">
      <c r="A154" s="5">
        <v>4</v>
      </c>
      <c r="B154" s="8" t="s">
        <v>486</v>
      </c>
      <c r="C154" s="13">
        <v>46070</v>
      </c>
      <c r="D154" s="8" t="s">
        <v>428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</row>
    <row r="155" spans="1:24" ht="15.75" x14ac:dyDescent="0.25">
      <c r="A155" s="5">
        <v>5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</row>
    <row r="156" spans="1:24" ht="16.5" thickBot="1" x14ac:dyDescent="0.3">
      <c r="A156" s="7">
        <v>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8" spans="1:24" ht="15.75" thickBot="1" x14ac:dyDescent="0.3"/>
    <row r="159" spans="1:24" ht="15.75" x14ac:dyDescent="0.25">
      <c r="A159" s="100" t="s">
        <v>2</v>
      </c>
      <c r="B159" s="101"/>
      <c r="C159" s="178" t="s">
        <v>207</v>
      </c>
      <c r="D159" s="179"/>
      <c r="E159" s="111" t="s">
        <v>400</v>
      </c>
      <c r="F159" s="112"/>
      <c r="G159" s="101" t="s">
        <v>4</v>
      </c>
      <c r="H159" s="101"/>
      <c r="I159" s="102" t="s">
        <v>208</v>
      </c>
      <c r="J159" s="102"/>
      <c r="K159" s="102"/>
      <c r="L159" s="102"/>
      <c r="M159" s="102"/>
      <c r="N159" s="102"/>
      <c r="O159" s="101" t="s">
        <v>6</v>
      </c>
      <c r="P159" s="101"/>
      <c r="Q159" s="103"/>
      <c r="R159" s="104"/>
      <c r="S159" s="104"/>
      <c r="T159" s="104"/>
      <c r="U159" s="104"/>
      <c r="V159" s="104"/>
      <c r="W159" s="105"/>
      <c r="X159" s="1"/>
    </row>
    <row r="160" spans="1:24" ht="15.75" x14ac:dyDescent="0.25">
      <c r="A160" s="106" t="s">
        <v>7</v>
      </c>
      <c r="B160" s="107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7"/>
      <c r="R160" s="107"/>
      <c r="S160" s="107"/>
      <c r="T160" s="107"/>
      <c r="U160" s="107"/>
      <c r="V160" s="107"/>
      <c r="W160" s="110"/>
      <c r="X160" s="1"/>
    </row>
    <row r="161" spans="1:24" ht="15" customHeight="1" x14ac:dyDescent="0.25">
      <c r="A161" s="113" t="s">
        <v>8</v>
      </c>
      <c r="B161" s="114" t="s">
        <v>9</v>
      </c>
      <c r="C161" s="114" t="s">
        <v>10</v>
      </c>
      <c r="D161" s="114" t="s">
        <v>11</v>
      </c>
      <c r="E161" s="114" t="s">
        <v>12</v>
      </c>
      <c r="F161" s="114" t="s">
        <v>13</v>
      </c>
      <c r="G161" s="114" t="s">
        <v>14</v>
      </c>
      <c r="H161" s="114"/>
      <c r="I161" s="114"/>
      <c r="J161" s="114"/>
      <c r="K161" s="114"/>
      <c r="L161" s="114"/>
      <c r="M161" s="114" t="s">
        <v>15</v>
      </c>
      <c r="N161" s="114" t="s">
        <v>16</v>
      </c>
      <c r="O161" s="114" t="s">
        <v>17</v>
      </c>
      <c r="P161" s="114" t="s">
        <v>18</v>
      </c>
      <c r="Q161" s="114" t="s">
        <v>19</v>
      </c>
      <c r="R161" s="114"/>
      <c r="S161" s="114"/>
      <c r="T161" s="114"/>
      <c r="U161" s="114"/>
      <c r="V161" s="114"/>
      <c r="W161" s="115" t="s">
        <v>20</v>
      </c>
      <c r="X161" s="3"/>
    </row>
    <row r="162" spans="1:24" ht="30" customHeight="1" x14ac:dyDescent="0.25">
      <c r="A162" s="113"/>
      <c r="B162" s="114"/>
      <c r="C162" s="114"/>
      <c r="D162" s="114"/>
      <c r="E162" s="114"/>
      <c r="F162" s="114"/>
      <c r="G162" s="31" t="s">
        <v>21</v>
      </c>
      <c r="H162" s="31" t="s">
        <v>21</v>
      </c>
      <c r="I162" s="31" t="s">
        <v>21</v>
      </c>
      <c r="J162" s="31" t="s">
        <v>22</v>
      </c>
      <c r="K162" s="31" t="s">
        <v>22</v>
      </c>
      <c r="L162" s="31" t="s">
        <v>22</v>
      </c>
      <c r="M162" s="114"/>
      <c r="N162" s="114"/>
      <c r="O162" s="114"/>
      <c r="P162" s="114"/>
      <c r="Q162" s="31" t="s">
        <v>21</v>
      </c>
      <c r="R162" s="31" t="s">
        <v>21</v>
      </c>
      <c r="S162" s="31" t="s">
        <v>21</v>
      </c>
      <c r="T162" s="31" t="s">
        <v>22</v>
      </c>
      <c r="U162" s="31" t="s">
        <v>22</v>
      </c>
      <c r="V162" s="31" t="s">
        <v>22</v>
      </c>
      <c r="W162" s="115"/>
      <c r="X162" s="3"/>
    </row>
    <row r="163" spans="1:24" ht="15.75" x14ac:dyDescent="0.25">
      <c r="A163" s="5">
        <v>1</v>
      </c>
      <c r="B163" s="8" t="s">
        <v>203</v>
      </c>
      <c r="C163" s="13">
        <v>45738</v>
      </c>
      <c r="D163" s="13" t="s">
        <v>28</v>
      </c>
      <c r="E163" s="8"/>
      <c r="F163" s="8"/>
      <c r="G163" s="8"/>
      <c r="H163" s="8"/>
      <c r="I163" s="8"/>
      <c r="J163" s="8"/>
      <c r="K163" s="8"/>
      <c r="L163" s="8"/>
      <c r="M163" s="8"/>
      <c r="N163" s="13"/>
      <c r="O163" s="8"/>
      <c r="P163" s="8"/>
      <c r="Q163" s="8"/>
      <c r="R163" s="8"/>
      <c r="S163" s="8"/>
      <c r="T163" s="8"/>
      <c r="U163" s="8"/>
      <c r="V163" s="8"/>
      <c r="W163" s="9"/>
    </row>
    <row r="164" spans="1:24" ht="15.75" x14ac:dyDescent="0.25">
      <c r="A164" s="6">
        <v>2</v>
      </c>
      <c r="B164" s="8" t="s">
        <v>78</v>
      </c>
      <c r="C164" s="13">
        <v>45851</v>
      </c>
      <c r="D164" s="8" t="s">
        <v>428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</row>
    <row r="165" spans="1:24" ht="15.75" x14ac:dyDescent="0.25">
      <c r="A165" s="6">
        <v>3</v>
      </c>
      <c r="B165" s="8" t="s">
        <v>487</v>
      </c>
      <c r="C165" s="13">
        <v>46070</v>
      </c>
      <c r="D165" s="8" t="s">
        <v>428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spans="1:24" ht="15.75" x14ac:dyDescent="0.25">
      <c r="A166" s="5">
        <v>4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</row>
    <row r="167" spans="1:24" ht="15.75" x14ac:dyDescent="0.25">
      <c r="A167" s="5">
        <v>5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</row>
    <row r="168" spans="1:24" ht="16.5" thickBot="1" x14ac:dyDescent="0.3">
      <c r="A168" s="7">
        <v>6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70" spans="1:24" ht="15.75" thickBot="1" x14ac:dyDescent="0.3"/>
    <row r="171" spans="1:24" ht="15.75" x14ac:dyDescent="0.25">
      <c r="A171" s="100" t="s">
        <v>2</v>
      </c>
      <c r="B171" s="101"/>
      <c r="C171" s="184" t="s">
        <v>210</v>
      </c>
      <c r="D171" s="185"/>
      <c r="E171" s="111" t="s">
        <v>399</v>
      </c>
      <c r="F171" s="112"/>
      <c r="G171" s="101" t="s">
        <v>4</v>
      </c>
      <c r="H171" s="101"/>
      <c r="I171" s="102" t="s">
        <v>208</v>
      </c>
      <c r="J171" s="102"/>
      <c r="K171" s="102"/>
      <c r="L171" s="102"/>
      <c r="M171" s="102"/>
      <c r="N171" s="102"/>
      <c r="O171" s="101" t="s">
        <v>6</v>
      </c>
      <c r="P171" s="101"/>
      <c r="Q171" s="103"/>
      <c r="R171" s="104"/>
      <c r="S171" s="104"/>
      <c r="T171" s="104"/>
      <c r="U171" s="104"/>
      <c r="V171" s="104"/>
      <c r="W171" s="105"/>
      <c r="X171" s="1"/>
    </row>
    <row r="172" spans="1:24" ht="15.75" x14ac:dyDescent="0.25">
      <c r="A172" s="106" t="s">
        <v>7</v>
      </c>
      <c r="B172" s="107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7"/>
      <c r="R172" s="107"/>
      <c r="S172" s="107"/>
      <c r="T172" s="107"/>
      <c r="U172" s="107"/>
      <c r="V172" s="107"/>
      <c r="W172" s="110"/>
      <c r="X172" s="1"/>
    </row>
    <row r="173" spans="1:24" ht="15" customHeight="1" x14ac:dyDescent="0.25">
      <c r="A173" s="113" t="s">
        <v>8</v>
      </c>
      <c r="B173" s="114" t="s">
        <v>9</v>
      </c>
      <c r="C173" s="114" t="s">
        <v>10</v>
      </c>
      <c r="D173" s="114" t="s">
        <v>11</v>
      </c>
      <c r="E173" s="114" t="s">
        <v>12</v>
      </c>
      <c r="F173" s="114" t="s">
        <v>13</v>
      </c>
      <c r="G173" s="114" t="s">
        <v>14</v>
      </c>
      <c r="H173" s="114"/>
      <c r="I173" s="114"/>
      <c r="J173" s="114"/>
      <c r="K173" s="114"/>
      <c r="L173" s="114"/>
      <c r="M173" s="114" t="s">
        <v>15</v>
      </c>
      <c r="N173" s="114" t="s">
        <v>16</v>
      </c>
      <c r="O173" s="114" t="s">
        <v>17</v>
      </c>
      <c r="P173" s="114" t="s">
        <v>18</v>
      </c>
      <c r="Q173" s="114" t="s">
        <v>19</v>
      </c>
      <c r="R173" s="114"/>
      <c r="S173" s="114"/>
      <c r="T173" s="114"/>
      <c r="U173" s="114"/>
      <c r="V173" s="114"/>
      <c r="W173" s="115" t="s">
        <v>20</v>
      </c>
      <c r="X173" s="3"/>
    </row>
    <row r="174" spans="1:24" ht="29.25" customHeight="1" x14ac:dyDescent="0.25">
      <c r="A174" s="113"/>
      <c r="B174" s="114"/>
      <c r="C174" s="114"/>
      <c r="D174" s="114"/>
      <c r="E174" s="114"/>
      <c r="F174" s="114"/>
      <c r="G174" s="31" t="s">
        <v>21</v>
      </c>
      <c r="H174" s="31" t="s">
        <v>21</v>
      </c>
      <c r="I174" s="31" t="s">
        <v>21</v>
      </c>
      <c r="J174" s="31" t="s">
        <v>22</v>
      </c>
      <c r="K174" s="31" t="s">
        <v>22</v>
      </c>
      <c r="L174" s="31" t="s">
        <v>22</v>
      </c>
      <c r="M174" s="114"/>
      <c r="N174" s="114"/>
      <c r="O174" s="114"/>
      <c r="P174" s="114"/>
      <c r="Q174" s="31" t="s">
        <v>21</v>
      </c>
      <c r="R174" s="31" t="s">
        <v>21</v>
      </c>
      <c r="S174" s="31" t="s">
        <v>21</v>
      </c>
      <c r="T174" s="31" t="s">
        <v>22</v>
      </c>
      <c r="U174" s="31" t="s">
        <v>22</v>
      </c>
      <c r="V174" s="31" t="s">
        <v>22</v>
      </c>
      <c r="W174" s="115"/>
      <c r="X174" s="3"/>
    </row>
    <row r="175" spans="1:24" ht="15.75" x14ac:dyDescent="0.25">
      <c r="A175" s="5">
        <v>1</v>
      </c>
      <c r="B175" s="8" t="s">
        <v>203</v>
      </c>
      <c r="C175" s="13">
        <v>45738</v>
      </c>
      <c r="D175" s="20">
        <v>45828</v>
      </c>
      <c r="E175" s="21">
        <v>2</v>
      </c>
      <c r="F175" s="21">
        <v>0</v>
      </c>
      <c r="G175" s="21">
        <v>156</v>
      </c>
      <c r="H175" s="21">
        <v>162</v>
      </c>
      <c r="I175" s="21"/>
      <c r="J175" s="21"/>
      <c r="K175" s="21"/>
      <c r="L175" s="21"/>
      <c r="M175" s="21">
        <f>AVERAGE(G175:L175)</f>
        <v>159</v>
      </c>
      <c r="N175" s="20">
        <v>45848</v>
      </c>
      <c r="O175" s="21">
        <v>2</v>
      </c>
      <c r="P175" s="21">
        <v>0</v>
      </c>
      <c r="Q175" s="21">
        <v>315</v>
      </c>
      <c r="R175" s="21">
        <v>329</v>
      </c>
      <c r="S175" s="21"/>
      <c r="T175" s="21"/>
      <c r="U175" s="21"/>
      <c r="V175" s="21"/>
      <c r="W175" s="22">
        <f>AVERAGE(Q175:V175)</f>
        <v>322</v>
      </c>
    </row>
    <row r="176" spans="1:24" ht="15.75" x14ac:dyDescent="0.25">
      <c r="A176" s="6">
        <v>2</v>
      </c>
      <c r="B176" s="8" t="s">
        <v>203</v>
      </c>
      <c r="C176" s="13">
        <v>45851</v>
      </c>
      <c r="D176" s="21" t="s">
        <v>428</v>
      </c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2"/>
    </row>
    <row r="177" spans="1:24" ht="15.75" x14ac:dyDescent="0.25">
      <c r="A177" s="6">
        <v>3</v>
      </c>
      <c r="B177" s="8" t="s">
        <v>212</v>
      </c>
      <c r="C177" s="13">
        <v>45884</v>
      </c>
      <c r="D177" s="20">
        <v>45963</v>
      </c>
      <c r="E177" s="21">
        <v>3</v>
      </c>
      <c r="F177" s="21">
        <v>0</v>
      </c>
      <c r="G177" s="21">
        <v>105</v>
      </c>
      <c r="H177" s="21"/>
      <c r="I177" s="21"/>
      <c r="J177" s="21">
        <v>121</v>
      </c>
      <c r="K177" s="21">
        <v>108</v>
      </c>
      <c r="L177" s="21"/>
      <c r="M177" s="41">
        <f>AVERAGE(G177:L177)</f>
        <v>111.33333333333333</v>
      </c>
      <c r="N177" s="20">
        <v>45986</v>
      </c>
      <c r="O177" s="21">
        <v>3</v>
      </c>
      <c r="P177" s="21">
        <v>0</v>
      </c>
      <c r="Q177" s="21">
        <v>317</v>
      </c>
      <c r="R177" s="21"/>
      <c r="S177" s="21"/>
      <c r="T177" s="21">
        <v>338</v>
      </c>
      <c r="U177" s="21">
        <v>298</v>
      </c>
      <c r="V177" s="21"/>
      <c r="W177" s="40">
        <f>AVERAGE(Q177:V177)</f>
        <v>317.66666666666669</v>
      </c>
    </row>
    <row r="178" spans="1:24" ht="15.75" x14ac:dyDescent="0.25">
      <c r="A178" s="5">
        <v>4</v>
      </c>
      <c r="B178" s="8" t="s">
        <v>486</v>
      </c>
      <c r="C178" s="13">
        <v>46070</v>
      </c>
      <c r="D178" s="20">
        <v>46150</v>
      </c>
      <c r="E178" s="21">
        <v>3</v>
      </c>
      <c r="F178" s="21">
        <v>2</v>
      </c>
      <c r="G178" s="21">
        <v>120</v>
      </c>
      <c r="H178" s="21"/>
      <c r="I178" s="21"/>
      <c r="J178" s="21"/>
      <c r="K178" s="21"/>
      <c r="L178" s="21"/>
      <c r="M178" s="21">
        <v>120</v>
      </c>
      <c r="N178" s="20">
        <v>46176</v>
      </c>
      <c r="O178" s="21">
        <v>1</v>
      </c>
      <c r="P178" s="21">
        <v>0</v>
      </c>
      <c r="Q178" s="21">
        <v>350</v>
      </c>
      <c r="R178" s="21"/>
      <c r="S178" s="21"/>
      <c r="T178" s="21"/>
      <c r="U178" s="21"/>
      <c r="V178" s="21"/>
      <c r="W178" s="22">
        <v>350</v>
      </c>
    </row>
    <row r="179" spans="1:24" ht="15.75" x14ac:dyDescent="0.25">
      <c r="A179" s="5">
        <v>5</v>
      </c>
      <c r="B179" s="8"/>
      <c r="C179" s="8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2"/>
    </row>
    <row r="180" spans="1:24" ht="16.5" thickBot="1" x14ac:dyDescent="0.3">
      <c r="A180" s="7">
        <v>6</v>
      </c>
      <c r="B180" s="10"/>
      <c r="C180" s="10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9"/>
    </row>
    <row r="182" spans="1:24" ht="15.75" thickBot="1" x14ac:dyDescent="0.3"/>
    <row r="183" spans="1:24" ht="15.75" x14ac:dyDescent="0.25">
      <c r="A183" s="100" t="s">
        <v>2</v>
      </c>
      <c r="B183" s="101"/>
      <c r="C183" s="184">
        <v>157</v>
      </c>
      <c r="D183" s="185"/>
      <c r="E183" s="111" t="s">
        <v>399</v>
      </c>
      <c r="F183" s="112"/>
      <c r="G183" s="101" t="s">
        <v>4</v>
      </c>
      <c r="H183" s="101"/>
      <c r="I183" s="102" t="s">
        <v>208</v>
      </c>
      <c r="J183" s="102"/>
      <c r="K183" s="102"/>
      <c r="L183" s="102"/>
      <c r="M183" s="102"/>
      <c r="N183" s="102"/>
      <c r="O183" s="101" t="s">
        <v>6</v>
      </c>
      <c r="P183" s="101"/>
      <c r="Q183" s="103"/>
      <c r="R183" s="104"/>
      <c r="S183" s="104"/>
      <c r="T183" s="104"/>
      <c r="U183" s="104"/>
      <c r="V183" s="104"/>
      <c r="W183" s="105"/>
      <c r="X183" s="1"/>
    </row>
    <row r="184" spans="1:24" ht="15.75" x14ac:dyDescent="0.25">
      <c r="A184" s="106" t="s">
        <v>7</v>
      </c>
      <c r="B184" s="107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7"/>
      <c r="R184" s="107"/>
      <c r="S184" s="107"/>
      <c r="T184" s="107"/>
      <c r="U184" s="107"/>
      <c r="V184" s="107"/>
      <c r="W184" s="110"/>
      <c r="X184" s="1"/>
    </row>
    <row r="185" spans="1:24" ht="15" customHeight="1" x14ac:dyDescent="0.25">
      <c r="A185" s="113" t="s">
        <v>8</v>
      </c>
      <c r="B185" s="114" t="s">
        <v>9</v>
      </c>
      <c r="C185" s="114" t="s">
        <v>10</v>
      </c>
      <c r="D185" s="114" t="s">
        <v>11</v>
      </c>
      <c r="E185" s="114" t="s">
        <v>12</v>
      </c>
      <c r="F185" s="114" t="s">
        <v>13</v>
      </c>
      <c r="G185" s="114" t="s">
        <v>14</v>
      </c>
      <c r="H185" s="114"/>
      <c r="I185" s="114"/>
      <c r="J185" s="114"/>
      <c r="K185" s="114"/>
      <c r="L185" s="114"/>
      <c r="M185" s="114" t="s">
        <v>15</v>
      </c>
      <c r="N185" s="114" t="s">
        <v>16</v>
      </c>
      <c r="O185" s="114" t="s">
        <v>17</v>
      </c>
      <c r="P185" s="114" t="s">
        <v>18</v>
      </c>
      <c r="Q185" s="114" t="s">
        <v>19</v>
      </c>
      <c r="R185" s="114"/>
      <c r="S185" s="114"/>
      <c r="T185" s="114"/>
      <c r="U185" s="114"/>
      <c r="V185" s="114"/>
      <c r="W185" s="115" t="s">
        <v>20</v>
      </c>
      <c r="X185" s="3"/>
    </row>
    <row r="186" spans="1:24" ht="30" customHeight="1" x14ac:dyDescent="0.25">
      <c r="A186" s="113"/>
      <c r="B186" s="114"/>
      <c r="C186" s="114"/>
      <c r="D186" s="114"/>
      <c r="E186" s="114"/>
      <c r="F186" s="114"/>
      <c r="G186" s="31" t="s">
        <v>21</v>
      </c>
      <c r="H186" s="31" t="s">
        <v>21</v>
      </c>
      <c r="I186" s="31" t="s">
        <v>21</v>
      </c>
      <c r="J186" s="31" t="s">
        <v>22</v>
      </c>
      <c r="K186" s="31" t="s">
        <v>22</v>
      </c>
      <c r="L186" s="31" t="s">
        <v>22</v>
      </c>
      <c r="M186" s="114"/>
      <c r="N186" s="114"/>
      <c r="O186" s="114"/>
      <c r="P186" s="114"/>
      <c r="Q186" s="31" t="s">
        <v>21</v>
      </c>
      <c r="R186" s="31" t="s">
        <v>21</v>
      </c>
      <c r="S186" s="31" t="s">
        <v>21</v>
      </c>
      <c r="T186" s="31" t="s">
        <v>22</v>
      </c>
      <c r="U186" s="31" t="s">
        <v>22</v>
      </c>
      <c r="V186" s="31" t="s">
        <v>22</v>
      </c>
      <c r="W186" s="115"/>
      <c r="X186" s="3"/>
    </row>
    <row r="187" spans="1:24" ht="15.75" x14ac:dyDescent="0.25">
      <c r="A187" s="5">
        <v>1</v>
      </c>
      <c r="B187" s="21" t="s">
        <v>212</v>
      </c>
      <c r="C187" s="13">
        <v>45738</v>
      </c>
      <c r="D187" s="13">
        <v>45809</v>
      </c>
      <c r="E187" s="21">
        <v>2</v>
      </c>
      <c r="F187" s="21">
        <v>1</v>
      </c>
      <c r="G187" s="21"/>
      <c r="H187" s="21"/>
      <c r="I187" s="21"/>
      <c r="J187" s="21">
        <v>95</v>
      </c>
      <c r="K187" s="21"/>
      <c r="L187" s="21"/>
      <c r="M187" s="21">
        <v>95</v>
      </c>
      <c r="N187" s="20">
        <v>45833</v>
      </c>
      <c r="O187" s="21">
        <v>1</v>
      </c>
      <c r="P187" s="21">
        <v>0</v>
      </c>
      <c r="Q187" s="21"/>
      <c r="R187" s="21"/>
      <c r="S187" s="8"/>
      <c r="T187" s="8">
        <v>259</v>
      </c>
      <c r="U187" s="8"/>
      <c r="V187" s="8"/>
      <c r="W187" s="22">
        <v>259</v>
      </c>
    </row>
    <row r="188" spans="1:24" ht="15.75" x14ac:dyDescent="0.25">
      <c r="A188" s="6">
        <v>2</v>
      </c>
      <c r="B188" s="21" t="s">
        <v>211</v>
      </c>
      <c r="C188" s="13">
        <v>45851</v>
      </c>
      <c r="D188" s="8" t="s">
        <v>428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2"/>
    </row>
    <row r="189" spans="1:24" ht="15.75" x14ac:dyDescent="0.25">
      <c r="A189" s="6">
        <v>3</v>
      </c>
      <c r="B189" s="21" t="s">
        <v>212</v>
      </c>
      <c r="C189" s="13">
        <v>45884</v>
      </c>
      <c r="D189" s="13">
        <v>46062</v>
      </c>
      <c r="E189" s="21">
        <v>4</v>
      </c>
      <c r="F189" s="21">
        <v>1</v>
      </c>
      <c r="G189" s="8">
        <v>129</v>
      </c>
      <c r="H189" s="8">
        <v>95</v>
      </c>
      <c r="I189" s="8"/>
      <c r="J189" s="8">
        <v>118</v>
      </c>
      <c r="K189" s="8"/>
      <c r="L189" s="8"/>
      <c r="M189" s="21">
        <f>AVERAGE(G189:L189)</f>
        <v>114</v>
      </c>
      <c r="N189" s="13">
        <v>46077</v>
      </c>
      <c r="O189" s="21">
        <v>2</v>
      </c>
      <c r="P189" s="21">
        <v>1</v>
      </c>
      <c r="Q189" s="8"/>
      <c r="R189" s="8"/>
      <c r="S189" s="8"/>
      <c r="T189" s="8"/>
      <c r="U189" s="8"/>
      <c r="V189" s="8"/>
      <c r="W189" s="22"/>
    </row>
    <row r="190" spans="1:24" ht="15.75" x14ac:dyDescent="0.25">
      <c r="A190" s="5">
        <v>4</v>
      </c>
      <c r="B190" s="8" t="s">
        <v>486</v>
      </c>
      <c r="C190" s="13">
        <v>46070</v>
      </c>
      <c r="D190" s="8" t="s">
        <v>428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2"/>
    </row>
    <row r="191" spans="1:24" ht="15.75" x14ac:dyDescent="0.25">
      <c r="A191" s="5">
        <v>5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2"/>
    </row>
    <row r="192" spans="1:24" ht="16.5" thickBot="1" x14ac:dyDescent="0.3">
      <c r="A192" s="7">
        <v>6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39"/>
    </row>
    <row r="194" spans="1:24" ht="15.75" thickBot="1" x14ac:dyDescent="0.3"/>
    <row r="195" spans="1:24" ht="15.75" x14ac:dyDescent="0.25">
      <c r="A195" s="100" t="s">
        <v>2</v>
      </c>
      <c r="B195" s="101"/>
      <c r="C195" s="178" t="s">
        <v>213</v>
      </c>
      <c r="D195" s="179"/>
      <c r="E195" s="111" t="s">
        <v>400</v>
      </c>
      <c r="F195" s="112"/>
      <c r="G195" s="101" t="s">
        <v>4</v>
      </c>
      <c r="H195" s="101"/>
      <c r="I195" s="102" t="s">
        <v>208</v>
      </c>
      <c r="J195" s="102"/>
      <c r="K195" s="102"/>
      <c r="L195" s="102"/>
      <c r="M195" s="102"/>
      <c r="N195" s="102"/>
      <c r="O195" s="101" t="s">
        <v>6</v>
      </c>
      <c r="P195" s="101"/>
      <c r="Q195" s="103"/>
      <c r="R195" s="104"/>
      <c r="S195" s="104"/>
      <c r="T195" s="104"/>
      <c r="U195" s="104"/>
      <c r="V195" s="104"/>
      <c r="W195" s="105"/>
      <c r="X195" s="1"/>
    </row>
    <row r="196" spans="1:24" ht="15.75" x14ac:dyDescent="0.25">
      <c r="A196" s="106" t="s">
        <v>7</v>
      </c>
      <c r="B196" s="107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7"/>
      <c r="R196" s="107"/>
      <c r="S196" s="107"/>
      <c r="T196" s="107"/>
      <c r="U196" s="107"/>
      <c r="V196" s="107"/>
      <c r="W196" s="110"/>
      <c r="X196" s="1"/>
    </row>
    <row r="197" spans="1:24" ht="15" customHeight="1" x14ac:dyDescent="0.25">
      <c r="A197" s="113" t="s">
        <v>8</v>
      </c>
      <c r="B197" s="114" t="s">
        <v>9</v>
      </c>
      <c r="C197" s="114" t="s">
        <v>10</v>
      </c>
      <c r="D197" s="114" t="s">
        <v>11</v>
      </c>
      <c r="E197" s="114" t="s">
        <v>12</v>
      </c>
      <c r="F197" s="114" t="s">
        <v>13</v>
      </c>
      <c r="G197" s="114" t="s">
        <v>14</v>
      </c>
      <c r="H197" s="114"/>
      <c r="I197" s="114"/>
      <c r="J197" s="114"/>
      <c r="K197" s="114"/>
      <c r="L197" s="114"/>
      <c r="M197" s="114" t="s">
        <v>15</v>
      </c>
      <c r="N197" s="114" t="s">
        <v>16</v>
      </c>
      <c r="O197" s="114" t="s">
        <v>17</v>
      </c>
      <c r="P197" s="114" t="s">
        <v>18</v>
      </c>
      <c r="Q197" s="114" t="s">
        <v>19</v>
      </c>
      <c r="R197" s="114"/>
      <c r="S197" s="114"/>
      <c r="T197" s="114"/>
      <c r="U197" s="114"/>
      <c r="V197" s="114"/>
      <c r="W197" s="115" t="s">
        <v>20</v>
      </c>
      <c r="X197" s="3"/>
    </row>
    <row r="198" spans="1:24" ht="28.5" customHeight="1" x14ac:dyDescent="0.25">
      <c r="A198" s="113"/>
      <c r="B198" s="114"/>
      <c r="C198" s="114"/>
      <c r="D198" s="114"/>
      <c r="E198" s="114"/>
      <c r="F198" s="114"/>
      <c r="G198" s="31" t="s">
        <v>21</v>
      </c>
      <c r="H198" s="31" t="s">
        <v>21</v>
      </c>
      <c r="I198" s="31" t="s">
        <v>21</v>
      </c>
      <c r="J198" s="31" t="s">
        <v>22</v>
      </c>
      <c r="K198" s="31" t="s">
        <v>22</v>
      </c>
      <c r="L198" s="31" t="s">
        <v>22</v>
      </c>
      <c r="M198" s="114"/>
      <c r="N198" s="114"/>
      <c r="O198" s="114"/>
      <c r="P198" s="114"/>
      <c r="Q198" s="31" t="s">
        <v>21</v>
      </c>
      <c r="R198" s="31" t="s">
        <v>21</v>
      </c>
      <c r="S198" s="31" t="s">
        <v>21</v>
      </c>
      <c r="T198" s="31" t="s">
        <v>22</v>
      </c>
      <c r="U198" s="31" t="s">
        <v>22</v>
      </c>
      <c r="V198" s="31" t="s">
        <v>22</v>
      </c>
      <c r="W198" s="115"/>
      <c r="X198" s="3"/>
    </row>
    <row r="199" spans="1:24" ht="15.75" x14ac:dyDescent="0.25">
      <c r="A199" s="5">
        <v>1</v>
      </c>
      <c r="B199" s="21" t="s">
        <v>212</v>
      </c>
      <c r="C199" s="20">
        <v>45738</v>
      </c>
      <c r="D199" s="20">
        <v>45809</v>
      </c>
      <c r="E199" s="21">
        <v>2</v>
      </c>
      <c r="F199" s="21">
        <v>1</v>
      </c>
      <c r="G199" s="21"/>
      <c r="H199" s="21"/>
      <c r="I199" s="21"/>
      <c r="J199" s="21">
        <v>95</v>
      </c>
      <c r="K199" s="21"/>
      <c r="L199" s="21"/>
      <c r="M199" s="21">
        <v>95</v>
      </c>
      <c r="N199" s="20">
        <v>45833</v>
      </c>
      <c r="O199" s="21">
        <v>1</v>
      </c>
      <c r="P199" s="21"/>
      <c r="Q199" s="21"/>
      <c r="R199" s="21"/>
      <c r="S199" s="21"/>
      <c r="T199" s="21">
        <v>259</v>
      </c>
      <c r="U199" s="21"/>
      <c r="V199" s="8"/>
      <c r="W199" s="22">
        <v>259</v>
      </c>
    </row>
    <row r="200" spans="1:24" ht="15.75" x14ac:dyDescent="0.25">
      <c r="A200" s="6">
        <v>2</v>
      </c>
      <c r="B200" s="21" t="s">
        <v>78</v>
      </c>
      <c r="C200" s="20">
        <v>45851</v>
      </c>
      <c r="D200" s="8" t="s">
        <v>428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</row>
    <row r="201" spans="1:24" ht="15.75" x14ac:dyDescent="0.25">
      <c r="A201" s="6">
        <v>3</v>
      </c>
      <c r="B201" s="8" t="s">
        <v>487</v>
      </c>
      <c r="C201" s="13">
        <v>46070</v>
      </c>
      <c r="D201" s="8" t="s">
        <v>428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</row>
    <row r="202" spans="1:24" ht="15.75" x14ac:dyDescent="0.25">
      <c r="A202" s="5">
        <v>4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</row>
    <row r="203" spans="1:24" ht="15.75" x14ac:dyDescent="0.25">
      <c r="A203" s="5">
        <v>5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</row>
    <row r="204" spans="1:24" ht="16.5" thickBot="1" x14ac:dyDescent="0.3">
      <c r="A204" s="7">
        <v>6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6" spans="1:24" ht="15.75" thickBot="1" x14ac:dyDescent="0.3"/>
    <row r="207" spans="1:24" ht="15.75" x14ac:dyDescent="0.25">
      <c r="A207" s="100" t="s">
        <v>2</v>
      </c>
      <c r="B207" s="101"/>
      <c r="C207" s="178" t="s">
        <v>214</v>
      </c>
      <c r="D207" s="179"/>
      <c r="E207" s="111" t="s">
        <v>401</v>
      </c>
      <c r="F207" s="112"/>
      <c r="G207" s="101" t="s">
        <v>4</v>
      </c>
      <c r="H207" s="101"/>
      <c r="I207" s="102" t="s">
        <v>208</v>
      </c>
      <c r="J207" s="102"/>
      <c r="K207" s="102"/>
      <c r="L207" s="102"/>
      <c r="M207" s="102"/>
      <c r="N207" s="102"/>
      <c r="O207" s="101" t="s">
        <v>6</v>
      </c>
      <c r="P207" s="101"/>
      <c r="Q207" s="103"/>
      <c r="R207" s="104"/>
      <c r="S207" s="104"/>
      <c r="T207" s="104"/>
      <c r="U207" s="104"/>
      <c r="V207" s="104"/>
      <c r="W207" s="105"/>
      <c r="X207" s="1"/>
    </row>
    <row r="208" spans="1:24" ht="15.75" x14ac:dyDescent="0.25">
      <c r="A208" s="106" t="s">
        <v>7</v>
      </c>
      <c r="B208" s="107"/>
      <c r="C208" s="116" t="s">
        <v>44</v>
      </c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09"/>
      <c r="P208" s="109"/>
      <c r="Q208" s="107"/>
      <c r="R208" s="107"/>
      <c r="S208" s="107"/>
      <c r="T208" s="107"/>
      <c r="U208" s="107"/>
      <c r="V208" s="107"/>
      <c r="W208" s="110"/>
      <c r="X208" s="1"/>
    </row>
    <row r="209" spans="1:24" ht="15" customHeight="1" x14ac:dyDescent="0.25">
      <c r="A209" s="113" t="s">
        <v>8</v>
      </c>
      <c r="B209" s="114" t="s">
        <v>9</v>
      </c>
      <c r="C209" s="114" t="s">
        <v>10</v>
      </c>
      <c r="D209" s="114" t="s">
        <v>11</v>
      </c>
      <c r="E209" s="114" t="s">
        <v>12</v>
      </c>
      <c r="F209" s="114" t="s">
        <v>13</v>
      </c>
      <c r="G209" s="114" t="s">
        <v>14</v>
      </c>
      <c r="H209" s="114"/>
      <c r="I209" s="114"/>
      <c r="J209" s="114"/>
      <c r="K209" s="114"/>
      <c r="L209" s="114"/>
      <c r="M209" s="114" t="s">
        <v>15</v>
      </c>
      <c r="N209" s="114" t="s">
        <v>16</v>
      </c>
      <c r="O209" s="114" t="s">
        <v>17</v>
      </c>
      <c r="P209" s="114" t="s">
        <v>18</v>
      </c>
      <c r="Q209" s="114" t="s">
        <v>19</v>
      </c>
      <c r="R209" s="114"/>
      <c r="S209" s="114"/>
      <c r="T209" s="114"/>
      <c r="U209" s="114"/>
      <c r="V209" s="114"/>
      <c r="W209" s="115" t="s">
        <v>20</v>
      </c>
      <c r="X209" s="3"/>
    </row>
    <row r="210" spans="1:24" ht="30" customHeight="1" x14ac:dyDescent="0.25">
      <c r="A210" s="113"/>
      <c r="B210" s="114"/>
      <c r="C210" s="114"/>
      <c r="D210" s="114"/>
      <c r="E210" s="114"/>
      <c r="F210" s="114"/>
      <c r="G210" s="31" t="s">
        <v>21</v>
      </c>
      <c r="H210" s="31" t="s">
        <v>21</v>
      </c>
      <c r="I210" s="31" t="s">
        <v>21</v>
      </c>
      <c r="J210" s="31" t="s">
        <v>22</v>
      </c>
      <c r="K210" s="31" t="s">
        <v>22</v>
      </c>
      <c r="L210" s="31" t="s">
        <v>22</v>
      </c>
      <c r="M210" s="114"/>
      <c r="N210" s="114"/>
      <c r="O210" s="114"/>
      <c r="P210" s="114"/>
      <c r="Q210" s="31" t="s">
        <v>21</v>
      </c>
      <c r="R210" s="31" t="s">
        <v>21</v>
      </c>
      <c r="S210" s="31" t="s">
        <v>21</v>
      </c>
      <c r="T210" s="31" t="s">
        <v>22</v>
      </c>
      <c r="U210" s="31" t="s">
        <v>22</v>
      </c>
      <c r="V210" s="31" t="s">
        <v>22</v>
      </c>
      <c r="W210" s="115"/>
      <c r="X210" s="3"/>
    </row>
    <row r="211" spans="1:24" ht="15.75" x14ac:dyDescent="0.25">
      <c r="A211" s="5">
        <v>1</v>
      </c>
      <c r="B211" s="21" t="s">
        <v>212</v>
      </c>
      <c r="C211" s="20">
        <v>45738</v>
      </c>
      <c r="D211" s="20" t="s">
        <v>209</v>
      </c>
      <c r="E211" s="8"/>
      <c r="F211" s="8"/>
      <c r="G211" s="8"/>
      <c r="H211" s="8"/>
      <c r="I211" s="8"/>
      <c r="J211" s="8"/>
      <c r="K211" s="8"/>
      <c r="L211" s="8"/>
      <c r="M211" s="8"/>
      <c r="N211" s="13"/>
      <c r="O211" s="8"/>
      <c r="P211" s="8"/>
      <c r="Q211" s="8"/>
      <c r="R211" s="8"/>
      <c r="S211" s="8"/>
      <c r="T211" s="8"/>
      <c r="U211" s="8"/>
      <c r="V211" s="8"/>
      <c r="W211" s="9"/>
    </row>
    <row r="212" spans="1:24" ht="15.75" x14ac:dyDescent="0.25">
      <c r="A212" s="6">
        <v>2</v>
      </c>
      <c r="B212" s="21" t="s">
        <v>78</v>
      </c>
      <c r="C212" s="20">
        <v>45851</v>
      </c>
      <c r="D212" s="21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</row>
    <row r="213" spans="1:24" ht="15.75" x14ac:dyDescent="0.25">
      <c r="A213" s="6">
        <v>3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</row>
    <row r="214" spans="1:24" ht="15.75" x14ac:dyDescent="0.25">
      <c r="A214" s="5">
        <v>4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</row>
    <row r="215" spans="1:24" ht="15.75" x14ac:dyDescent="0.25">
      <c r="A215" s="5">
        <v>5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</row>
    <row r="216" spans="1:24" ht="16.5" thickBot="1" x14ac:dyDescent="0.3">
      <c r="A216" s="7">
        <v>6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8" spans="1:24" ht="15.75" thickBot="1" x14ac:dyDescent="0.3"/>
    <row r="219" spans="1:24" ht="15.75" x14ac:dyDescent="0.25">
      <c r="A219" s="100" t="s">
        <v>2</v>
      </c>
      <c r="B219" s="101"/>
      <c r="C219" s="182" t="s">
        <v>215</v>
      </c>
      <c r="D219" s="183"/>
      <c r="E219" s="111" t="s">
        <v>402</v>
      </c>
      <c r="F219" s="112"/>
      <c r="G219" s="101" t="s">
        <v>4</v>
      </c>
      <c r="H219" s="101"/>
      <c r="I219" s="102" t="s">
        <v>359</v>
      </c>
      <c r="J219" s="102"/>
      <c r="K219" s="102"/>
      <c r="L219" s="102"/>
      <c r="M219" s="102"/>
      <c r="N219" s="102"/>
      <c r="O219" s="101" t="s">
        <v>6</v>
      </c>
      <c r="P219" s="101"/>
      <c r="Q219" s="103"/>
      <c r="R219" s="104"/>
      <c r="S219" s="104"/>
      <c r="T219" s="104"/>
      <c r="U219" s="104"/>
      <c r="V219" s="104"/>
      <c r="W219" s="105"/>
      <c r="X219" s="1"/>
    </row>
    <row r="220" spans="1:24" ht="15.75" x14ac:dyDescent="0.25">
      <c r="A220" s="106" t="s">
        <v>7</v>
      </c>
      <c r="B220" s="107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7"/>
      <c r="R220" s="107"/>
      <c r="S220" s="107"/>
      <c r="T220" s="107"/>
      <c r="U220" s="107"/>
      <c r="V220" s="107"/>
      <c r="W220" s="110"/>
      <c r="X220" s="1"/>
    </row>
    <row r="221" spans="1:24" ht="15" customHeight="1" x14ac:dyDescent="0.25">
      <c r="A221" s="113" t="s">
        <v>8</v>
      </c>
      <c r="B221" s="114" t="s">
        <v>9</v>
      </c>
      <c r="C221" s="114" t="s">
        <v>10</v>
      </c>
      <c r="D221" s="114" t="s">
        <v>11</v>
      </c>
      <c r="E221" s="114" t="s">
        <v>12</v>
      </c>
      <c r="F221" s="114" t="s">
        <v>13</v>
      </c>
      <c r="G221" s="114" t="s">
        <v>14</v>
      </c>
      <c r="H221" s="114"/>
      <c r="I221" s="114"/>
      <c r="J221" s="114"/>
      <c r="K221" s="114"/>
      <c r="L221" s="114"/>
      <c r="M221" s="114" t="s">
        <v>15</v>
      </c>
      <c r="N221" s="114" t="s">
        <v>16</v>
      </c>
      <c r="O221" s="114" t="s">
        <v>17</v>
      </c>
      <c r="P221" s="114" t="s">
        <v>18</v>
      </c>
      <c r="Q221" s="114" t="s">
        <v>19</v>
      </c>
      <c r="R221" s="114"/>
      <c r="S221" s="114"/>
      <c r="T221" s="114"/>
      <c r="U221" s="114"/>
      <c r="V221" s="114"/>
      <c r="W221" s="115" t="s">
        <v>20</v>
      </c>
      <c r="X221" s="3"/>
    </row>
    <row r="222" spans="1:24" ht="30" customHeight="1" x14ac:dyDescent="0.25">
      <c r="A222" s="113"/>
      <c r="B222" s="114"/>
      <c r="C222" s="114"/>
      <c r="D222" s="114"/>
      <c r="E222" s="114"/>
      <c r="F222" s="114"/>
      <c r="G222" s="31" t="s">
        <v>21</v>
      </c>
      <c r="H222" s="31" t="s">
        <v>21</v>
      </c>
      <c r="I222" s="31" t="s">
        <v>21</v>
      </c>
      <c r="J222" s="31" t="s">
        <v>22</v>
      </c>
      <c r="K222" s="31" t="s">
        <v>22</v>
      </c>
      <c r="L222" s="31" t="s">
        <v>22</v>
      </c>
      <c r="M222" s="114"/>
      <c r="N222" s="114"/>
      <c r="O222" s="114"/>
      <c r="P222" s="114"/>
      <c r="Q222" s="31" t="s">
        <v>21</v>
      </c>
      <c r="R222" s="31" t="s">
        <v>21</v>
      </c>
      <c r="S222" s="31" t="s">
        <v>21</v>
      </c>
      <c r="T222" s="31" t="s">
        <v>22</v>
      </c>
      <c r="U222" s="31" t="s">
        <v>22</v>
      </c>
      <c r="V222" s="31" t="s">
        <v>22</v>
      </c>
      <c r="W222" s="115"/>
      <c r="X222" s="3"/>
    </row>
    <row r="223" spans="1:24" ht="15.75" x14ac:dyDescent="0.25">
      <c r="A223" s="5">
        <v>1</v>
      </c>
      <c r="B223" s="14" t="s">
        <v>217</v>
      </c>
      <c r="C223" s="15">
        <v>45738</v>
      </c>
      <c r="D223" s="15">
        <v>45828</v>
      </c>
      <c r="E223" s="14">
        <v>1</v>
      </c>
      <c r="F223" s="21">
        <v>0</v>
      </c>
      <c r="G223" s="21"/>
      <c r="H223" s="21"/>
      <c r="I223" s="21"/>
      <c r="J223" s="21">
        <v>158</v>
      </c>
      <c r="K223" s="21"/>
      <c r="L223" s="21"/>
      <c r="M223" s="21">
        <v>158</v>
      </c>
      <c r="N223" s="20">
        <v>45848</v>
      </c>
      <c r="O223" s="21">
        <v>1</v>
      </c>
      <c r="P223" s="21">
        <v>0</v>
      </c>
      <c r="Q223" s="21"/>
      <c r="R223" s="21"/>
      <c r="S223" s="21"/>
      <c r="T223" s="21">
        <v>217</v>
      </c>
      <c r="U223" s="21"/>
      <c r="V223" s="21"/>
      <c r="W223" s="22">
        <v>217</v>
      </c>
    </row>
    <row r="224" spans="1:24" ht="15.75" x14ac:dyDescent="0.25">
      <c r="A224" s="6">
        <v>2</v>
      </c>
      <c r="B224" s="14" t="s">
        <v>217</v>
      </c>
      <c r="C224" s="15">
        <v>45851</v>
      </c>
      <c r="D224" s="15">
        <v>45922</v>
      </c>
      <c r="E224" s="14">
        <v>3</v>
      </c>
      <c r="F224" s="21">
        <v>0</v>
      </c>
      <c r="G224" s="21">
        <v>130</v>
      </c>
      <c r="H224" s="21"/>
      <c r="I224" s="21"/>
      <c r="J224" s="21">
        <v>157</v>
      </c>
      <c r="K224" s="21">
        <v>143</v>
      </c>
      <c r="L224" s="21"/>
      <c r="M224" s="80">
        <f>AVERAGE(G224:L224)</f>
        <v>143.33333333333334</v>
      </c>
      <c r="N224" s="20">
        <v>45944</v>
      </c>
      <c r="O224" s="21">
        <v>3</v>
      </c>
      <c r="P224" s="21">
        <v>0</v>
      </c>
      <c r="Q224" s="21">
        <v>260</v>
      </c>
      <c r="R224" s="21"/>
      <c r="S224" s="21"/>
      <c r="T224" s="21">
        <v>277</v>
      </c>
      <c r="U224" s="21">
        <v>269</v>
      </c>
      <c r="V224" s="21"/>
      <c r="W224" s="68">
        <f>AVERAGE(Q224:V224)</f>
        <v>268.66666666666669</v>
      </c>
    </row>
    <row r="225" spans="1:24" ht="15.75" x14ac:dyDescent="0.25">
      <c r="A225" s="6">
        <v>3</v>
      </c>
      <c r="B225" s="21" t="s">
        <v>217</v>
      </c>
      <c r="C225" s="13">
        <v>45950</v>
      </c>
      <c r="D225" s="20">
        <v>46021</v>
      </c>
      <c r="E225" s="21">
        <v>3</v>
      </c>
      <c r="F225" s="21">
        <v>0</v>
      </c>
      <c r="G225" s="21">
        <v>128</v>
      </c>
      <c r="H225" s="21">
        <v>118</v>
      </c>
      <c r="I225" s="21"/>
      <c r="J225" s="21">
        <v>124</v>
      </c>
      <c r="K225" s="21"/>
      <c r="L225" s="21"/>
      <c r="M225" s="80">
        <f>AVERAGE(G225:L225)</f>
        <v>123.33333333333333</v>
      </c>
      <c r="N225" s="20">
        <v>46039</v>
      </c>
      <c r="O225" s="21">
        <v>3</v>
      </c>
      <c r="P225" s="21">
        <v>0</v>
      </c>
      <c r="Q225" s="21">
        <v>225</v>
      </c>
      <c r="R225" s="21">
        <v>210</v>
      </c>
      <c r="S225" s="21"/>
      <c r="T225" s="21">
        <v>244</v>
      </c>
      <c r="U225" s="21"/>
      <c r="V225" s="21"/>
      <c r="W225" s="68">
        <f>AVERAGE(Q225:V225)</f>
        <v>226.33333333333334</v>
      </c>
    </row>
    <row r="226" spans="1:24" ht="15.75" x14ac:dyDescent="0.25">
      <c r="A226" s="5">
        <v>4</v>
      </c>
      <c r="B226" s="21" t="s">
        <v>217</v>
      </c>
      <c r="C226" s="13">
        <v>46070</v>
      </c>
      <c r="D226" s="20">
        <v>46144</v>
      </c>
      <c r="E226" s="21">
        <v>3</v>
      </c>
      <c r="F226" s="21">
        <v>0</v>
      </c>
      <c r="G226" s="21">
        <v>120</v>
      </c>
      <c r="H226" s="21">
        <v>122</v>
      </c>
      <c r="I226" s="21"/>
      <c r="J226" s="21">
        <v>115</v>
      </c>
      <c r="K226" s="21"/>
      <c r="L226" s="21"/>
      <c r="M226" s="80">
        <f>AVERAGE(G226:L226)</f>
        <v>119</v>
      </c>
      <c r="N226" s="20">
        <v>46176</v>
      </c>
      <c r="O226" s="21">
        <v>3</v>
      </c>
      <c r="P226" s="21">
        <v>0</v>
      </c>
      <c r="Q226" s="21">
        <v>259</v>
      </c>
      <c r="R226" s="21">
        <v>248</v>
      </c>
      <c r="S226" s="21"/>
      <c r="T226" s="21">
        <v>240</v>
      </c>
      <c r="U226" s="21"/>
      <c r="V226" s="21"/>
      <c r="W226" s="68">
        <f>AVERAGE(Q226:V226)</f>
        <v>249</v>
      </c>
    </row>
    <row r="227" spans="1:24" ht="15.75" x14ac:dyDescent="0.25">
      <c r="A227" s="5">
        <v>5</v>
      </c>
      <c r="B227" s="21"/>
      <c r="C227" s="8"/>
      <c r="D227" s="21"/>
      <c r="E227" s="21"/>
      <c r="F227" s="21"/>
      <c r="G227" s="21"/>
      <c r="H227" s="21"/>
      <c r="I227" s="21"/>
      <c r="J227" s="21"/>
      <c r="K227" s="21"/>
      <c r="L227" s="21"/>
      <c r="M227" s="41"/>
      <c r="N227" s="21"/>
      <c r="O227" s="21"/>
      <c r="P227" s="21"/>
      <c r="Q227" s="21"/>
      <c r="R227" s="21"/>
      <c r="S227" s="21"/>
      <c r="T227" s="21"/>
      <c r="U227" s="21"/>
      <c r="V227" s="21"/>
      <c r="W227" s="40"/>
    </row>
    <row r="228" spans="1:24" ht="16.5" thickBot="1" x14ac:dyDescent="0.3">
      <c r="A228" s="7">
        <v>6</v>
      </c>
      <c r="B228" s="37"/>
      <c r="C228" s="10"/>
      <c r="D228" s="37"/>
      <c r="E228" s="37"/>
      <c r="F228" s="37"/>
      <c r="G228" s="37"/>
      <c r="H228" s="37"/>
      <c r="I228" s="37"/>
      <c r="J228" s="37"/>
      <c r="K228" s="37"/>
      <c r="L228" s="37"/>
      <c r="M228" s="42"/>
      <c r="N228" s="37"/>
      <c r="O228" s="37"/>
      <c r="P228" s="37"/>
      <c r="Q228" s="37"/>
      <c r="R228" s="37"/>
      <c r="S228" s="37"/>
      <c r="T228" s="37"/>
      <c r="U228" s="37"/>
      <c r="V228" s="37"/>
      <c r="W228" s="43"/>
    </row>
    <row r="230" spans="1:24" ht="15.75" thickBot="1" x14ac:dyDescent="0.3"/>
    <row r="231" spans="1:24" ht="15.75" x14ac:dyDescent="0.25">
      <c r="A231" s="100" t="s">
        <v>2</v>
      </c>
      <c r="B231" s="101"/>
      <c r="C231" s="182" t="s">
        <v>245</v>
      </c>
      <c r="D231" s="183"/>
      <c r="E231" s="111" t="s">
        <v>403</v>
      </c>
      <c r="F231" s="112"/>
      <c r="G231" s="101" t="s">
        <v>4</v>
      </c>
      <c r="H231" s="101"/>
      <c r="I231" s="102" t="s">
        <v>359</v>
      </c>
      <c r="J231" s="102"/>
      <c r="K231" s="102"/>
      <c r="L231" s="102"/>
      <c r="M231" s="102"/>
      <c r="N231" s="102"/>
      <c r="O231" s="101" t="s">
        <v>6</v>
      </c>
      <c r="P231" s="101"/>
      <c r="Q231" s="103"/>
      <c r="R231" s="104"/>
      <c r="S231" s="104"/>
      <c r="T231" s="104"/>
      <c r="U231" s="104"/>
      <c r="V231" s="104"/>
      <c r="W231" s="105"/>
      <c r="X231" s="1"/>
    </row>
    <row r="232" spans="1:24" ht="15.75" x14ac:dyDescent="0.25">
      <c r="A232" s="106" t="s">
        <v>7</v>
      </c>
      <c r="B232" s="107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7"/>
      <c r="R232" s="107"/>
      <c r="S232" s="107"/>
      <c r="T232" s="107"/>
      <c r="U232" s="107"/>
      <c r="V232" s="107"/>
      <c r="W232" s="110"/>
      <c r="X232" s="1"/>
    </row>
    <row r="233" spans="1:24" ht="15" customHeight="1" x14ac:dyDescent="0.25">
      <c r="A233" s="113" t="s">
        <v>8</v>
      </c>
      <c r="B233" s="114" t="s">
        <v>9</v>
      </c>
      <c r="C233" s="114" t="s">
        <v>10</v>
      </c>
      <c r="D233" s="114" t="s">
        <v>11</v>
      </c>
      <c r="E233" s="114" t="s">
        <v>12</v>
      </c>
      <c r="F233" s="114" t="s">
        <v>13</v>
      </c>
      <c r="G233" s="114" t="s">
        <v>14</v>
      </c>
      <c r="H233" s="114"/>
      <c r="I233" s="114"/>
      <c r="J233" s="114"/>
      <c r="K233" s="114"/>
      <c r="L233" s="114"/>
      <c r="M233" s="114" t="s">
        <v>15</v>
      </c>
      <c r="N233" s="114" t="s">
        <v>16</v>
      </c>
      <c r="O233" s="114" t="s">
        <v>17</v>
      </c>
      <c r="P233" s="114" t="s">
        <v>18</v>
      </c>
      <c r="Q233" s="114" t="s">
        <v>19</v>
      </c>
      <c r="R233" s="114"/>
      <c r="S233" s="114"/>
      <c r="T233" s="114"/>
      <c r="U233" s="114"/>
      <c r="V233" s="114"/>
      <c r="W233" s="115" t="s">
        <v>20</v>
      </c>
      <c r="X233" s="3"/>
    </row>
    <row r="234" spans="1:24" ht="30" customHeight="1" x14ac:dyDescent="0.25">
      <c r="A234" s="113"/>
      <c r="B234" s="114"/>
      <c r="C234" s="114"/>
      <c r="D234" s="114"/>
      <c r="E234" s="114"/>
      <c r="F234" s="114"/>
      <c r="G234" s="31" t="s">
        <v>21</v>
      </c>
      <c r="H234" s="31" t="s">
        <v>21</v>
      </c>
      <c r="I234" s="31" t="s">
        <v>21</v>
      </c>
      <c r="J234" s="31" t="s">
        <v>22</v>
      </c>
      <c r="K234" s="31" t="s">
        <v>22</v>
      </c>
      <c r="L234" s="31" t="s">
        <v>22</v>
      </c>
      <c r="M234" s="114"/>
      <c r="N234" s="114"/>
      <c r="O234" s="114"/>
      <c r="P234" s="114"/>
      <c r="Q234" s="31" t="s">
        <v>21</v>
      </c>
      <c r="R234" s="31" t="s">
        <v>21</v>
      </c>
      <c r="S234" s="31" t="s">
        <v>21</v>
      </c>
      <c r="T234" s="31" t="s">
        <v>22</v>
      </c>
      <c r="U234" s="31" t="s">
        <v>22</v>
      </c>
      <c r="V234" s="31" t="s">
        <v>22</v>
      </c>
      <c r="W234" s="115"/>
      <c r="X234" s="3"/>
    </row>
    <row r="235" spans="1:24" ht="15.75" x14ac:dyDescent="0.25">
      <c r="A235" s="5">
        <v>1</v>
      </c>
      <c r="B235" s="14" t="s">
        <v>217</v>
      </c>
      <c r="C235" s="15">
        <v>45738</v>
      </c>
      <c r="D235" s="15">
        <v>45835</v>
      </c>
      <c r="E235" s="14">
        <v>2</v>
      </c>
      <c r="F235" s="14">
        <v>0</v>
      </c>
      <c r="G235" s="14">
        <v>154</v>
      </c>
      <c r="H235" s="14">
        <v>149</v>
      </c>
      <c r="I235" s="14"/>
      <c r="J235" s="14"/>
      <c r="K235" s="14"/>
      <c r="L235" s="14"/>
      <c r="M235" s="19">
        <f>AVERAGE(G235:L235)</f>
        <v>151.5</v>
      </c>
      <c r="N235" s="15">
        <v>45848</v>
      </c>
      <c r="O235" s="14">
        <v>2</v>
      </c>
      <c r="P235" s="14">
        <v>0</v>
      </c>
      <c r="Q235" s="14">
        <v>227</v>
      </c>
      <c r="R235" s="14">
        <v>215</v>
      </c>
      <c r="S235" s="14"/>
      <c r="T235" s="14"/>
      <c r="U235" s="8"/>
      <c r="V235" s="8"/>
      <c r="W235" s="22">
        <f>AVERAGE(Q235:V235)</f>
        <v>221</v>
      </c>
    </row>
    <row r="236" spans="1:24" ht="15.75" x14ac:dyDescent="0.25">
      <c r="A236" s="6">
        <v>2</v>
      </c>
      <c r="B236" s="14" t="s">
        <v>212</v>
      </c>
      <c r="C236" s="15">
        <v>45851</v>
      </c>
      <c r="D236" s="15">
        <v>45928</v>
      </c>
      <c r="E236" s="14">
        <v>2</v>
      </c>
      <c r="F236" s="14">
        <v>0</v>
      </c>
      <c r="G236" s="14">
        <v>154</v>
      </c>
      <c r="H236" s="14">
        <v>145</v>
      </c>
      <c r="I236" s="14"/>
      <c r="J236" s="14"/>
      <c r="K236" s="14"/>
      <c r="L236" s="14"/>
      <c r="M236" s="19">
        <f>AVERAGE(G236:L236)</f>
        <v>149.5</v>
      </c>
      <c r="N236" s="15">
        <v>45944</v>
      </c>
      <c r="O236" s="14">
        <v>2</v>
      </c>
      <c r="P236" s="14">
        <v>0</v>
      </c>
      <c r="Q236" s="14">
        <v>190</v>
      </c>
      <c r="R236" s="14">
        <v>176</v>
      </c>
      <c r="S236" s="14"/>
      <c r="T236" s="14"/>
      <c r="U236" s="8"/>
      <c r="V236" s="8"/>
      <c r="W236" s="40">
        <f>AVERAGE(Q236:V236)</f>
        <v>183</v>
      </c>
    </row>
    <row r="237" spans="1:24" ht="15.75" x14ac:dyDescent="0.25">
      <c r="A237" s="6">
        <v>3</v>
      </c>
      <c r="B237" s="8" t="s">
        <v>325</v>
      </c>
      <c r="C237" s="13">
        <v>45950</v>
      </c>
      <c r="D237" s="13">
        <v>46034</v>
      </c>
      <c r="E237" s="21">
        <v>3</v>
      </c>
      <c r="F237" s="21">
        <v>0</v>
      </c>
      <c r="G237" s="8">
        <v>120</v>
      </c>
      <c r="H237" s="8">
        <v>118</v>
      </c>
      <c r="I237" s="8"/>
      <c r="J237" s="8">
        <v>122</v>
      </c>
      <c r="K237" s="8"/>
      <c r="L237" s="8"/>
      <c r="M237" s="33">
        <f>AVERAGE(G237:L237)</f>
        <v>120</v>
      </c>
      <c r="N237" s="13">
        <v>46055</v>
      </c>
      <c r="O237" s="8">
        <v>2</v>
      </c>
      <c r="P237" s="8">
        <v>1</v>
      </c>
      <c r="Q237" s="8">
        <v>271</v>
      </c>
      <c r="R237" s="8"/>
      <c r="S237" s="8"/>
      <c r="T237" s="8">
        <v>329</v>
      </c>
      <c r="U237" s="8"/>
      <c r="V237" s="8"/>
      <c r="W237" s="40">
        <f>AVERAGE(Q237:V237)</f>
        <v>300</v>
      </c>
    </row>
    <row r="238" spans="1:24" ht="15.75" x14ac:dyDescent="0.25">
      <c r="A238" s="5">
        <v>4</v>
      </c>
      <c r="B238" s="8" t="s">
        <v>325</v>
      </c>
      <c r="C238" s="13">
        <v>46070</v>
      </c>
      <c r="D238" s="8" t="s">
        <v>428</v>
      </c>
      <c r="E238" s="8"/>
      <c r="F238" s="8"/>
      <c r="G238" s="8"/>
      <c r="H238" s="8"/>
      <c r="I238" s="8"/>
      <c r="J238" s="8"/>
      <c r="K238" s="8"/>
      <c r="L238" s="8"/>
      <c r="M238" s="33"/>
      <c r="N238" s="8"/>
      <c r="O238" s="8"/>
      <c r="P238" s="8"/>
      <c r="Q238" s="8"/>
      <c r="R238" s="8"/>
      <c r="S238" s="8"/>
      <c r="T238" s="8"/>
      <c r="U238" s="8"/>
      <c r="V238" s="8"/>
      <c r="W238" s="40"/>
    </row>
    <row r="239" spans="1:24" ht="15.75" x14ac:dyDescent="0.25">
      <c r="A239" s="5">
        <v>5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33"/>
      <c r="N239" s="8"/>
      <c r="O239" s="8"/>
      <c r="P239" s="8"/>
      <c r="Q239" s="8"/>
      <c r="R239" s="8"/>
      <c r="S239" s="8"/>
      <c r="T239" s="8"/>
      <c r="U239" s="8"/>
      <c r="V239" s="8"/>
      <c r="W239" s="40"/>
    </row>
    <row r="240" spans="1:24" ht="16.5" thickBot="1" x14ac:dyDescent="0.3">
      <c r="A240" s="7">
        <v>6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56"/>
      <c r="N240" s="10"/>
      <c r="O240" s="10"/>
      <c r="P240" s="10"/>
      <c r="Q240" s="10"/>
      <c r="R240" s="10"/>
      <c r="S240" s="10"/>
      <c r="T240" s="10"/>
      <c r="U240" s="10"/>
      <c r="V240" s="10"/>
      <c r="W240" s="43"/>
    </row>
  </sheetData>
  <mergeCells count="482">
    <mergeCell ref="A1:W1"/>
    <mergeCell ref="A2:W2"/>
    <mergeCell ref="A3:B3"/>
    <mergeCell ref="G3:H3"/>
    <mergeCell ref="I3:N3"/>
    <mergeCell ref="O3:P3"/>
    <mergeCell ref="Q3:W3"/>
    <mergeCell ref="A4:B4"/>
    <mergeCell ref="C4:N4"/>
    <mergeCell ref="O4:P4"/>
    <mergeCell ref="Q4:W4"/>
    <mergeCell ref="C3:D3"/>
    <mergeCell ref="E3:F3"/>
    <mergeCell ref="A5:A6"/>
    <mergeCell ref="B5:B6"/>
    <mergeCell ref="C5:C6"/>
    <mergeCell ref="D5:D6"/>
    <mergeCell ref="E5:E6"/>
    <mergeCell ref="F5:F6"/>
    <mergeCell ref="W5:W6"/>
    <mergeCell ref="A15:B15"/>
    <mergeCell ref="G15:H15"/>
    <mergeCell ref="I15:N15"/>
    <mergeCell ref="O15:P15"/>
    <mergeCell ref="Q15:W15"/>
    <mergeCell ref="G5:L5"/>
    <mergeCell ref="M5:M6"/>
    <mergeCell ref="N5:N6"/>
    <mergeCell ref="O5:O6"/>
    <mergeCell ref="P5:P6"/>
    <mergeCell ref="Q5:V5"/>
    <mergeCell ref="C15:D15"/>
    <mergeCell ref="E15:F15"/>
    <mergeCell ref="A16:B16"/>
    <mergeCell ref="C16:N16"/>
    <mergeCell ref="O16:P16"/>
    <mergeCell ref="Q16:W16"/>
    <mergeCell ref="A17:A18"/>
    <mergeCell ref="B17:B18"/>
    <mergeCell ref="C17:C18"/>
    <mergeCell ref="D17:D18"/>
    <mergeCell ref="E17:E18"/>
    <mergeCell ref="F17:F18"/>
    <mergeCell ref="W17:W18"/>
    <mergeCell ref="A27:B27"/>
    <mergeCell ref="G27:H27"/>
    <mergeCell ref="I27:N27"/>
    <mergeCell ref="O27:P27"/>
    <mergeCell ref="Q27:W27"/>
    <mergeCell ref="G17:L17"/>
    <mergeCell ref="M17:M18"/>
    <mergeCell ref="N17:N18"/>
    <mergeCell ref="O17:O18"/>
    <mergeCell ref="P17:P18"/>
    <mergeCell ref="Q17:V17"/>
    <mergeCell ref="C27:D27"/>
    <mergeCell ref="E27:F27"/>
    <mergeCell ref="A28:B28"/>
    <mergeCell ref="C28:N28"/>
    <mergeCell ref="O28:P28"/>
    <mergeCell ref="Q28:W28"/>
    <mergeCell ref="A29:A30"/>
    <mergeCell ref="B29:B30"/>
    <mergeCell ref="C29:C30"/>
    <mergeCell ref="D29:D30"/>
    <mergeCell ref="E29:E30"/>
    <mergeCell ref="F29:F30"/>
    <mergeCell ref="W29:W30"/>
    <mergeCell ref="A39:B39"/>
    <mergeCell ref="G39:H39"/>
    <mergeCell ref="I39:N39"/>
    <mergeCell ref="O39:P39"/>
    <mergeCell ref="Q39:W39"/>
    <mergeCell ref="G29:L29"/>
    <mergeCell ref="M29:M30"/>
    <mergeCell ref="N29:N30"/>
    <mergeCell ref="O29:O30"/>
    <mergeCell ref="P29:P30"/>
    <mergeCell ref="Q29:V29"/>
    <mergeCell ref="C39:D39"/>
    <mergeCell ref="E39:F39"/>
    <mergeCell ref="A40:B40"/>
    <mergeCell ref="C40:N40"/>
    <mergeCell ref="O40:P40"/>
    <mergeCell ref="Q40:W40"/>
    <mergeCell ref="A41:A42"/>
    <mergeCell ref="B41:B42"/>
    <mergeCell ref="C41:C42"/>
    <mergeCell ref="D41:D42"/>
    <mergeCell ref="E41:E42"/>
    <mergeCell ref="F41:F42"/>
    <mergeCell ref="W41:W42"/>
    <mergeCell ref="A51:B51"/>
    <mergeCell ref="G51:H51"/>
    <mergeCell ref="I51:N51"/>
    <mergeCell ref="O51:P51"/>
    <mergeCell ref="Q51:W51"/>
    <mergeCell ref="G41:L41"/>
    <mergeCell ref="M41:M42"/>
    <mergeCell ref="N41:N42"/>
    <mergeCell ref="O41:O42"/>
    <mergeCell ref="P41:P42"/>
    <mergeCell ref="Q41:V41"/>
    <mergeCell ref="C51:D51"/>
    <mergeCell ref="E51:F51"/>
    <mergeCell ref="A52:B52"/>
    <mergeCell ref="C52:N52"/>
    <mergeCell ref="O52:P52"/>
    <mergeCell ref="Q52:W52"/>
    <mergeCell ref="A53:A54"/>
    <mergeCell ref="B53:B54"/>
    <mergeCell ref="C53:C54"/>
    <mergeCell ref="D53:D54"/>
    <mergeCell ref="E53:E54"/>
    <mergeCell ref="F53:F54"/>
    <mergeCell ref="W53:W54"/>
    <mergeCell ref="A63:B63"/>
    <mergeCell ref="G63:H63"/>
    <mergeCell ref="I63:N63"/>
    <mergeCell ref="O63:P63"/>
    <mergeCell ref="Q63:W63"/>
    <mergeCell ref="G53:L53"/>
    <mergeCell ref="M53:M54"/>
    <mergeCell ref="N53:N54"/>
    <mergeCell ref="O53:O54"/>
    <mergeCell ref="P53:P54"/>
    <mergeCell ref="Q53:V53"/>
    <mergeCell ref="C63:D63"/>
    <mergeCell ref="E63:F63"/>
    <mergeCell ref="A64:B64"/>
    <mergeCell ref="C64:N64"/>
    <mergeCell ref="O64:P64"/>
    <mergeCell ref="Q64:W64"/>
    <mergeCell ref="A65:A66"/>
    <mergeCell ref="B65:B66"/>
    <mergeCell ref="C65:C66"/>
    <mergeCell ref="D65:D66"/>
    <mergeCell ref="E65:E66"/>
    <mergeCell ref="F65:F66"/>
    <mergeCell ref="W65:W66"/>
    <mergeCell ref="A75:B75"/>
    <mergeCell ref="G75:H75"/>
    <mergeCell ref="I75:N75"/>
    <mergeCell ref="O75:P75"/>
    <mergeCell ref="Q75:W75"/>
    <mergeCell ref="G65:L65"/>
    <mergeCell ref="M65:M66"/>
    <mergeCell ref="N65:N66"/>
    <mergeCell ref="O65:O66"/>
    <mergeCell ref="P65:P66"/>
    <mergeCell ref="Q65:V65"/>
    <mergeCell ref="C75:D75"/>
    <mergeCell ref="E75:F75"/>
    <mergeCell ref="A76:B76"/>
    <mergeCell ref="C76:N76"/>
    <mergeCell ref="O76:P76"/>
    <mergeCell ref="Q76:W76"/>
    <mergeCell ref="A77:A78"/>
    <mergeCell ref="B77:B78"/>
    <mergeCell ref="C77:C78"/>
    <mergeCell ref="D77:D78"/>
    <mergeCell ref="E77:E78"/>
    <mergeCell ref="F77:F78"/>
    <mergeCell ref="W77:W78"/>
    <mergeCell ref="A87:B87"/>
    <mergeCell ref="G87:H87"/>
    <mergeCell ref="I87:N87"/>
    <mergeCell ref="O87:P87"/>
    <mergeCell ref="Q87:W87"/>
    <mergeCell ref="G77:L77"/>
    <mergeCell ref="M77:M78"/>
    <mergeCell ref="N77:N78"/>
    <mergeCell ref="O77:O78"/>
    <mergeCell ref="P77:P78"/>
    <mergeCell ref="Q77:V77"/>
    <mergeCell ref="C87:D87"/>
    <mergeCell ref="E87:F87"/>
    <mergeCell ref="A88:B88"/>
    <mergeCell ref="C88:N88"/>
    <mergeCell ref="O88:P88"/>
    <mergeCell ref="Q88:W88"/>
    <mergeCell ref="A89:A90"/>
    <mergeCell ref="B89:B90"/>
    <mergeCell ref="C89:C90"/>
    <mergeCell ref="D89:D90"/>
    <mergeCell ref="E89:E90"/>
    <mergeCell ref="F89:F90"/>
    <mergeCell ref="W89:W90"/>
    <mergeCell ref="A99:B99"/>
    <mergeCell ref="G99:H99"/>
    <mergeCell ref="I99:N99"/>
    <mergeCell ref="O99:P99"/>
    <mergeCell ref="Q99:W99"/>
    <mergeCell ref="G89:L89"/>
    <mergeCell ref="M89:M90"/>
    <mergeCell ref="N89:N90"/>
    <mergeCell ref="O89:O90"/>
    <mergeCell ref="P89:P90"/>
    <mergeCell ref="Q89:V89"/>
    <mergeCell ref="C99:D99"/>
    <mergeCell ref="E99:F99"/>
    <mergeCell ref="A100:B100"/>
    <mergeCell ref="C100:N100"/>
    <mergeCell ref="O100:P100"/>
    <mergeCell ref="Q100:W100"/>
    <mergeCell ref="A101:A102"/>
    <mergeCell ref="B101:B102"/>
    <mergeCell ref="C101:C102"/>
    <mergeCell ref="D101:D102"/>
    <mergeCell ref="E101:E102"/>
    <mergeCell ref="F101:F102"/>
    <mergeCell ref="W101:W102"/>
    <mergeCell ref="A111:B111"/>
    <mergeCell ref="G111:H111"/>
    <mergeCell ref="I111:N111"/>
    <mergeCell ref="O111:P111"/>
    <mergeCell ref="Q111:W111"/>
    <mergeCell ref="G101:L101"/>
    <mergeCell ref="M101:M102"/>
    <mergeCell ref="N101:N102"/>
    <mergeCell ref="O101:O102"/>
    <mergeCell ref="P101:P102"/>
    <mergeCell ref="Q101:V101"/>
    <mergeCell ref="C111:D111"/>
    <mergeCell ref="E111:F111"/>
    <mergeCell ref="A112:B112"/>
    <mergeCell ref="C112:N112"/>
    <mergeCell ref="O112:P112"/>
    <mergeCell ref="Q112:W112"/>
    <mergeCell ref="A113:A114"/>
    <mergeCell ref="B113:B114"/>
    <mergeCell ref="C113:C114"/>
    <mergeCell ref="D113:D114"/>
    <mergeCell ref="E113:E114"/>
    <mergeCell ref="F113:F114"/>
    <mergeCell ref="W113:W114"/>
    <mergeCell ref="A123:B123"/>
    <mergeCell ref="G123:H123"/>
    <mergeCell ref="I123:N123"/>
    <mergeCell ref="O123:P123"/>
    <mergeCell ref="Q123:W123"/>
    <mergeCell ref="G113:L113"/>
    <mergeCell ref="M113:M114"/>
    <mergeCell ref="N113:N114"/>
    <mergeCell ref="O113:O114"/>
    <mergeCell ref="P113:P114"/>
    <mergeCell ref="Q113:V113"/>
    <mergeCell ref="C123:D123"/>
    <mergeCell ref="E123:F123"/>
    <mergeCell ref="A124:B124"/>
    <mergeCell ref="C124:N124"/>
    <mergeCell ref="O124:P124"/>
    <mergeCell ref="Q124:W124"/>
    <mergeCell ref="A125:A126"/>
    <mergeCell ref="B125:B126"/>
    <mergeCell ref="C125:C126"/>
    <mergeCell ref="D125:D126"/>
    <mergeCell ref="E125:E126"/>
    <mergeCell ref="F125:F126"/>
    <mergeCell ref="W125:W126"/>
    <mergeCell ref="A135:B135"/>
    <mergeCell ref="G135:H135"/>
    <mergeCell ref="I135:N135"/>
    <mergeCell ref="O135:P135"/>
    <mergeCell ref="Q135:W135"/>
    <mergeCell ref="G125:L125"/>
    <mergeCell ref="M125:M126"/>
    <mergeCell ref="N125:N126"/>
    <mergeCell ref="O125:O126"/>
    <mergeCell ref="P125:P126"/>
    <mergeCell ref="Q125:V125"/>
    <mergeCell ref="C135:D135"/>
    <mergeCell ref="E135:F135"/>
    <mergeCell ref="A136:B136"/>
    <mergeCell ref="C136:N136"/>
    <mergeCell ref="O136:P136"/>
    <mergeCell ref="Q136:W136"/>
    <mergeCell ref="A137:A138"/>
    <mergeCell ref="B137:B138"/>
    <mergeCell ref="C137:C138"/>
    <mergeCell ref="D137:D138"/>
    <mergeCell ref="E137:E138"/>
    <mergeCell ref="F137:F138"/>
    <mergeCell ref="W137:W138"/>
    <mergeCell ref="A147:B147"/>
    <mergeCell ref="G147:H147"/>
    <mergeCell ref="I147:N147"/>
    <mergeCell ref="O147:P147"/>
    <mergeCell ref="Q147:W147"/>
    <mergeCell ref="G137:L137"/>
    <mergeCell ref="M137:M138"/>
    <mergeCell ref="N137:N138"/>
    <mergeCell ref="O137:O138"/>
    <mergeCell ref="P137:P138"/>
    <mergeCell ref="Q137:V137"/>
    <mergeCell ref="C147:D147"/>
    <mergeCell ref="E147:F147"/>
    <mergeCell ref="A148:B148"/>
    <mergeCell ref="C148:N148"/>
    <mergeCell ref="O148:P148"/>
    <mergeCell ref="Q148:W148"/>
    <mergeCell ref="A149:A150"/>
    <mergeCell ref="B149:B150"/>
    <mergeCell ref="C149:C150"/>
    <mergeCell ref="D149:D150"/>
    <mergeCell ref="E149:E150"/>
    <mergeCell ref="F149:F150"/>
    <mergeCell ref="W149:W150"/>
    <mergeCell ref="A159:B159"/>
    <mergeCell ref="G159:H159"/>
    <mergeCell ref="I159:N159"/>
    <mergeCell ref="O159:P159"/>
    <mergeCell ref="Q159:W159"/>
    <mergeCell ref="G149:L149"/>
    <mergeCell ref="M149:M150"/>
    <mergeCell ref="N149:N150"/>
    <mergeCell ref="O149:O150"/>
    <mergeCell ref="P149:P150"/>
    <mergeCell ref="Q149:V149"/>
    <mergeCell ref="C159:D159"/>
    <mergeCell ref="E159:F159"/>
    <mergeCell ref="A160:B160"/>
    <mergeCell ref="C160:N160"/>
    <mergeCell ref="O160:P160"/>
    <mergeCell ref="Q160:W160"/>
    <mergeCell ref="A161:A162"/>
    <mergeCell ref="B161:B162"/>
    <mergeCell ref="C161:C162"/>
    <mergeCell ref="D161:D162"/>
    <mergeCell ref="E161:E162"/>
    <mergeCell ref="F161:F162"/>
    <mergeCell ref="W161:W162"/>
    <mergeCell ref="A171:B171"/>
    <mergeCell ref="G171:H171"/>
    <mergeCell ref="I171:N171"/>
    <mergeCell ref="O171:P171"/>
    <mergeCell ref="Q171:W171"/>
    <mergeCell ref="G161:L161"/>
    <mergeCell ref="M161:M162"/>
    <mergeCell ref="N161:N162"/>
    <mergeCell ref="O161:O162"/>
    <mergeCell ref="P161:P162"/>
    <mergeCell ref="Q161:V161"/>
    <mergeCell ref="C171:D171"/>
    <mergeCell ref="E171:F171"/>
    <mergeCell ref="A172:B172"/>
    <mergeCell ref="C172:N172"/>
    <mergeCell ref="O172:P172"/>
    <mergeCell ref="Q172:W172"/>
    <mergeCell ref="A173:A174"/>
    <mergeCell ref="B173:B174"/>
    <mergeCell ref="C173:C174"/>
    <mergeCell ref="D173:D174"/>
    <mergeCell ref="E173:E174"/>
    <mergeCell ref="F173:F174"/>
    <mergeCell ref="W173:W174"/>
    <mergeCell ref="A183:B183"/>
    <mergeCell ref="G183:H183"/>
    <mergeCell ref="I183:N183"/>
    <mergeCell ref="O183:P183"/>
    <mergeCell ref="Q183:W183"/>
    <mergeCell ref="G173:L173"/>
    <mergeCell ref="M173:M174"/>
    <mergeCell ref="N173:N174"/>
    <mergeCell ref="O173:O174"/>
    <mergeCell ref="P173:P174"/>
    <mergeCell ref="Q173:V173"/>
    <mergeCell ref="C183:D183"/>
    <mergeCell ref="E183:F183"/>
    <mergeCell ref="A184:B184"/>
    <mergeCell ref="C184:N184"/>
    <mergeCell ref="O184:P184"/>
    <mergeCell ref="Q184:W184"/>
    <mergeCell ref="A185:A186"/>
    <mergeCell ref="B185:B186"/>
    <mergeCell ref="C185:C186"/>
    <mergeCell ref="D185:D186"/>
    <mergeCell ref="E185:E186"/>
    <mergeCell ref="F185:F186"/>
    <mergeCell ref="W185:W186"/>
    <mergeCell ref="A195:B195"/>
    <mergeCell ref="G195:H195"/>
    <mergeCell ref="I195:N195"/>
    <mergeCell ref="O195:P195"/>
    <mergeCell ref="Q195:W195"/>
    <mergeCell ref="G185:L185"/>
    <mergeCell ref="M185:M186"/>
    <mergeCell ref="N185:N186"/>
    <mergeCell ref="O185:O186"/>
    <mergeCell ref="P185:P186"/>
    <mergeCell ref="Q185:V185"/>
    <mergeCell ref="C195:D195"/>
    <mergeCell ref="E195:F195"/>
    <mergeCell ref="A196:B196"/>
    <mergeCell ref="C196:N196"/>
    <mergeCell ref="O196:P196"/>
    <mergeCell ref="Q196:W196"/>
    <mergeCell ref="A197:A198"/>
    <mergeCell ref="B197:B198"/>
    <mergeCell ref="C197:C198"/>
    <mergeCell ref="D197:D198"/>
    <mergeCell ref="E197:E198"/>
    <mergeCell ref="F197:F198"/>
    <mergeCell ref="W197:W198"/>
    <mergeCell ref="A207:B207"/>
    <mergeCell ref="G207:H207"/>
    <mergeCell ref="I207:N207"/>
    <mergeCell ref="O207:P207"/>
    <mergeCell ref="Q207:W207"/>
    <mergeCell ref="G197:L197"/>
    <mergeCell ref="M197:M198"/>
    <mergeCell ref="N197:N198"/>
    <mergeCell ref="O197:O198"/>
    <mergeCell ref="P197:P198"/>
    <mergeCell ref="Q197:V197"/>
    <mergeCell ref="C207:D207"/>
    <mergeCell ref="E207:F207"/>
    <mergeCell ref="A208:B208"/>
    <mergeCell ref="C208:N208"/>
    <mergeCell ref="O208:P208"/>
    <mergeCell ref="Q208:W208"/>
    <mergeCell ref="A209:A210"/>
    <mergeCell ref="B209:B210"/>
    <mergeCell ref="C209:C210"/>
    <mergeCell ref="D209:D210"/>
    <mergeCell ref="E209:E210"/>
    <mergeCell ref="F209:F210"/>
    <mergeCell ref="W209:W210"/>
    <mergeCell ref="A219:B219"/>
    <mergeCell ref="G219:H219"/>
    <mergeCell ref="I219:N219"/>
    <mergeCell ref="O219:P219"/>
    <mergeCell ref="Q219:W219"/>
    <mergeCell ref="G209:L209"/>
    <mergeCell ref="M209:M210"/>
    <mergeCell ref="N209:N210"/>
    <mergeCell ref="O209:O210"/>
    <mergeCell ref="P209:P210"/>
    <mergeCell ref="Q209:V209"/>
    <mergeCell ref="C219:D219"/>
    <mergeCell ref="E219:F219"/>
    <mergeCell ref="A220:B220"/>
    <mergeCell ref="C220:N220"/>
    <mergeCell ref="O220:P220"/>
    <mergeCell ref="Q220:W220"/>
    <mergeCell ref="A221:A222"/>
    <mergeCell ref="B221:B222"/>
    <mergeCell ref="C221:C222"/>
    <mergeCell ref="D221:D222"/>
    <mergeCell ref="E221:E222"/>
    <mergeCell ref="F221:F222"/>
    <mergeCell ref="W221:W222"/>
    <mergeCell ref="A231:B231"/>
    <mergeCell ref="G231:H231"/>
    <mergeCell ref="I231:N231"/>
    <mergeCell ref="O231:P231"/>
    <mergeCell ref="Q231:W231"/>
    <mergeCell ref="G221:L221"/>
    <mergeCell ref="M221:M222"/>
    <mergeCell ref="N221:N222"/>
    <mergeCell ref="O221:O222"/>
    <mergeCell ref="P221:P222"/>
    <mergeCell ref="Q221:V221"/>
    <mergeCell ref="C231:D231"/>
    <mergeCell ref="E231:F231"/>
    <mergeCell ref="W233:W234"/>
    <mergeCell ref="G233:L233"/>
    <mergeCell ref="M233:M234"/>
    <mergeCell ref="N233:N234"/>
    <mergeCell ref="O233:O234"/>
    <mergeCell ref="P233:P234"/>
    <mergeCell ref="Q233:V233"/>
    <mergeCell ref="A232:B232"/>
    <mergeCell ref="C232:N232"/>
    <mergeCell ref="O232:P232"/>
    <mergeCell ref="Q232:W232"/>
    <mergeCell ref="A233:A234"/>
    <mergeCell ref="B233:B234"/>
    <mergeCell ref="C233:C234"/>
    <mergeCell ref="D233:D234"/>
    <mergeCell ref="E233:E234"/>
    <mergeCell ref="F233:F23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3A69-8699-4786-8E33-534D50732A5E}">
  <dimension ref="A1:X230"/>
  <sheetViews>
    <sheetView topLeftCell="A214" workbookViewId="0">
      <selection activeCell="C183" sqref="C183:D183"/>
    </sheetView>
  </sheetViews>
  <sheetFormatPr baseColWidth="10" defaultColWidth="11.42578125" defaultRowHeight="15" x14ac:dyDescent="0.25"/>
  <cols>
    <col min="1" max="1" width="7.5703125" customWidth="1"/>
    <col min="2" max="2" width="12.28515625" customWidth="1"/>
    <col min="3" max="4" width="12.5703125" bestFit="1" customWidth="1"/>
    <col min="5" max="5" width="11.140625" customWidth="1"/>
    <col min="6" max="6" width="13.140625" customWidth="1"/>
    <col min="7" max="7" width="5.28515625" customWidth="1"/>
    <col min="8" max="8" width="5.140625" customWidth="1"/>
    <col min="9" max="9" width="5.28515625" customWidth="1"/>
    <col min="10" max="12" width="5" customWidth="1"/>
    <col min="13" max="13" width="9.5703125" customWidth="1"/>
    <col min="14" max="14" width="12.5703125" bestFit="1" customWidth="1"/>
    <col min="15" max="15" width="9.5703125" customWidth="1"/>
    <col min="16" max="16" width="10.7109375" customWidth="1"/>
    <col min="17" max="17" width="5.28515625" customWidth="1"/>
    <col min="18" max="18" width="5.140625" customWidth="1"/>
    <col min="19" max="19" width="5" customWidth="1"/>
    <col min="20" max="20" width="5.140625" customWidth="1"/>
    <col min="21" max="21" width="4.85546875" customWidth="1"/>
    <col min="22" max="22" width="5.28515625" customWidth="1"/>
  </cols>
  <sheetData>
    <row r="1" spans="1:24" s="4" customFormat="1" ht="20.100000000000001" customHeight="1" x14ac:dyDescent="0.3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s="2" customFormat="1" ht="30" customHeight="1" thickBot="1" x14ac:dyDescent="0.3">
      <c r="A2" s="99" t="s">
        <v>1</v>
      </c>
      <c r="B2" s="99"/>
      <c r="C2" s="164"/>
      <c r="D2" s="164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4" ht="20.100000000000001" customHeight="1" x14ac:dyDescent="0.25">
      <c r="A3" s="156" t="s">
        <v>2</v>
      </c>
      <c r="B3" s="157"/>
      <c r="C3" s="196" t="s">
        <v>221</v>
      </c>
      <c r="D3" s="196"/>
      <c r="E3" s="158" t="s">
        <v>402</v>
      </c>
      <c r="F3" s="112"/>
      <c r="G3" s="103" t="s">
        <v>4</v>
      </c>
      <c r="H3" s="157"/>
      <c r="I3" s="111" t="s">
        <v>359</v>
      </c>
      <c r="J3" s="158"/>
      <c r="K3" s="158"/>
      <c r="L3" s="158"/>
      <c r="M3" s="158"/>
      <c r="N3" s="112"/>
      <c r="O3" s="103" t="s">
        <v>6</v>
      </c>
      <c r="P3" s="157"/>
      <c r="Q3" s="103"/>
      <c r="R3" s="104"/>
      <c r="S3" s="104"/>
      <c r="T3" s="104"/>
      <c r="U3" s="104"/>
      <c r="V3" s="104"/>
      <c r="W3" s="105"/>
      <c r="X3" s="1"/>
    </row>
    <row r="4" spans="1:24" ht="20.100000000000001" customHeight="1" x14ac:dyDescent="0.25">
      <c r="A4" s="144" t="s">
        <v>7</v>
      </c>
      <c r="B4" s="145"/>
      <c r="C4" s="135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7"/>
      <c r="O4" s="135"/>
      <c r="P4" s="137"/>
      <c r="Q4" s="149"/>
      <c r="R4" s="150"/>
      <c r="S4" s="150"/>
      <c r="T4" s="150"/>
      <c r="U4" s="150"/>
      <c r="V4" s="150"/>
      <c r="W4" s="151"/>
      <c r="X4" s="1"/>
    </row>
    <row r="5" spans="1:24" ht="24.95" customHeight="1" x14ac:dyDescent="0.25">
      <c r="A5" s="152" t="s">
        <v>8</v>
      </c>
      <c r="B5" s="138" t="s">
        <v>9</v>
      </c>
      <c r="C5" s="138" t="s">
        <v>10</v>
      </c>
      <c r="D5" s="138" t="s">
        <v>11</v>
      </c>
      <c r="E5" s="138" t="s">
        <v>12</v>
      </c>
      <c r="F5" s="138" t="s">
        <v>13</v>
      </c>
      <c r="G5" s="140" t="s">
        <v>14</v>
      </c>
      <c r="H5" s="141"/>
      <c r="I5" s="141"/>
      <c r="J5" s="141"/>
      <c r="K5" s="141"/>
      <c r="L5" s="142"/>
      <c r="M5" s="138" t="s">
        <v>15</v>
      </c>
      <c r="N5" s="138" t="s">
        <v>16</v>
      </c>
      <c r="O5" s="138" t="s">
        <v>17</v>
      </c>
      <c r="P5" s="138" t="s">
        <v>18</v>
      </c>
      <c r="Q5" s="140" t="s">
        <v>19</v>
      </c>
      <c r="R5" s="141"/>
      <c r="S5" s="141"/>
      <c r="T5" s="141"/>
      <c r="U5" s="141"/>
      <c r="V5" s="142"/>
      <c r="W5" s="154" t="s">
        <v>20</v>
      </c>
      <c r="X5" s="3"/>
    </row>
    <row r="6" spans="1:24" ht="24.95" customHeight="1" x14ac:dyDescent="0.25">
      <c r="A6" s="153"/>
      <c r="B6" s="139"/>
      <c r="C6" s="139"/>
      <c r="D6" s="139"/>
      <c r="E6" s="139"/>
      <c r="F6" s="139"/>
      <c r="G6" s="31" t="s">
        <v>21</v>
      </c>
      <c r="H6" s="31" t="s">
        <v>21</v>
      </c>
      <c r="I6" s="31" t="s">
        <v>21</v>
      </c>
      <c r="J6" s="31" t="s">
        <v>22</v>
      </c>
      <c r="K6" s="31" t="s">
        <v>22</v>
      </c>
      <c r="L6" s="31" t="s">
        <v>22</v>
      </c>
      <c r="M6" s="139"/>
      <c r="N6" s="139"/>
      <c r="O6" s="139"/>
      <c r="P6" s="139"/>
      <c r="Q6" s="31" t="s">
        <v>21</v>
      </c>
      <c r="R6" s="31" t="s">
        <v>21</v>
      </c>
      <c r="S6" s="31" t="s">
        <v>21</v>
      </c>
      <c r="T6" s="31" t="s">
        <v>22</v>
      </c>
      <c r="U6" s="31" t="s">
        <v>22</v>
      </c>
      <c r="V6" s="31" t="s">
        <v>22</v>
      </c>
      <c r="W6" s="155"/>
      <c r="X6" s="3"/>
    </row>
    <row r="7" spans="1:24" ht="17.25" customHeight="1" x14ac:dyDescent="0.25">
      <c r="A7" s="5">
        <v>1</v>
      </c>
      <c r="B7" s="8" t="s">
        <v>217</v>
      </c>
      <c r="C7" s="13">
        <v>45738</v>
      </c>
      <c r="D7" s="20">
        <v>45817</v>
      </c>
      <c r="E7" s="21">
        <v>2</v>
      </c>
      <c r="F7" s="21">
        <v>0</v>
      </c>
      <c r="G7" s="21">
        <v>114</v>
      </c>
      <c r="H7" s="21"/>
      <c r="I7" s="21"/>
      <c r="J7" s="21">
        <v>119</v>
      </c>
      <c r="K7" s="21"/>
      <c r="L7" s="21"/>
      <c r="M7" s="80">
        <f>AVERAGE(G7:L7)</f>
        <v>116.5</v>
      </c>
      <c r="N7" s="20">
        <v>45833</v>
      </c>
      <c r="O7" s="21">
        <v>2</v>
      </c>
      <c r="P7" s="21">
        <v>0</v>
      </c>
      <c r="Q7" s="21">
        <v>164</v>
      </c>
      <c r="R7" s="21"/>
      <c r="S7" s="21"/>
      <c r="T7" s="21">
        <v>220</v>
      </c>
      <c r="U7" s="21"/>
      <c r="V7" s="21"/>
      <c r="W7" s="22">
        <f>AVERAGE(Q7:V7)</f>
        <v>192</v>
      </c>
    </row>
    <row r="8" spans="1:24" ht="15.75" customHeight="1" x14ac:dyDescent="0.25">
      <c r="A8" s="6">
        <v>2</v>
      </c>
      <c r="B8" s="8" t="s">
        <v>217</v>
      </c>
      <c r="C8" s="13">
        <v>45851</v>
      </c>
      <c r="D8" s="20">
        <v>45931</v>
      </c>
      <c r="E8" s="21">
        <v>3</v>
      </c>
      <c r="F8" s="21">
        <v>0</v>
      </c>
      <c r="G8" s="21">
        <v>98</v>
      </c>
      <c r="H8" s="21">
        <v>115</v>
      </c>
      <c r="I8" s="21">
        <v>95</v>
      </c>
      <c r="J8" s="21"/>
      <c r="K8" s="21"/>
      <c r="L8" s="21"/>
      <c r="M8" s="80">
        <f>AVERAGE(G8:L8)</f>
        <v>102.66666666666667</v>
      </c>
      <c r="N8" s="20">
        <v>45944</v>
      </c>
      <c r="O8" s="21">
        <v>2</v>
      </c>
      <c r="P8" s="21">
        <v>1</v>
      </c>
      <c r="Q8" s="21">
        <v>151</v>
      </c>
      <c r="R8" s="21">
        <v>182</v>
      </c>
      <c r="S8" s="21"/>
      <c r="T8" s="21"/>
      <c r="U8" s="21"/>
      <c r="V8" s="21"/>
      <c r="W8" s="22">
        <f>AVERAGE(Q8:V8)</f>
        <v>166.5</v>
      </c>
    </row>
    <row r="9" spans="1:24" ht="14.25" customHeight="1" x14ac:dyDescent="0.25">
      <c r="A9" s="6">
        <v>3</v>
      </c>
      <c r="B9" s="8" t="s">
        <v>217</v>
      </c>
      <c r="C9" s="13">
        <v>45950</v>
      </c>
      <c r="D9" s="20">
        <v>46029</v>
      </c>
      <c r="E9" s="21">
        <v>4</v>
      </c>
      <c r="F9" s="21">
        <v>2</v>
      </c>
      <c r="G9" s="21">
        <v>120</v>
      </c>
      <c r="H9" s="21">
        <v>125</v>
      </c>
      <c r="I9" s="21"/>
      <c r="J9" s="21"/>
      <c r="K9" s="21"/>
      <c r="L9" s="21"/>
      <c r="M9" s="80">
        <f>AVERAGE(G9:L9)</f>
        <v>122.5</v>
      </c>
      <c r="N9" s="20">
        <v>46055</v>
      </c>
      <c r="O9" s="21">
        <v>2</v>
      </c>
      <c r="P9" s="21">
        <v>0</v>
      </c>
      <c r="Q9" s="21">
        <v>249</v>
      </c>
      <c r="R9" s="21">
        <v>243</v>
      </c>
      <c r="S9" s="21"/>
      <c r="T9" s="21"/>
      <c r="U9" s="21"/>
      <c r="V9" s="21"/>
      <c r="W9" s="22">
        <f>AVERAGE(Q9:V9)</f>
        <v>246</v>
      </c>
    </row>
    <row r="10" spans="1:24" ht="15" customHeight="1" x14ac:dyDescent="0.25">
      <c r="A10" s="5">
        <v>4</v>
      </c>
      <c r="B10" s="8" t="s">
        <v>217</v>
      </c>
      <c r="C10" s="13">
        <v>46070</v>
      </c>
      <c r="D10" s="20">
        <v>46143</v>
      </c>
      <c r="E10" s="21">
        <v>3</v>
      </c>
      <c r="F10" s="21">
        <v>0</v>
      </c>
      <c r="G10" s="21">
        <v>120</v>
      </c>
      <c r="H10" s="21">
        <v>117</v>
      </c>
      <c r="I10" s="21"/>
      <c r="J10" s="21">
        <v>114</v>
      </c>
      <c r="K10" s="21"/>
      <c r="L10" s="21"/>
      <c r="M10" s="80">
        <f>AVERAGE(G10:L10)</f>
        <v>117</v>
      </c>
      <c r="N10" s="20">
        <v>46176</v>
      </c>
      <c r="O10" s="21">
        <v>2</v>
      </c>
      <c r="P10" s="21">
        <v>1</v>
      </c>
      <c r="Q10" s="21">
        <v>240</v>
      </c>
      <c r="R10" s="21">
        <v>248</v>
      </c>
      <c r="S10" s="21"/>
      <c r="T10" s="21"/>
      <c r="U10" s="21"/>
      <c r="V10" s="21"/>
      <c r="W10" s="22">
        <f>AVERAGE(Q10:V10)</f>
        <v>244</v>
      </c>
    </row>
    <row r="11" spans="1:24" ht="15.75" customHeight="1" x14ac:dyDescent="0.25">
      <c r="A11" s="5">
        <v>5</v>
      </c>
      <c r="B11" s="8"/>
      <c r="C11" s="8"/>
      <c r="D11" s="21"/>
      <c r="E11" s="21"/>
      <c r="F11" s="21"/>
      <c r="G11" s="21"/>
      <c r="H11" s="21"/>
      <c r="I11" s="21"/>
      <c r="J11" s="21"/>
      <c r="K11" s="21"/>
      <c r="L11" s="21"/>
      <c r="M11" s="41"/>
      <c r="N11" s="21"/>
      <c r="O11" s="21"/>
      <c r="P11" s="21"/>
      <c r="Q11" s="21"/>
      <c r="R11" s="21"/>
      <c r="S11" s="21"/>
      <c r="T11" s="21"/>
      <c r="U11" s="21"/>
      <c r="V11" s="21"/>
      <c r="W11" s="22"/>
    </row>
    <row r="12" spans="1:24" ht="14.25" customHeight="1" thickBot="1" x14ac:dyDescent="0.3">
      <c r="A12" s="7">
        <v>6</v>
      </c>
      <c r="B12" s="10"/>
      <c r="C12" s="10"/>
      <c r="D12" s="37"/>
      <c r="E12" s="37"/>
      <c r="F12" s="37"/>
      <c r="G12" s="37"/>
      <c r="H12" s="37"/>
      <c r="I12" s="37"/>
      <c r="J12" s="37"/>
      <c r="K12" s="37"/>
      <c r="L12" s="37"/>
      <c r="M12" s="42"/>
      <c r="N12" s="37"/>
      <c r="O12" s="37"/>
      <c r="P12" s="37"/>
      <c r="Q12" s="37"/>
      <c r="R12" s="37"/>
      <c r="S12" s="37"/>
      <c r="T12" s="37"/>
      <c r="U12" s="37"/>
      <c r="V12" s="37"/>
      <c r="W12" s="39"/>
    </row>
    <row r="13" spans="1:24" ht="20.100000000000001" customHeight="1" x14ac:dyDescent="0.25"/>
    <row r="14" spans="1:24" ht="20.100000000000001" customHeight="1" thickBot="1" x14ac:dyDescent="0.3"/>
    <row r="15" spans="1:24" ht="20.100000000000001" customHeight="1" x14ac:dyDescent="0.25">
      <c r="A15" s="156" t="s">
        <v>2</v>
      </c>
      <c r="B15" s="157"/>
      <c r="C15" s="178" t="s">
        <v>222</v>
      </c>
      <c r="D15" s="197"/>
      <c r="E15" s="109" t="s">
        <v>402</v>
      </c>
      <c r="F15" s="109"/>
      <c r="G15" s="103" t="s">
        <v>4</v>
      </c>
      <c r="H15" s="157"/>
      <c r="I15" s="111" t="s">
        <v>359</v>
      </c>
      <c r="J15" s="158"/>
      <c r="K15" s="158"/>
      <c r="L15" s="158"/>
      <c r="M15" s="158"/>
      <c r="N15" s="112"/>
      <c r="O15" s="103" t="s">
        <v>6</v>
      </c>
      <c r="P15" s="157"/>
      <c r="Q15" s="103"/>
      <c r="R15" s="104"/>
      <c r="S15" s="104"/>
      <c r="T15" s="104"/>
      <c r="U15" s="104"/>
      <c r="V15" s="104"/>
      <c r="W15" s="105"/>
      <c r="X15" s="1"/>
    </row>
    <row r="16" spans="1:24" ht="20.100000000000001" customHeight="1" x14ac:dyDescent="0.25">
      <c r="A16" s="144" t="s">
        <v>7</v>
      </c>
      <c r="B16" s="145"/>
      <c r="C16" s="146" t="s">
        <v>44</v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8"/>
      <c r="O16" s="135"/>
      <c r="P16" s="137"/>
      <c r="Q16" s="149"/>
      <c r="R16" s="150"/>
      <c r="S16" s="150"/>
      <c r="T16" s="150"/>
      <c r="U16" s="150"/>
      <c r="V16" s="150"/>
      <c r="W16" s="151"/>
      <c r="X16" s="1"/>
    </row>
    <row r="17" spans="1:24" ht="24.95" customHeight="1" x14ac:dyDescent="0.25">
      <c r="A17" s="152" t="s">
        <v>8</v>
      </c>
      <c r="B17" s="138" t="s">
        <v>9</v>
      </c>
      <c r="C17" s="138" t="s">
        <v>10</v>
      </c>
      <c r="D17" s="138" t="s">
        <v>11</v>
      </c>
      <c r="E17" s="138" t="s">
        <v>12</v>
      </c>
      <c r="F17" s="138" t="s">
        <v>13</v>
      </c>
      <c r="G17" s="140" t="s">
        <v>14</v>
      </c>
      <c r="H17" s="141"/>
      <c r="I17" s="141"/>
      <c r="J17" s="141"/>
      <c r="K17" s="141"/>
      <c r="L17" s="142"/>
      <c r="M17" s="138" t="s">
        <v>15</v>
      </c>
      <c r="N17" s="138" t="s">
        <v>16</v>
      </c>
      <c r="O17" s="138" t="s">
        <v>17</v>
      </c>
      <c r="P17" s="138" t="s">
        <v>18</v>
      </c>
      <c r="Q17" s="140" t="s">
        <v>19</v>
      </c>
      <c r="R17" s="141"/>
      <c r="S17" s="141"/>
      <c r="T17" s="141"/>
      <c r="U17" s="141"/>
      <c r="V17" s="142"/>
      <c r="W17" s="154" t="s">
        <v>20</v>
      </c>
      <c r="X17" s="3"/>
    </row>
    <row r="18" spans="1:24" ht="24.95" customHeight="1" x14ac:dyDescent="0.25">
      <c r="A18" s="153"/>
      <c r="B18" s="139"/>
      <c r="C18" s="139"/>
      <c r="D18" s="139"/>
      <c r="E18" s="139"/>
      <c r="F18" s="139"/>
      <c r="G18" s="31" t="s">
        <v>21</v>
      </c>
      <c r="H18" s="31" t="s">
        <v>21</v>
      </c>
      <c r="I18" s="31" t="s">
        <v>21</v>
      </c>
      <c r="J18" s="31" t="s">
        <v>22</v>
      </c>
      <c r="K18" s="31" t="s">
        <v>22</v>
      </c>
      <c r="L18" s="31" t="s">
        <v>22</v>
      </c>
      <c r="M18" s="139"/>
      <c r="N18" s="139"/>
      <c r="O18" s="139"/>
      <c r="P18" s="139"/>
      <c r="Q18" s="31" t="s">
        <v>21</v>
      </c>
      <c r="R18" s="31" t="s">
        <v>21</v>
      </c>
      <c r="S18" s="31" t="s">
        <v>21</v>
      </c>
      <c r="T18" s="31" t="s">
        <v>22</v>
      </c>
      <c r="U18" s="31" t="s">
        <v>22</v>
      </c>
      <c r="V18" s="31" t="s">
        <v>22</v>
      </c>
      <c r="W18" s="155"/>
      <c r="X18" s="3"/>
    </row>
    <row r="19" spans="1:24" ht="15" customHeight="1" x14ac:dyDescent="0.25">
      <c r="A19" s="5">
        <v>1</v>
      </c>
      <c r="B19" s="8" t="s">
        <v>217</v>
      </c>
      <c r="C19" s="13">
        <v>45738</v>
      </c>
      <c r="D19" s="20">
        <v>45816</v>
      </c>
      <c r="E19" s="21">
        <v>1</v>
      </c>
      <c r="F19" s="21">
        <v>0</v>
      </c>
      <c r="G19" s="21">
        <v>155</v>
      </c>
      <c r="H19" s="21"/>
      <c r="I19" s="21"/>
      <c r="J19" s="21"/>
      <c r="K19" s="21"/>
      <c r="L19" s="21"/>
      <c r="M19" s="21">
        <v>155</v>
      </c>
      <c r="N19" s="20">
        <v>45833</v>
      </c>
      <c r="O19" s="21">
        <v>1</v>
      </c>
      <c r="P19" s="21">
        <v>0</v>
      </c>
      <c r="Q19" s="21">
        <v>217</v>
      </c>
      <c r="R19" s="21"/>
      <c r="S19" s="21"/>
      <c r="T19" s="21"/>
      <c r="U19" s="21"/>
      <c r="V19" s="21"/>
      <c r="W19" s="22">
        <v>217</v>
      </c>
    </row>
    <row r="20" spans="1:24" ht="15.75" customHeight="1" x14ac:dyDescent="0.25">
      <c r="A20" s="6">
        <v>2</v>
      </c>
      <c r="B20" s="8" t="s">
        <v>217</v>
      </c>
      <c r="C20" s="13">
        <v>45851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2"/>
    </row>
    <row r="21" spans="1:24" ht="16.5" customHeight="1" x14ac:dyDescent="0.25">
      <c r="A21" s="6">
        <v>3</v>
      </c>
      <c r="B21" s="8"/>
      <c r="C21" s="8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4" ht="15.75" customHeight="1" x14ac:dyDescent="0.25">
      <c r="A22" s="5">
        <v>4</v>
      </c>
      <c r="B22" s="8"/>
      <c r="C22" s="8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4" ht="14.25" customHeight="1" x14ac:dyDescent="0.25">
      <c r="A23" s="5">
        <v>5</v>
      </c>
      <c r="B23" s="8"/>
      <c r="C23" s="8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4" ht="15.75" customHeight="1" thickBot="1" x14ac:dyDescent="0.3">
      <c r="A24" s="7">
        <v>6</v>
      </c>
      <c r="B24" s="10"/>
      <c r="C24" s="10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9"/>
    </row>
    <row r="25" spans="1:24" ht="20.100000000000001" customHeight="1" x14ac:dyDescent="0.25"/>
    <row r="26" spans="1:24" ht="20.100000000000001" customHeight="1" thickBot="1" x14ac:dyDescent="0.3"/>
    <row r="27" spans="1:24" ht="20.100000000000001" customHeight="1" x14ac:dyDescent="0.25">
      <c r="A27" s="156" t="s">
        <v>2</v>
      </c>
      <c r="B27" s="157"/>
      <c r="C27" s="193" t="s">
        <v>223</v>
      </c>
      <c r="D27" s="193"/>
      <c r="E27" s="158" t="s">
        <v>402</v>
      </c>
      <c r="F27" s="112"/>
      <c r="G27" s="103" t="s">
        <v>4</v>
      </c>
      <c r="H27" s="157"/>
      <c r="I27" s="111" t="s">
        <v>216</v>
      </c>
      <c r="J27" s="158"/>
      <c r="K27" s="158"/>
      <c r="L27" s="158"/>
      <c r="M27" s="158"/>
      <c r="N27" s="112"/>
      <c r="O27" s="103" t="s">
        <v>6</v>
      </c>
      <c r="P27" s="157"/>
      <c r="Q27" s="103"/>
      <c r="R27" s="104"/>
      <c r="S27" s="104"/>
      <c r="T27" s="104"/>
      <c r="U27" s="104"/>
      <c r="V27" s="104"/>
      <c r="W27" s="105"/>
      <c r="X27" s="1"/>
    </row>
    <row r="28" spans="1:24" ht="20.100000000000001" customHeight="1" x14ac:dyDescent="0.25">
      <c r="A28" s="144" t="s">
        <v>7</v>
      </c>
      <c r="B28" s="145"/>
      <c r="C28" s="135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7"/>
      <c r="O28" s="135"/>
      <c r="P28" s="137"/>
      <c r="Q28" s="149"/>
      <c r="R28" s="150"/>
      <c r="S28" s="150"/>
      <c r="T28" s="150"/>
      <c r="U28" s="150"/>
      <c r="V28" s="150"/>
      <c r="W28" s="151"/>
      <c r="X28" s="1"/>
    </row>
    <row r="29" spans="1:24" ht="24.95" customHeight="1" x14ac:dyDescent="0.25">
      <c r="A29" s="152" t="s">
        <v>8</v>
      </c>
      <c r="B29" s="138" t="s">
        <v>9</v>
      </c>
      <c r="C29" s="138" t="s">
        <v>10</v>
      </c>
      <c r="D29" s="138" t="s">
        <v>11</v>
      </c>
      <c r="E29" s="138" t="s">
        <v>12</v>
      </c>
      <c r="F29" s="138" t="s">
        <v>13</v>
      </c>
      <c r="G29" s="140" t="s">
        <v>14</v>
      </c>
      <c r="H29" s="141"/>
      <c r="I29" s="141"/>
      <c r="J29" s="141"/>
      <c r="K29" s="141"/>
      <c r="L29" s="142"/>
      <c r="M29" s="138" t="s">
        <v>15</v>
      </c>
      <c r="N29" s="138" t="s">
        <v>16</v>
      </c>
      <c r="O29" s="138" t="s">
        <v>17</v>
      </c>
      <c r="P29" s="138" t="s">
        <v>18</v>
      </c>
      <c r="Q29" s="140" t="s">
        <v>19</v>
      </c>
      <c r="R29" s="141"/>
      <c r="S29" s="141"/>
      <c r="T29" s="141"/>
      <c r="U29" s="141"/>
      <c r="V29" s="142"/>
      <c r="W29" s="154" t="s">
        <v>20</v>
      </c>
      <c r="X29" s="3"/>
    </row>
    <row r="30" spans="1:24" ht="24.95" customHeight="1" x14ac:dyDescent="0.25">
      <c r="A30" s="153"/>
      <c r="B30" s="139"/>
      <c r="C30" s="139"/>
      <c r="D30" s="139"/>
      <c r="E30" s="139"/>
      <c r="F30" s="139"/>
      <c r="G30" s="31" t="s">
        <v>21</v>
      </c>
      <c r="H30" s="31" t="s">
        <v>21</v>
      </c>
      <c r="I30" s="31" t="s">
        <v>21</v>
      </c>
      <c r="J30" s="31" t="s">
        <v>22</v>
      </c>
      <c r="K30" s="31" t="s">
        <v>22</v>
      </c>
      <c r="L30" s="31" t="s">
        <v>22</v>
      </c>
      <c r="M30" s="139"/>
      <c r="N30" s="139"/>
      <c r="O30" s="139"/>
      <c r="P30" s="139"/>
      <c r="Q30" s="31" t="s">
        <v>21</v>
      </c>
      <c r="R30" s="31" t="s">
        <v>21</v>
      </c>
      <c r="S30" s="31" t="s">
        <v>21</v>
      </c>
      <c r="T30" s="31" t="s">
        <v>22</v>
      </c>
      <c r="U30" s="31" t="s">
        <v>22</v>
      </c>
      <c r="V30" s="31" t="s">
        <v>22</v>
      </c>
      <c r="W30" s="155"/>
      <c r="X30" s="3"/>
    </row>
    <row r="31" spans="1:24" ht="16.5" customHeight="1" x14ac:dyDescent="0.25">
      <c r="A31" s="5">
        <v>1</v>
      </c>
      <c r="B31" s="8" t="s">
        <v>217</v>
      </c>
      <c r="C31" s="13">
        <v>45738</v>
      </c>
      <c r="D31" s="8" t="s">
        <v>428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</row>
    <row r="32" spans="1:24" ht="15" customHeight="1" x14ac:dyDescent="0.25">
      <c r="A32" s="6">
        <v>2</v>
      </c>
      <c r="B32" s="8" t="s">
        <v>217</v>
      </c>
      <c r="C32" s="13">
        <v>45851</v>
      </c>
      <c r="D32" s="20">
        <v>45931</v>
      </c>
      <c r="E32" s="21">
        <v>3</v>
      </c>
      <c r="F32" s="21">
        <v>1</v>
      </c>
      <c r="G32" s="21">
        <v>109</v>
      </c>
      <c r="H32" s="21"/>
      <c r="I32" s="21"/>
      <c r="J32" s="21">
        <v>126</v>
      </c>
      <c r="K32" s="21"/>
      <c r="L32" s="21"/>
      <c r="M32" s="21">
        <f>AVERAGE(G32:L32)</f>
        <v>117.5</v>
      </c>
      <c r="N32" s="20">
        <v>45944</v>
      </c>
      <c r="O32" s="21">
        <v>2</v>
      </c>
      <c r="P32" s="21">
        <v>1</v>
      </c>
      <c r="Q32" s="21"/>
      <c r="R32" s="21"/>
      <c r="S32" s="21"/>
      <c r="T32" s="21">
        <v>180</v>
      </c>
      <c r="U32" s="21"/>
      <c r="V32" s="21"/>
      <c r="W32" s="22">
        <f>AVERAGE(Q32:V32)</f>
        <v>180</v>
      </c>
    </row>
    <row r="33" spans="1:24" ht="15.75" customHeight="1" x14ac:dyDescent="0.25">
      <c r="A33" s="6">
        <v>3</v>
      </c>
      <c r="B33" s="8" t="s">
        <v>217</v>
      </c>
      <c r="C33" s="13">
        <v>45950</v>
      </c>
      <c r="D33" s="20">
        <v>46036</v>
      </c>
      <c r="E33" s="21">
        <v>2</v>
      </c>
      <c r="F33" s="21">
        <v>0</v>
      </c>
      <c r="G33" s="21"/>
      <c r="H33" s="21"/>
      <c r="I33" s="21"/>
      <c r="J33" s="21">
        <v>125</v>
      </c>
      <c r="K33" s="21">
        <v>130</v>
      </c>
      <c r="L33" s="21"/>
      <c r="M33" s="21">
        <f>AVERAGE(G33:L33)</f>
        <v>127.5</v>
      </c>
      <c r="N33" s="20">
        <v>46055</v>
      </c>
      <c r="O33" s="21">
        <v>2</v>
      </c>
      <c r="P33" s="21">
        <v>0</v>
      </c>
      <c r="Q33" s="21"/>
      <c r="R33" s="21"/>
      <c r="S33" s="21"/>
      <c r="T33" s="21">
        <v>109</v>
      </c>
      <c r="U33" s="21">
        <v>185</v>
      </c>
      <c r="V33" s="21"/>
      <c r="W33" s="22">
        <f>AVERAGE(Q33:V33)</f>
        <v>147</v>
      </c>
    </row>
    <row r="34" spans="1:24" ht="16.5" customHeight="1" x14ac:dyDescent="0.25">
      <c r="A34" s="5">
        <v>4</v>
      </c>
      <c r="B34" s="8" t="s">
        <v>217</v>
      </c>
      <c r="C34" s="13">
        <v>46070</v>
      </c>
      <c r="D34" s="21" t="s">
        <v>428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2"/>
    </row>
    <row r="35" spans="1:24" ht="15.75" customHeight="1" x14ac:dyDescent="0.25">
      <c r="A35" s="5">
        <v>5</v>
      </c>
      <c r="B35" s="8"/>
      <c r="C35" s="8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</row>
    <row r="36" spans="1:24" ht="16.5" customHeight="1" thickBot="1" x14ac:dyDescent="0.3">
      <c r="A36" s="7">
        <v>6</v>
      </c>
      <c r="B36" s="10"/>
      <c r="C36" s="10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9"/>
    </row>
    <row r="37" spans="1:24" ht="20.100000000000001" customHeight="1" x14ac:dyDescent="0.25"/>
    <row r="38" spans="1:24" ht="20.100000000000001" customHeight="1" thickBot="1" x14ac:dyDescent="0.3"/>
    <row r="39" spans="1:24" ht="20.100000000000001" customHeight="1" x14ac:dyDescent="0.25">
      <c r="A39" s="156" t="s">
        <v>2</v>
      </c>
      <c r="B39" s="157"/>
      <c r="C39" s="178" t="s">
        <v>224</v>
      </c>
      <c r="D39" s="197"/>
      <c r="E39" s="109" t="s">
        <v>402</v>
      </c>
      <c r="F39" s="109"/>
      <c r="G39" s="103" t="s">
        <v>4</v>
      </c>
      <c r="H39" s="157"/>
      <c r="I39" s="111" t="s">
        <v>359</v>
      </c>
      <c r="J39" s="158"/>
      <c r="K39" s="158"/>
      <c r="L39" s="158"/>
      <c r="M39" s="158"/>
      <c r="N39" s="112"/>
      <c r="O39" s="103" t="s">
        <v>6</v>
      </c>
      <c r="P39" s="157"/>
      <c r="Q39" s="103"/>
      <c r="R39" s="104"/>
      <c r="S39" s="104"/>
      <c r="T39" s="104"/>
      <c r="U39" s="104"/>
      <c r="V39" s="104"/>
      <c r="W39" s="105"/>
      <c r="X39" s="1"/>
    </row>
    <row r="40" spans="1:24" ht="20.100000000000001" customHeight="1" x14ac:dyDescent="0.25">
      <c r="A40" s="144" t="s">
        <v>7</v>
      </c>
      <c r="B40" s="145"/>
      <c r="C40" s="146" t="s">
        <v>44</v>
      </c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8"/>
      <c r="O40" s="135"/>
      <c r="P40" s="137"/>
      <c r="Q40" s="149"/>
      <c r="R40" s="150"/>
      <c r="S40" s="150"/>
      <c r="T40" s="150"/>
      <c r="U40" s="150"/>
      <c r="V40" s="150"/>
      <c r="W40" s="151"/>
      <c r="X40" s="1"/>
    </row>
    <row r="41" spans="1:24" ht="24.95" customHeight="1" x14ac:dyDescent="0.25">
      <c r="A41" s="152" t="s">
        <v>8</v>
      </c>
      <c r="B41" s="138" t="s">
        <v>9</v>
      </c>
      <c r="C41" s="138" t="s">
        <v>10</v>
      </c>
      <c r="D41" s="138" t="s">
        <v>11</v>
      </c>
      <c r="E41" s="138" t="s">
        <v>12</v>
      </c>
      <c r="F41" s="138" t="s">
        <v>13</v>
      </c>
      <c r="G41" s="140" t="s">
        <v>14</v>
      </c>
      <c r="H41" s="141"/>
      <c r="I41" s="141"/>
      <c r="J41" s="141"/>
      <c r="K41" s="141"/>
      <c r="L41" s="142"/>
      <c r="M41" s="138" t="s">
        <v>15</v>
      </c>
      <c r="N41" s="138" t="s">
        <v>16</v>
      </c>
      <c r="O41" s="138" t="s">
        <v>17</v>
      </c>
      <c r="P41" s="138" t="s">
        <v>18</v>
      </c>
      <c r="Q41" s="140" t="s">
        <v>19</v>
      </c>
      <c r="R41" s="141"/>
      <c r="S41" s="141"/>
      <c r="T41" s="141"/>
      <c r="U41" s="141"/>
      <c r="V41" s="142"/>
      <c r="W41" s="154" t="s">
        <v>20</v>
      </c>
      <c r="X41" s="3"/>
    </row>
    <row r="42" spans="1:24" ht="24.95" customHeight="1" x14ac:dyDescent="0.25">
      <c r="A42" s="153"/>
      <c r="B42" s="139"/>
      <c r="C42" s="139"/>
      <c r="D42" s="139"/>
      <c r="E42" s="139"/>
      <c r="F42" s="139"/>
      <c r="G42" s="31" t="s">
        <v>21</v>
      </c>
      <c r="H42" s="31" t="s">
        <v>21</v>
      </c>
      <c r="I42" s="31" t="s">
        <v>21</v>
      </c>
      <c r="J42" s="31" t="s">
        <v>22</v>
      </c>
      <c r="K42" s="31" t="s">
        <v>22</v>
      </c>
      <c r="L42" s="31" t="s">
        <v>22</v>
      </c>
      <c r="M42" s="139"/>
      <c r="N42" s="139"/>
      <c r="O42" s="139"/>
      <c r="P42" s="139"/>
      <c r="Q42" s="31" t="s">
        <v>21</v>
      </c>
      <c r="R42" s="31" t="s">
        <v>21</v>
      </c>
      <c r="S42" s="31" t="s">
        <v>21</v>
      </c>
      <c r="T42" s="31" t="s">
        <v>22</v>
      </c>
      <c r="U42" s="31" t="s">
        <v>22</v>
      </c>
      <c r="V42" s="31" t="s">
        <v>22</v>
      </c>
      <c r="W42" s="155"/>
      <c r="X42" s="3"/>
    </row>
    <row r="43" spans="1:24" ht="16.5" customHeight="1" x14ac:dyDescent="0.25">
      <c r="A43" s="5">
        <v>1</v>
      </c>
      <c r="B43" s="8" t="s">
        <v>217</v>
      </c>
      <c r="C43" s="13">
        <v>45738</v>
      </c>
      <c r="D43" s="20">
        <v>45814</v>
      </c>
      <c r="E43" s="21">
        <v>2</v>
      </c>
      <c r="F43" s="21">
        <v>0</v>
      </c>
      <c r="G43" s="21">
        <v>136</v>
      </c>
      <c r="H43" s="21"/>
      <c r="I43" s="21"/>
      <c r="J43" s="21">
        <v>144</v>
      </c>
      <c r="K43" s="21"/>
      <c r="L43" s="21"/>
      <c r="M43" s="21">
        <f>AVERAGE(G43,J43)</f>
        <v>140</v>
      </c>
      <c r="N43" s="20">
        <v>45833</v>
      </c>
      <c r="O43" s="21">
        <v>2</v>
      </c>
      <c r="P43" s="21">
        <v>0</v>
      </c>
      <c r="Q43" s="21">
        <v>230</v>
      </c>
      <c r="R43" s="21"/>
      <c r="S43" s="21"/>
      <c r="T43" s="21">
        <v>231</v>
      </c>
      <c r="U43" s="21"/>
      <c r="V43" s="21"/>
      <c r="W43" s="40">
        <f>SUM(Q43:V43)/3</f>
        <v>153.66666666666666</v>
      </c>
    </row>
    <row r="44" spans="1:24" ht="15" customHeight="1" x14ac:dyDescent="0.25">
      <c r="A44" s="6">
        <v>2</v>
      </c>
      <c r="B44" s="8" t="s">
        <v>217</v>
      </c>
      <c r="C44" s="13">
        <v>45851</v>
      </c>
      <c r="D44" s="20">
        <v>45925</v>
      </c>
      <c r="E44" s="21">
        <v>3</v>
      </c>
      <c r="F44" s="21">
        <v>0</v>
      </c>
      <c r="G44" s="21">
        <v>179</v>
      </c>
      <c r="H44" s="21">
        <v>172</v>
      </c>
      <c r="I44" s="21"/>
      <c r="J44" s="21">
        <v>183</v>
      </c>
      <c r="K44" s="21"/>
      <c r="L44" s="21"/>
      <c r="M44" s="21">
        <f>AVERAGE(G44:L44)</f>
        <v>178</v>
      </c>
      <c r="N44" s="20">
        <v>45944</v>
      </c>
      <c r="O44" s="21">
        <v>3</v>
      </c>
      <c r="P44" s="21">
        <v>0</v>
      </c>
      <c r="Q44" s="21">
        <v>350</v>
      </c>
      <c r="R44" s="21">
        <v>332</v>
      </c>
      <c r="S44" s="21">
        <f>AVERAGE(G44:M44)</f>
        <v>178</v>
      </c>
      <c r="T44" s="21">
        <v>206</v>
      </c>
      <c r="U44" s="21"/>
      <c r="V44" s="21"/>
      <c r="W44" s="40">
        <f>SUM(Q44:V44)/2</f>
        <v>533</v>
      </c>
    </row>
    <row r="45" spans="1:24" ht="15.75" customHeight="1" x14ac:dyDescent="0.25">
      <c r="A45" s="6">
        <v>3</v>
      </c>
      <c r="B45" s="8" t="s">
        <v>217</v>
      </c>
      <c r="C45" s="13">
        <v>45950</v>
      </c>
      <c r="D45" s="20">
        <v>46030</v>
      </c>
      <c r="E45" s="21">
        <v>3</v>
      </c>
      <c r="F45" s="21">
        <v>0</v>
      </c>
      <c r="G45" s="21">
        <v>125</v>
      </c>
      <c r="H45" s="21">
        <v>120</v>
      </c>
      <c r="I45" s="21"/>
      <c r="J45" s="21">
        <v>130</v>
      </c>
      <c r="K45" s="21"/>
      <c r="L45" s="21"/>
      <c r="M45" s="21">
        <f>AVERAGE(G45:L45)</f>
        <v>125</v>
      </c>
      <c r="N45" s="20">
        <v>46055</v>
      </c>
      <c r="O45" s="21">
        <v>2</v>
      </c>
      <c r="P45" s="21">
        <v>1</v>
      </c>
      <c r="Q45" s="21">
        <v>209</v>
      </c>
      <c r="R45" s="21"/>
      <c r="S45" s="21"/>
      <c r="T45" s="21">
        <v>217</v>
      </c>
      <c r="U45" s="21"/>
      <c r="V45" s="21"/>
      <c r="W45" s="40">
        <f>AVERAGE(Q45:V45)</f>
        <v>213</v>
      </c>
    </row>
    <row r="46" spans="1:24" ht="15.75" customHeight="1" x14ac:dyDescent="0.25">
      <c r="A46" s="5">
        <v>4</v>
      </c>
      <c r="B46" s="8"/>
      <c r="C46" s="8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40"/>
    </row>
    <row r="47" spans="1:24" ht="16.5" customHeight="1" x14ac:dyDescent="0.25">
      <c r="A47" s="5">
        <v>5</v>
      </c>
      <c r="B47" s="8"/>
      <c r="C47" s="8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40"/>
    </row>
    <row r="48" spans="1:24" ht="13.5" customHeight="1" thickBot="1" x14ac:dyDescent="0.3">
      <c r="A48" s="7">
        <v>6</v>
      </c>
      <c r="B48" s="10"/>
      <c r="C48" s="10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43"/>
    </row>
    <row r="49" spans="1:24" ht="20.100000000000001" customHeight="1" x14ac:dyDescent="0.25"/>
    <row r="50" spans="1:24" ht="20.100000000000001" customHeight="1" thickBot="1" x14ac:dyDescent="0.3"/>
    <row r="51" spans="1:24" ht="20.100000000000001" customHeight="1" x14ac:dyDescent="0.25">
      <c r="A51" s="156" t="s">
        <v>2</v>
      </c>
      <c r="B51" s="157"/>
      <c r="C51" s="194" t="s">
        <v>225</v>
      </c>
      <c r="D51" s="198"/>
      <c r="E51" s="109" t="s">
        <v>402</v>
      </c>
      <c r="F51" s="109"/>
      <c r="G51" s="103" t="s">
        <v>4</v>
      </c>
      <c r="H51" s="157"/>
      <c r="I51" s="111" t="s">
        <v>359</v>
      </c>
      <c r="J51" s="158"/>
      <c r="K51" s="158"/>
      <c r="L51" s="158"/>
      <c r="M51" s="158"/>
      <c r="N51" s="112"/>
      <c r="O51" s="103" t="s">
        <v>6</v>
      </c>
      <c r="P51" s="157"/>
      <c r="Q51" s="103"/>
      <c r="R51" s="104"/>
      <c r="S51" s="104"/>
      <c r="T51" s="104"/>
      <c r="U51" s="104"/>
      <c r="V51" s="104"/>
      <c r="W51" s="105"/>
      <c r="X51" s="1"/>
    </row>
    <row r="52" spans="1:24" ht="20.100000000000001" customHeight="1" x14ac:dyDescent="0.25">
      <c r="A52" s="144" t="s">
        <v>7</v>
      </c>
      <c r="B52" s="145"/>
      <c r="C52" s="135" t="s">
        <v>219</v>
      </c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7"/>
      <c r="O52" s="135"/>
      <c r="P52" s="137"/>
      <c r="Q52" s="149"/>
      <c r="R52" s="150"/>
      <c r="S52" s="150"/>
      <c r="T52" s="150"/>
      <c r="U52" s="150"/>
      <c r="V52" s="150"/>
      <c r="W52" s="151"/>
      <c r="X52" s="1"/>
    </row>
    <row r="53" spans="1:24" ht="24.95" customHeight="1" x14ac:dyDescent="0.25">
      <c r="A53" s="152" t="s">
        <v>8</v>
      </c>
      <c r="B53" s="138" t="s">
        <v>9</v>
      </c>
      <c r="C53" s="138" t="s">
        <v>10</v>
      </c>
      <c r="D53" s="138" t="s">
        <v>11</v>
      </c>
      <c r="E53" s="138" t="s">
        <v>12</v>
      </c>
      <c r="F53" s="138" t="s">
        <v>13</v>
      </c>
      <c r="G53" s="140" t="s">
        <v>14</v>
      </c>
      <c r="H53" s="141"/>
      <c r="I53" s="141"/>
      <c r="J53" s="141"/>
      <c r="K53" s="141"/>
      <c r="L53" s="142"/>
      <c r="M53" s="138" t="s">
        <v>15</v>
      </c>
      <c r="N53" s="138" t="s">
        <v>16</v>
      </c>
      <c r="O53" s="138" t="s">
        <v>17</v>
      </c>
      <c r="P53" s="138" t="s">
        <v>18</v>
      </c>
      <c r="Q53" s="140" t="s">
        <v>19</v>
      </c>
      <c r="R53" s="141"/>
      <c r="S53" s="141"/>
      <c r="T53" s="141"/>
      <c r="U53" s="141"/>
      <c r="V53" s="142"/>
      <c r="W53" s="154" t="s">
        <v>20</v>
      </c>
      <c r="X53" s="3"/>
    </row>
    <row r="54" spans="1:24" ht="24.95" customHeight="1" x14ac:dyDescent="0.25">
      <c r="A54" s="153"/>
      <c r="B54" s="139"/>
      <c r="C54" s="139"/>
      <c r="D54" s="139"/>
      <c r="E54" s="139"/>
      <c r="F54" s="139"/>
      <c r="G54" s="31" t="s">
        <v>21</v>
      </c>
      <c r="H54" s="31" t="s">
        <v>21</v>
      </c>
      <c r="I54" s="31" t="s">
        <v>21</v>
      </c>
      <c r="J54" s="31" t="s">
        <v>22</v>
      </c>
      <c r="K54" s="31" t="s">
        <v>22</v>
      </c>
      <c r="L54" s="31" t="s">
        <v>22</v>
      </c>
      <c r="M54" s="139"/>
      <c r="N54" s="139"/>
      <c r="O54" s="139"/>
      <c r="P54" s="139"/>
      <c r="Q54" s="31" t="s">
        <v>21</v>
      </c>
      <c r="R54" s="31" t="s">
        <v>21</v>
      </c>
      <c r="S54" s="31" t="s">
        <v>21</v>
      </c>
      <c r="T54" s="31" t="s">
        <v>22</v>
      </c>
      <c r="U54" s="31" t="s">
        <v>22</v>
      </c>
      <c r="V54" s="31" t="s">
        <v>22</v>
      </c>
      <c r="W54" s="155"/>
      <c r="X54" s="3"/>
    </row>
    <row r="55" spans="1:24" ht="17.25" customHeight="1" x14ac:dyDescent="0.25">
      <c r="A55" s="5">
        <v>1</v>
      </c>
      <c r="B55" s="21" t="s">
        <v>217</v>
      </c>
      <c r="C55" s="13">
        <v>45738</v>
      </c>
      <c r="D55" s="20">
        <v>45807</v>
      </c>
      <c r="E55" s="21">
        <v>2</v>
      </c>
      <c r="F55" s="21">
        <v>0</v>
      </c>
      <c r="G55" s="21"/>
      <c r="H55" s="21"/>
      <c r="I55" s="21"/>
      <c r="J55" s="21">
        <v>130</v>
      </c>
      <c r="K55" s="21">
        <v>122</v>
      </c>
      <c r="L55" s="21"/>
      <c r="M55" s="21">
        <f>AVERAGE(K55,J55)</f>
        <v>126</v>
      </c>
      <c r="N55" s="20">
        <v>45833</v>
      </c>
      <c r="O55" s="21">
        <v>2</v>
      </c>
      <c r="P55" s="21">
        <v>0</v>
      </c>
      <c r="Q55" s="21"/>
      <c r="R55" s="21"/>
      <c r="S55" s="21"/>
      <c r="T55" s="21">
        <v>290</v>
      </c>
      <c r="U55" s="21">
        <v>311</v>
      </c>
      <c r="V55" s="21"/>
      <c r="W55" s="22">
        <f>AVERAGE(U55,T55)</f>
        <v>300.5</v>
      </c>
    </row>
    <row r="56" spans="1:24" ht="15" customHeight="1" x14ac:dyDescent="0.25">
      <c r="A56" s="6">
        <v>2</v>
      </c>
      <c r="B56" s="21" t="s">
        <v>217</v>
      </c>
      <c r="C56" s="13">
        <v>45851</v>
      </c>
      <c r="D56" s="20">
        <v>45928</v>
      </c>
      <c r="E56" s="21">
        <v>4</v>
      </c>
      <c r="F56" s="21">
        <v>0</v>
      </c>
      <c r="G56" s="21">
        <v>95</v>
      </c>
      <c r="H56" s="21">
        <v>99</v>
      </c>
      <c r="I56" s="21">
        <v>89</v>
      </c>
      <c r="J56" s="21">
        <v>91</v>
      </c>
      <c r="K56" s="21"/>
      <c r="L56" s="21"/>
      <c r="M56" s="21"/>
      <c r="N56" s="20">
        <v>45944</v>
      </c>
      <c r="O56" s="21">
        <v>1</v>
      </c>
      <c r="P56" s="21">
        <v>3</v>
      </c>
      <c r="Q56" s="21">
        <v>200</v>
      </c>
      <c r="R56" s="21"/>
      <c r="S56" s="21"/>
      <c r="T56" s="21"/>
      <c r="U56" s="21"/>
      <c r="V56" s="21"/>
      <c r="W56" s="22">
        <v>200</v>
      </c>
    </row>
    <row r="57" spans="1:24" ht="15.75" customHeight="1" x14ac:dyDescent="0.25">
      <c r="A57" s="6">
        <v>3</v>
      </c>
      <c r="B57" s="21" t="s">
        <v>217</v>
      </c>
      <c r="C57" s="13">
        <v>45950</v>
      </c>
      <c r="D57" s="20">
        <v>46032</v>
      </c>
      <c r="E57" s="21">
        <v>3</v>
      </c>
      <c r="F57" s="21">
        <v>0</v>
      </c>
      <c r="G57" s="21">
        <v>128</v>
      </c>
      <c r="H57" s="21"/>
      <c r="I57" s="21"/>
      <c r="J57" s="21">
        <v>125</v>
      </c>
      <c r="K57" s="21">
        <v>105</v>
      </c>
      <c r="L57" s="21"/>
      <c r="M57" s="41">
        <f>AVERAGE(G57:L57)</f>
        <v>119.33333333333333</v>
      </c>
      <c r="N57" s="20">
        <v>46055</v>
      </c>
      <c r="O57" s="21">
        <v>3</v>
      </c>
      <c r="P57" s="21">
        <v>0</v>
      </c>
      <c r="Q57" s="21">
        <v>199</v>
      </c>
      <c r="R57" s="21"/>
      <c r="S57" s="21"/>
      <c r="T57" s="21">
        <v>209</v>
      </c>
      <c r="U57" s="21">
        <v>174</v>
      </c>
      <c r="V57" s="21"/>
      <c r="W57" s="22">
        <f>AVERAGE(Q57:V57)</f>
        <v>194</v>
      </c>
    </row>
    <row r="58" spans="1:24" ht="15.75" customHeight="1" x14ac:dyDescent="0.25">
      <c r="A58" s="5">
        <v>4</v>
      </c>
      <c r="B58" s="21" t="s">
        <v>217</v>
      </c>
      <c r="C58" s="13">
        <v>46070</v>
      </c>
      <c r="D58" s="20">
        <v>46143</v>
      </c>
      <c r="E58" s="21">
        <v>4</v>
      </c>
      <c r="F58" s="21">
        <v>0</v>
      </c>
      <c r="G58" s="21">
        <v>100</v>
      </c>
      <c r="H58" s="21">
        <v>121</v>
      </c>
      <c r="I58" s="21">
        <v>120</v>
      </c>
      <c r="J58" s="21">
        <v>115</v>
      </c>
      <c r="K58" s="21"/>
      <c r="L58" s="21"/>
      <c r="M58" s="21">
        <f>AVERAGE(G58:L58)</f>
        <v>114</v>
      </c>
      <c r="N58" s="20">
        <v>46176</v>
      </c>
      <c r="O58" s="21">
        <v>3</v>
      </c>
      <c r="P58" s="21">
        <v>1</v>
      </c>
      <c r="Q58" s="21">
        <v>260</v>
      </c>
      <c r="R58" s="21">
        <v>220</v>
      </c>
      <c r="S58" s="21">
        <v>238</v>
      </c>
      <c r="T58" s="21"/>
      <c r="U58" s="21"/>
      <c r="V58" s="21"/>
      <c r="W58" s="68">
        <f>AVERAGE(Q58:V58)</f>
        <v>239.33333333333334</v>
      </c>
    </row>
    <row r="59" spans="1:24" ht="15.75" customHeight="1" x14ac:dyDescent="0.25">
      <c r="A59" s="5">
        <v>5</v>
      </c>
      <c r="B59" s="21"/>
      <c r="C59" s="8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2"/>
    </row>
    <row r="60" spans="1:24" ht="16.5" customHeight="1" thickBot="1" x14ac:dyDescent="0.3">
      <c r="A60" s="7">
        <v>6</v>
      </c>
      <c r="B60" s="37"/>
      <c r="C60" s="10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9"/>
    </row>
    <row r="61" spans="1:24" ht="20.100000000000001" customHeight="1" x14ac:dyDescent="0.25"/>
    <row r="62" spans="1:24" ht="20.100000000000001" customHeight="1" thickBot="1" x14ac:dyDescent="0.3"/>
    <row r="63" spans="1:24" ht="20.100000000000001" customHeight="1" x14ac:dyDescent="0.25">
      <c r="A63" s="156" t="s">
        <v>2</v>
      </c>
      <c r="B63" s="157"/>
      <c r="C63" s="193" t="s">
        <v>226</v>
      </c>
      <c r="D63" s="193"/>
      <c r="E63" s="158" t="s">
        <v>403</v>
      </c>
      <c r="F63" s="112"/>
      <c r="G63" s="103" t="s">
        <v>4</v>
      </c>
      <c r="H63" s="157"/>
      <c r="I63" s="111" t="s">
        <v>360</v>
      </c>
      <c r="J63" s="158"/>
      <c r="K63" s="158"/>
      <c r="L63" s="158"/>
      <c r="M63" s="158"/>
      <c r="N63" s="112"/>
      <c r="O63" s="103" t="s">
        <v>6</v>
      </c>
      <c r="P63" s="157"/>
      <c r="Q63" s="103"/>
      <c r="R63" s="104"/>
      <c r="S63" s="104"/>
      <c r="T63" s="104"/>
      <c r="U63" s="104"/>
      <c r="V63" s="104"/>
      <c r="W63" s="105"/>
      <c r="X63" s="1"/>
    </row>
    <row r="64" spans="1:24" ht="20.100000000000001" customHeight="1" x14ac:dyDescent="0.25">
      <c r="A64" s="144" t="s">
        <v>7</v>
      </c>
      <c r="B64" s="145"/>
      <c r="C64" s="146" t="s">
        <v>44</v>
      </c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8"/>
      <c r="O64" s="135"/>
      <c r="P64" s="137"/>
      <c r="Q64" s="149"/>
      <c r="R64" s="150"/>
      <c r="S64" s="150"/>
      <c r="T64" s="150"/>
      <c r="U64" s="150"/>
      <c r="V64" s="150"/>
      <c r="W64" s="151"/>
      <c r="X64" s="1"/>
    </row>
    <row r="65" spans="1:24" ht="24.95" customHeight="1" x14ac:dyDescent="0.25">
      <c r="A65" s="152" t="s">
        <v>8</v>
      </c>
      <c r="B65" s="138" t="s">
        <v>9</v>
      </c>
      <c r="C65" s="138" t="s">
        <v>10</v>
      </c>
      <c r="D65" s="138" t="s">
        <v>11</v>
      </c>
      <c r="E65" s="138" t="s">
        <v>12</v>
      </c>
      <c r="F65" s="138" t="s">
        <v>13</v>
      </c>
      <c r="G65" s="140" t="s">
        <v>14</v>
      </c>
      <c r="H65" s="141"/>
      <c r="I65" s="141"/>
      <c r="J65" s="141"/>
      <c r="K65" s="141"/>
      <c r="L65" s="142"/>
      <c r="M65" s="138" t="s">
        <v>15</v>
      </c>
      <c r="N65" s="138" t="s">
        <v>16</v>
      </c>
      <c r="O65" s="138" t="s">
        <v>17</v>
      </c>
      <c r="P65" s="138" t="s">
        <v>18</v>
      </c>
      <c r="Q65" s="140" t="s">
        <v>19</v>
      </c>
      <c r="R65" s="141"/>
      <c r="S65" s="141"/>
      <c r="T65" s="141"/>
      <c r="U65" s="141"/>
      <c r="V65" s="142"/>
      <c r="W65" s="154" t="s">
        <v>20</v>
      </c>
      <c r="X65" s="3"/>
    </row>
    <row r="66" spans="1:24" ht="24.95" customHeight="1" x14ac:dyDescent="0.25">
      <c r="A66" s="153"/>
      <c r="B66" s="139"/>
      <c r="C66" s="139"/>
      <c r="D66" s="139"/>
      <c r="E66" s="139"/>
      <c r="F66" s="139"/>
      <c r="G66" s="31" t="s">
        <v>21</v>
      </c>
      <c r="H66" s="31" t="s">
        <v>21</v>
      </c>
      <c r="I66" s="31" t="s">
        <v>21</v>
      </c>
      <c r="J66" s="31" t="s">
        <v>22</v>
      </c>
      <c r="K66" s="31" t="s">
        <v>22</v>
      </c>
      <c r="L66" s="31" t="s">
        <v>22</v>
      </c>
      <c r="M66" s="139"/>
      <c r="N66" s="139"/>
      <c r="O66" s="139"/>
      <c r="P66" s="139"/>
      <c r="Q66" s="31" t="s">
        <v>21</v>
      </c>
      <c r="R66" s="31" t="s">
        <v>21</v>
      </c>
      <c r="S66" s="31" t="s">
        <v>21</v>
      </c>
      <c r="T66" s="31" t="s">
        <v>22</v>
      </c>
      <c r="U66" s="31" t="s">
        <v>22</v>
      </c>
      <c r="V66" s="31" t="s">
        <v>22</v>
      </c>
      <c r="W66" s="155"/>
      <c r="X66" s="3"/>
    </row>
    <row r="67" spans="1:24" ht="15.75" customHeight="1" x14ac:dyDescent="0.25">
      <c r="A67" s="5">
        <v>1</v>
      </c>
      <c r="B67" s="8" t="s">
        <v>227</v>
      </c>
      <c r="C67" s="13">
        <v>45738</v>
      </c>
      <c r="D67" s="20">
        <v>45812</v>
      </c>
      <c r="E67" s="21">
        <v>3</v>
      </c>
      <c r="F67" s="21">
        <v>0</v>
      </c>
      <c r="G67" s="21">
        <v>125</v>
      </c>
      <c r="H67" s="21">
        <v>112</v>
      </c>
      <c r="I67" s="21"/>
      <c r="J67" s="21">
        <v>129</v>
      </c>
      <c r="K67" s="21"/>
      <c r="L67" s="21"/>
      <c r="M67" s="21">
        <f>AVERAGE(G67,H67,J67)</f>
        <v>122</v>
      </c>
      <c r="N67" s="20">
        <v>45833</v>
      </c>
      <c r="O67" s="21">
        <v>2</v>
      </c>
      <c r="P67" s="21">
        <v>1</v>
      </c>
      <c r="Q67" s="21">
        <v>280</v>
      </c>
      <c r="R67" s="21"/>
      <c r="S67" s="21"/>
      <c r="T67" s="21">
        <v>260</v>
      </c>
      <c r="U67" s="21"/>
      <c r="V67" s="21"/>
      <c r="W67" s="22">
        <f>AVERAGE(Q67,T67)</f>
        <v>270</v>
      </c>
    </row>
    <row r="68" spans="1:24" ht="14.25" customHeight="1" x14ac:dyDescent="0.25">
      <c r="A68" s="6">
        <v>2</v>
      </c>
      <c r="B68" s="8" t="s">
        <v>212</v>
      </c>
      <c r="C68" s="13">
        <v>45851</v>
      </c>
      <c r="D68" s="21" t="s">
        <v>428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2"/>
    </row>
    <row r="69" spans="1:24" ht="14.25" customHeight="1" x14ac:dyDescent="0.25">
      <c r="A69" s="6">
        <v>3</v>
      </c>
      <c r="B69" s="8" t="s">
        <v>325</v>
      </c>
      <c r="C69" s="13">
        <v>45950</v>
      </c>
      <c r="D69" s="20">
        <v>46020</v>
      </c>
      <c r="E69" s="21">
        <v>3</v>
      </c>
      <c r="F69" s="21">
        <v>0</v>
      </c>
      <c r="G69" s="21">
        <v>118</v>
      </c>
      <c r="H69" s="21"/>
      <c r="I69" s="21"/>
      <c r="J69" s="21">
        <v>120</v>
      </c>
      <c r="K69" s="21">
        <v>146</v>
      </c>
      <c r="L69" s="21"/>
      <c r="M69" s="21">
        <f>AVERAGE(G69:L69)</f>
        <v>128</v>
      </c>
      <c r="N69" s="20">
        <v>46039</v>
      </c>
      <c r="O69" s="21">
        <v>3</v>
      </c>
      <c r="P69" s="21">
        <v>0</v>
      </c>
      <c r="Q69" s="21">
        <v>307</v>
      </c>
      <c r="R69" s="21"/>
      <c r="S69" s="21"/>
      <c r="T69" s="21">
        <v>271</v>
      </c>
      <c r="U69" s="21">
        <v>291</v>
      </c>
      <c r="V69" s="21"/>
      <c r="W69" s="40">
        <f>AVERAGE(Q69:V69)</f>
        <v>289.66666666666669</v>
      </c>
    </row>
    <row r="70" spans="1:24" ht="16.5" customHeight="1" x14ac:dyDescent="0.25">
      <c r="A70" s="5">
        <v>4</v>
      </c>
      <c r="B70" s="8" t="s">
        <v>325</v>
      </c>
      <c r="C70" s="13">
        <v>46070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2"/>
    </row>
    <row r="71" spans="1:24" ht="15" customHeight="1" x14ac:dyDescent="0.25">
      <c r="A71" s="5">
        <v>5</v>
      </c>
      <c r="B71" s="8"/>
      <c r="C71" s="8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2"/>
    </row>
    <row r="72" spans="1:24" ht="15" customHeight="1" thickBot="1" x14ac:dyDescent="0.3">
      <c r="A72" s="7">
        <v>6</v>
      </c>
      <c r="B72" s="10"/>
      <c r="C72" s="10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9"/>
    </row>
    <row r="73" spans="1:24" ht="20.100000000000001" customHeight="1" x14ac:dyDescent="0.25"/>
    <row r="74" spans="1:24" ht="20.100000000000001" customHeight="1" thickBot="1" x14ac:dyDescent="0.3"/>
    <row r="75" spans="1:24" ht="20.100000000000001" customHeight="1" x14ac:dyDescent="0.25">
      <c r="A75" s="156" t="s">
        <v>2</v>
      </c>
      <c r="B75" s="157"/>
      <c r="C75" s="196" t="s">
        <v>228</v>
      </c>
      <c r="D75" s="196"/>
      <c r="E75" s="158" t="s">
        <v>404</v>
      </c>
      <c r="F75" s="112"/>
      <c r="G75" s="103" t="s">
        <v>4</v>
      </c>
      <c r="H75" s="157"/>
      <c r="I75" s="111" t="s">
        <v>359</v>
      </c>
      <c r="J75" s="158"/>
      <c r="K75" s="158"/>
      <c r="L75" s="158"/>
      <c r="M75" s="158"/>
      <c r="N75" s="112"/>
      <c r="O75" s="103" t="s">
        <v>6</v>
      </c>
      <c r="P75" s="157"/>
      <c r="Q75" s="103"/>
      <c r="R75" s="104"/>
      <c r="S75" s="104"/>
      <c r="T75" s="104"/>
      <c r="U75" s="104"/>
      <c r="V75" s="104"/>
      <c r="W75" s="105"/>
      <c r="X75" s="1"/>
    </row>
    <row r="76" spans="1:24" ht="20.100000000000001" customHeight="1" x14ac:dyDescent="0.25">
      <c r="A76" s="144" t="s">
        <v>7</v>
      </c>
      <c r="B76" s="145"/>
      <c r="C76" s="135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7"/>
      <c r="O76" s="135"/>
      <c r="P76" s="137"/>
      <c r="Q76" s="149"/>
      <c r="R76" s="150"/>
      <c r="S76" s="150"/>
      <c r="T76" s="150"/>
      <c r="U76" s="150"/>
      <c r="V76" s="150"/>
      <c r="W76" s="151"/>
      <c r="X76" s="1"/>
    </row>
    <row r="77" spans="1:24" ht="24.95" customHeight="1" x14ac:dyDescent="0.25">
      <c r="A77" s="152" t="s">
        <v>8</v>
      </c>
      <c r="B77" s="138" t="s">
        <v>9</v>
      </c>
      <c r="C77" s="138" t="s">
        <v>10</v>
      </c>
      <c r="D77" s="138" t="s">
        <v>11</v>
      </c>
      <c r="E77" s="138" t="s">
        <v>12</v>
      </c>
      <c r="F77" s="138" t="s">
        <v>13</v>
      </c>
      <c r="G77" s="140" t="s">
        <v>14</v>
      </c>
      <c r="H77" s="141"/>
      <c r="I77" s="141"/>
      <c r="J77" s="141"/>
      <c r="K77" s="141"/>
      <c r="L77" s="142"/>
      <c r="M77" s="138" t="s">
        <v>15</v>
      </c>
      <c r="N77" s="138" t="s">
        <v>16</v>
      </c>
      <c r="O77" s="138" t="s">
        <v>17</v>
      </c>
      <c r="P77" s="138" t="s">
        <v>18</v>
      </c>
      <c r="Q77" s="140" t="s">
        <v>19</v>
      </c>
      <c r="R77" s="141"/>
      <c r="S77" s="141"/>
      <c r="T77" s="141"/>
      <c r="U77" s="141"/>
      <c r="V77" s="142"/>
      <c r="W77" s="154" t="s">
        <v>20</v>
      </c>
      <c r="X77" s="3"/>
    </row>
    <row r="78" spans="1:24" ht="24.95" customHeight="1" x14ac:dyDescent="0.25">
      <c r="A78" s="153"/>
      <c r="B78" s="139"/>
      <c r="C78" s="139"/>
      <c r="D78" s="139"/>
      <c r="E78" s="139"/>
      <c r="F78" s="139"/>
      <c r="G78" s="31" t="s">
        <v>21</v>
      </c>
      <c r="H78" s="31" t="s">
        <v>21</v>
      </c>
      <c r="I78" s="31" t="s">
        <v>21</v>
      </c>
      <c r="J78" s="31" t="s">
        <v>22</v>
      </c>
      <c r="K78" s="31" t="s">
        <v>22</v>
      </c>
      <c r="L78" s="31" t="s">
        <v>22</v>
      </c>
      <c r="M78" s="139"/>
      <c r="N78" s="139"/>
      <c r="O78" s="139"/>
      <c r="P78" s="139"/>
      <c r="Q78" s="31" t="s">
        <v>21</v>
      </c>
      <c r="R78" s="31" t="s">
        <v>21</v>
      </c>
      <c r="S78" s="31" t="s">
        <v>21</v>
      </c>
      <c r="T78" s="31" t="s">
        <v>22</v>
      </c>
      <c r="U78" s="31" t="s">
        <v>22</v>
      </c>
      <c r="V78" s="31" t="s">
        <v>22</v>
      </c>
      <c r="W78" s="155"/>
      <c r="X78" s="3"/>
    </row>
    <row r="79" spans="1:24" ht="16.5" customHeight="1" x14ac:dyDescent="0.25">
      <c r="A79" s="5">
        <v>1</v>
      </c>
      <c r="B79" s="21" t="s">
        <v>227</v>
      </c>
      <c r="C79" s="13">
        <v>45738</v>
      </c>
      <c r="D79" s="13">
        <v>45835</v>
      </c>
      <c r="E79" s="21">
        <v>2</v>
      </c>
      <c r="F79" s="21">
        <v>0</v>
      </c>
      <c r="G79" s="21"/>
      <c r="H79" s="21"/>
      <c r="I79" s="21"/>
      <c r="J79" s="21">
        <v>184</v>
      </c>
      <c r="K79" s="21">
        <v>164</v>
      </c>
      <c r="L79" s="21"/>
      <c r="M79" s="21">
        <f>AVERAGE(G79:L79)</f>
        <v>174</v>
      </c>
      <c r="N79" s="20">
        <v>45848</v>
      </c>
      <c r="O79" s="21">
        <v>2</v>
      </c>
      <c r="P79" s="21">
        <v>0</v>
      </c>
      <c r="Q79" s="21"/>
      <c r="R79" s="21"/>
      <c r="S79" s="21"/>
      <c r="T79" s="21">
        <v>306</v>
      </c>
      <c r="U79" s="21">
        <v>251</v>
      </c>
      <c r="V79" s="21"/>
      <c r="W79" s="22">
        <f>AVERAGE(Q79:V79)</f>
        <v>278.5</v>
      </c>
    </row>
    <row r="80" spans="1:24" ht="15" customHeight="1" x14ac:dyDescent="0.25">
      <c r="A80" s="6">
        <v>2</v>
      </c>
      <c r="B80" s="21" t="s">
        <v>227</v>
      </c>
      <c r="C80" s="13">
        <v>45851</v>
      </c>
      <c r="D80" s="13">
        <v>45932</v>
      </c>
      <c r="E80" s="21">
        <v>3</v>
      </c>
      <c r="F80" s="21">
        <v>0</v>
      </c>
      <c r="G80" s="21">
        <v>90</v>
      </c>
      <c r="H80" s="21"/>
      <c r="I80" s="21"/>
      <c r="J80" s="21">
        <v>110</v>
      </c>
      <c r="K80" s="21">
        <v>87</v>
      </c>
      <c r="L80" s="21"/>
      <c r="M80" s="41">
        <f>AVERAGE(G80:L80)</f>
        <v>95.666666666666671</v>
      </c>
      <c r="N80" s="21"/>
      <c r="O80" s="21">
        <v>0</v>
      </c>
      <c r="P80" s="21"/>
      <c r="Q80" s="21"/>
      <c r="R80" s="21"/>
      <c r="S80" s="21"/>
      <c r="T80" s="21"/>
      <c r="U80" s="21"/>
      <c r="V80" s="21"/>
      <c r="W80" s="22"/>
    </row>
    <row r="81" spans="1:24" ht="15" customHeight="1" x14ac:dyDescent="0.25">
      <c r="A81" s="6">
        <v>3</v>
      </c>
      <c r="B81" s="21" t="s">
        <v>227</v>
      </c>
      <c r="C81" s="13">
        <v>45950</v>
      </c>
      <c r="D81" s="13">
        <v>46024</v>
      </c>
      <c r="E81" s="21">
        <v>4</v>
      </c>
      <c r="F81" s="21">
        <v>0</v>
      </c>
      <c r="G81" s="21">
        <v>110</v>
      </c>
      <c r="H81" s="21"/>
      <c r="I81" s="21"/>
      <c r="J81" s="21">
        <v>109</v>
      </c>
      <c r="K81" s="21">
        <v>115</v>
      </c>
      <c r="L81" s="21">
        <v>120</v>
      </c>
      <c r="M81" s="41">
        <f>AVERAGE(G81:L81)</f>
        <v>113.5</v>
      </c>
      <c r="N81" s="20">
        <v>46039</v>
      </c>
      <c r="O81" s="21">
        <v>3</v>
      </c>
      <c r="P81" s="21">
        <v>1</v>
      </c>
      <c r="Q81" s="21"/>
      <c r="R81" s="21"/>
      <c r="S81" s="21"/>
      <c r="T81" s="21">
        <v>219</v>
      </c>
      <c r="U81" s="21">
        <v>179</v>
      </c>
      <c r="V81" s="21">
        <v>253</v>
      </c>
      <c r="W81" s="22">
        <f>AVERAGE(Q81:V81)</f>
        <v>217</v>
      </c>
    </row>
    <row r="82" spans="1:24" ht="15.75" customHeight="1" x14ac:dyDescent="0.25">
      <c r="A82" s="5">
        <v>4</v>
      </c>
      <c r="B82" s="21" t="s">
        <v>227</v>
      </c>
      <c r="C82" s="13">
        <v>46039</v>
      </c>
      <c r="D82" s="13">
        <v>46111</v>
      </c>
      <c r="E82" s="21">
        <v>3</v>
      </c>
      <c r="F82" s="21">
        <v>0</v>
      </c>
      <c r="G82" s="21">
        <v>148</v>
      </c>
      <c r="H82" s="21">
        <v>132</v>
      </c>
      <c r="I82" s="21"/>
      <c r="J82" s="21">
        <v>132</v>
      </c>
      <c r="K82" s="21"/>
      <c r="L82" s="21"/>
      <c r="M82" s="41">
        <f>AVERAGE(G82:L82)</f>
        <v>137.33333333333334</v>
      </c>
      <c r="N82" s="20">
        <v>46133</v>
      </c>
      <c r="O82" s="21">
        <v>3</v>
      </c>
      <c r="P82" s="21">
        <v>0</v>
      </c>
      <c r="Q82" s="21">
        <v>264</v>
      </c>
      <c r="R82" s="21">
        <v>310</v>
      </c>
      <c r="S82" s="21"/>
      <c r="T82" s="21">
        <v>385</v>
      </c>
      <c r="U82" s="21"/>
      <c r="V82" s="21"/>
      <c r="W82" s="40">
        <f>AVERAGE(Q82:V82)</f>
        <v>319.66666666666669</v>
      </c>
    </row>
    <row r="83" spans="1:24" ht="15.75" customHeight="1" x14ac:dyDescent="0.25">
      <c r="A83" s="5">
        <v>5</v>
      </c>
      <c r="B83" s="21" t="s">
        <v>217</v>
      </c>
      <c r="C83" s="13">
        <v>46148</v>
      </c>
      <c r="D83" s="8"/>
      <c r="E83" s="21"/>
      <c r="F83" s="21"/>
      <c r="G83" s="21"/>
      <c r="H83" s="21"/>
      <c r="I83" s="21"/>
      <c r="J83" s="21"/>
      <c r="K83" s="21"/>
      <c r="L83" s="21"/>
      <c r="M83" s="41"/>
      <c r="N83" s="21"/>
      <c r="O83" s="21"/>
      <c r="P83" s="21"/>
      <c r="Q83" s="21"/>
      <c r="R83" s="21"/>
      <c r="S83" s="21"/>
      <c r="T83" s="21"/>
      <c r="U83" s="21"/>
      <c r="V83" s="21"/>
      <c r="W83" s="22"/>
    </row>
    <row r="84" spans="1:24" ht="15" customHeight="1" thickBot="1" x14ac:dyDescent="0.3">
      <c r="A84" s="7">
        <v>6</v>
      </c>
      <c r="B84" s="37"/>
      <c r="C84" s="10"/>
      <c r="D84" s="10"/>
      <c r="E84" s="37"/>
      <c r="F84" s="37"/>
      <c r="G84" s="37"/>
      <c r="H84" s="37"/>
      <c r="I84" s="37"/>
      <c r="J84" s="37"/>
      <c r="K84" s="37"/>
      <c r="L84" s="37"/>
      <c r="M84" s="42"/>
      <c r="N84" s="37"/>
      <c r="O84" s="37"/>
      <c r="P84" s="37"/>
      <c r="Q84" s="37"/>
      <c r="R84" s="37"/>
      <c r="S84" s="37"/>
      <c r="T84" s="37"/>
      <c r="U84" s="37"/>
      <c r="V84" s="37"/>
      <c r="W84" s="39"/>
    </row>
    <row r="85" spans="1:24" ht="20.100000000000001" customHeight="1" x14ac:dyDescent="0.25"/>
    <row r="86" spans="1:24" ht="20.100000000000001" customHeight="1" thickBot="1" x14ac:dyDescent="0.3"/>
    <row r="87" spans="1:24" ht="20.100000000000001" customHeight="1" x14ac:dyDescent="0.25">
      <c r="A87" s="156" t="s">
        <v>2</v>
      </c>
      <c r="B87" s="157"/>
      <c r="C87" s="178" t="s">
        <v>229</v>
      </c>
      <c r="D87" s="197"/>
      <c r="E87" s="109" t="s">
        <v>404</v>
      </c>
      <c r="F87" s="109"/>
      <c r="G87" s="103" t="s">
        <v>4</v>
      </c>
      <c r="H87" s="157"/>
      <c r="I87" s="111" t="s">
        <v>359</v>
      </c>
      <c r="J87" s="158"/>
      <c r="K87" s="158"/>
      <c r="L87" s="158"/>
      <c r="M87" s="158"/>
      <c r="N87" s="112"/>
      <c r="O87" s="103" t="s">
        <v>6</v>
      </c>
      <c r="P87" s="157"/>
      <c r="Q87" s="103"/>
      <c r="R87" s="104"/>
      <c r="S87" s="104"/>
      <c r="T87" s="104"/>
      <c r="U87" s="104"/>
      <c r="V87" s="104"/>
      <c r="W87" s="105"/>
      <c r="X87" s="1"/>
    </row>
    <row r="88" spans="1:24" ht="20.100000000000001" customHeight="1" x14ac:dyDescent="0.25">
      <c r="A88" s="144" t="s">
        <v>7</v>
      </c>
      <c r="B88" s="145"/>
      <c r="C88" s="146" t="s">
        <v>44</v>
      </c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8"/>
      <c r="O88" s="135"/>
      <c r="P88" s="137"/>
      <c r="Q88" s="149"/>
      <c r="R88" s="150"/>
      <c r="S88" s="150"/>
      <c r="T88" s="150"/>
      <c r="U88" s="150"/>
      <c r="V88" s="150"/>
      <c r="W88" s="151"/>
      <c r="X88" s="1"/>
    </row>
    <row r="89" spans="1:24" ht="24.95" customHeight="1" x14ac:dyDescent="0.25">
      <c r="A89" s="152" t="s">
        <v>8</v>
      </c>
      <c r="B89" s="138" t="s">
        <v>9</v>
      </c>
      <c r="C89" s="138" t="s">
        <v>10</v>
      </c>
      <c r="D89" s="138" t="s">
        <v>11</v>
      </c>
      <c r="E89" s="138" t="s">
        <v>12</v>
      </c>
      <c r="F89" s="138" t="s">
        <v>13</v>
      </c>
      <c r="G89" s="140" t="s">
        <v>14</v>
      </c>
      <c r="H89" s="141"/>
      <c r="I89" s="141"/>
      <c r="J89" s="141"/>
      <c r="K89" s="141"/>
      <c r="L89" s="142"/>
      <c r="M89" s="138" t="s">
        <v>15</v>
      </c>
      <c r="N89" s="138" t="s">
        <v>16</v>
      </c>
      <c r="O89" s="138" t="s">
        <v>17</v>
      </c>
      <c r="P89" s="138" t="s">
        <v>18</v>
      </c>
      <c r="Q89" s="140" t="s">
        <v>19</v>
      </c>
      <c r="R89" s="141"/>
      <c r="S89" s="141"/>
      <c r="T89" s="141"/>
      <c r="U89" s="141"/>
      <c r="V89" s="142"/>
      <c r="W89" s="154" t="s">
        <v>20</v>
      </c>
      <c r="X89" s="3"/>
    </row>
    <row r="90" spans="1:24" ht="24.95" customHeight="1" x14ac:dyDescent="0.25">
      <c r="A90" s="153"/>
      <c r="B90" s="139"/>
      <c r="C90" s="139"/>
      <c r="D90" s="139"/>
      <c r="E90" s="139"/>
      <c r="F90" s="139"/>
      <c r="G90" s="31" t="s">
        <v>21</v>
      </c>
      <c r="H90" s="31" t="s">
        <v>21</v>
      </c>
      <c r="I90" s="31" t="s">
        <v>21</v>
      </c>
      <c r="J90" s="31" t="s">
        <v>22</v>
      </c>
      <c r="K90" s="31" t="s">
        <v>22</v>
      </c>
      <c r="L90" s="31" t="s">
        <v>22</v>
      </c>
      <c r="M90" s="139"/>
      <c r="N90" s="139"/>
      <c r="O90" s="139"/>
      <c r="P90" s="139"/>
      <c r="Q90" s="31" t="s">
        <v>21</v>
      </c>
      <c r="R90" s="31" t="s">
        <v>21</v>
      </c>
      <c r="S90" s="31" t="s">
        <v>21</v>
      </c>
      <c r="T90" s="31" t="s">
        <v>22</v>
      </c>
      <c r="U90" s="31" t="s">
        <v>22</v>
      </c>
      <c r="V90" s="31" t="s">
        <v>22</v>
      </c>
      <c r="W90" s="155"/>
      <c r="X90" s="3"/>
    </row>
    <row r="91" spans="1:24" ht="15.75" customHeight="1" x14ac:dyDescent="0.25">
      <c r="A91" s="5">
        <v>1</v>
      </c>
      <c r="B91" s="21" t="s">
        <v>227</v>
      </c>
      <c r="C91" s="13">
        <v>45738</v>
      </c>
      <c r="D91" s="20">
        <v>45826</v>
      </c>
      <c r="E91" s="21">
        <v>1</v>
      </c>
      <c r="F91" s="21">
        <v>0</v>
      </c>
      <c r="G91" s="21"/>
      <c r="H91" s="21"/>
      <c r="I91" s="21"/>
      <c r="J91" s="21">
        <v>170</v>
      </c>
      <c r="K91" s="21"/>
      <c r="L91" s="21"/>
      <c r="M91" s="21">
        <v>170</v>
      </c>
      <c r="N91" s="20">
        <v>45839</v>
      </c>
      <c r="O91" s="21">
        <v>1</v>
      </c>
      <c r="P91" s="21">
        <v>0</v>
      </c>
      <c r="Q91" s="21"/>
      <c r="R91" s="21"/>
      <c r="S91" s="21"/>
      <c r="T91" s="21">
        <v>343</v>
      </c>
      <c r="U91" s="21"/>
      <c r="V91" s="21"/>
      <c r="W91" s="22">
        <v>343</v>
      </c>
    </row>
    <row r="92" spans="1:24" ht="14.25" customHeight="1" x14ac:dyDescent="0.25">
      <c r="A92" s="6">
        <v>2</v>
      </c>
      <c r="B92" s="21" t="s">
        <v>227</v>
      </c>
      <c r="C92" s="13">
        <v>45851</v>
      </c>
      <c r="D92" s="20">
        <v>45920</v>
      </c>
      <c r="E92" s="21">
        <v>3</v>
      </c>
      <c r="F92" s="21">
        <v>0</v>
      </c>
      <c r="G92" s="21">
        <v>138</v>
      </c>
      <c r="H92" s="21"/>
      <c r="I92" s="21"/>
      <c r="J92" s="21">
        <v>155</v>
      </c>
      <c r="K92" s="21">
        <v>145</v>
      </c>
      <c r="L92" s="21"/>
      <c r="M92" s="21">
        <f>AVERAGE(G92:L92)</f>
        <v>146</v>
      </c>
      <c r="N92" s="20">
        <v>45944</v>
      </c>
      <c r="O92" s="21">
        <v>2</v>
      </c>
      <c r="P92" s="21">
        <v>1</v>
      </c>
      <c r="Q92" s="21"/>
      <c r="R92" s="21"/>
      <c r="S92" s="21"/>
      <c r="T92" s="21">
        <v>282</v>
      </c>
      <c r="U92" s="21">
        <v>229</v>
      </c>
      <c r="V92" s="21"/>
      <c r="W92" s="22">
        <f>AVERAGE(Q92:V92)</f>
        <v>255.5</v>
      </c>
    </row>
    <row r="93" spans="1:24" ht="15.75" customHeight="1" x14ac:dyDescent="0.25">
      <c r="A93" s="6">
        <v>3</v>
      </c>
      <c r="B93" s="21" t="s">
        <v>227</v>
      </c>
      <c r="C93" s="13">
        <v>45950</v>
      </c>
      <c r="D93" s="20">
        <v>46019</v>
      </c>
      <c r="E93" s="21">
        <v>2</v>
      </c>
      <c r="F93" s="21">
        <v>0</v>
      </c>
      <c r="G93" s="21">
        <v>125</v>
      </c>
      <c r="H93" s="21">
        <v>124</v>
      </c>
      <c r="I93" s="21"/>
      <c r="J93" s="21"/>
      <c r="K93" s="21"/>
      <c r="L93" s="21"/>
      <c r="M93" s="21">
        <f>AVERAGE(G93:L93)</f>
        <v>124.5</v>
      </c>
      <c r="N93" s="21"/>
      <c r="O93" s="21">
        <v>0</v>
      </c>
      <c r="P93" s="21"/>
      <c r="Q93" s="21"/>
      <c r="R93" s="21"/>
      <c r="S93" s="21"/>
      <c r="T93" s="21"/>
      <c r="U93" s="21"/>
      <c r="V93" s="21"/>
      <c r="W93" s="22"/>
    </row>
    <row r="94" spans="1:24" ht="15" customHeight="1" x14ac:dyDescent="0.25">
      <c r="A94" s="5">
        <v>4</v>
      </c>
      <c r="B94" s="21" t="s">
        <v>227</v>
      </c>
      <c r="C94" s="13">
        <v>46039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2"/>
    </row>
    <row r="95" spans="1:24" ht="15.75" customHeight="1" x14ac:dyDescent="0.25">
      <c r="A95" s="5">
        <v>5</v>
      </c>
      <c r="B95" s="21"/>
      <c r="C95" s="8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2"/>
    </row>
    <row r="96" spans="1:24" ht="15.75" customHeight="1" thickBot="1" x14ac:dyDescent="0.3">
      <c r="A96" s="7">
        <v>6</v>
      </c>
      <c r="B96" s="37"/>
      <c r="C96" s="10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9"/>
    </row>
    <row r="97" spans="1:24" ht="20.100000000000001" customHeight="1" x14ac:dyDescent="0.25"/>
    <row r="98" spans="1:24" ht="20.100000000000001" customHeight="1" thickBot="1" x14ac:dyDescent="0.3"/>
    <row r="99" spans="1:24" ht="20.100000000000001" customHeight="1" x14ac:dyDescent="0.25">
      <c r="A99" s="156" t="s">
        <v>2</v>
      </c>
      <c r="B99" s="157"/>
      <c r="C99" s="178" t="s">
        <v>230</v>
      </c>
      <c r="D99" s="197"/>
      <c r="E99" s="158" t="s">
        <v>404</v>
      </c>
      <c r="F99" s="112"/>
      <c r="G99" s="103" t="s">
        <v>4</v>
      </c>
      <c r="H99" s="157"/>
      <c r="I99" s="111" t="s">
        <v>359</v>
      </c>
      <c r="J99" s="158"/>
      <c r="K99" s="158"/>
      <c r="L99" s="158"/>
      <c r="M99" s="158"/>
      <c r="N99" s="112"/>
      <c r="O99" s="103" t="s">
        <v>6</v>
      </c>
      <c r="P99" s="157"/>
      <c r="Q99" s="103"/>
      <c r="R99" s="104"/>
      <c r="S99" s="104"/>
      <c r="T99" s="104"/>
      <c r="U99" s="104"/>
      <c r="V99" s="104"/>
      <c r="W99" s="105"/>
      <c r="X99" s="1"/>
    </row>
    <row r="100" spans="1:24" ht="20.100000000000001" customHeight="1" x14ac:dyDescent="0.25">
      <c r="A100" s="144" t="s">
        <v>7</v>
      </c>
      <c r="B100" s="145"/>
      <c r="C100" s="161" t="s">
        <v>220</v>
      </c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3"/>
      <c r="O100" s="135"/>
      <c r="P100" s="137"/>
      <c r="Q100" s="149"/>
      <c r="R100" s="150"/>
      <c r="S100" s="150"/>
      <c r="T100" s="150"/>
      <c r="U100" s="150"/>
      <c r="V100" s="150"/>
      <c r="W100" s="151"/>
      <c r="X100" s="1"/>
    </row>
    <row r="101" spans="1:24" ht="24.95" customHeight="1" x14ac:dyDescent="0.25">
      <c r="A101" s="152" t="s">
        <v>8</v>
      </c>
      <c r="B101" s="138" t="s">
        <v>9</v>
      </c>
      <c r="C101" s="138" t="s">
        <v>10</v>
      </c>
      <c r="D101" s="138" t="s">
        <v>11</v>
      </c>
      <c r="E101" s="138" t="s">
        <v>12</v>
      </c>
      <c r="F101" s="138" t="s">
        <v>13</v>
      </c>
      <c r="G101" s="140" t="s">
        <v>14</v>
      </c>
      <c r="H101" s="141"/>
      <c r="I101" s="141"/>
      <c r="J101" s="141"/>
      <c r="K101" s="141"/>
      <c r="L101" s="142"/>
      <c r="M101" s="138" t="s">
        <v>15</v>
      </c>
      <c r="N101" s="138" t="s">
        <v>16</v>
      </c>
      <c r="O101" s="138" t="s">
        <v>17</v>
      </c>
      <c r="P101" s="138" t="s">
        <v>18</v>
      </c>
      <c r="Q101" s="140" t="s">
        <v>19</v>
      </c>
      <c r="R101" s="141"/>
      <c r="S101" s="141"/>
      <c r="T101" s="141"/>
      <c r="U101" s="141"/>
      <c r="V101" s="142"/>
      <c r="W101" s="154" t="s">
        <v>20</v>
      </c>
      <c r="X101" s="3"/>
    </row>
    <row r="102" spans="1:24" ht="24.95" customHeight="1" x14ac:dyDescent="0.25">
      <c r="A102" s="153"/>
      <c r="B102" s="139"/>
      <c r="C102" s="139"/>
      <c r="D102" s="139"/>
      <c r="E102" s="139"/>
      <c r="F102" s="139"/>
      <c r="G102" s="31" t="s">
        <v>21</v>
      </c>
      <c r="H102" s="31" t="s">
        <v>21</v>
      </c>
      <c r="I102" s="31" t="s">
        <v>21</v>
      </c>
      <c r="J102" s="31" t="s">
        <v>22</v>
      </c>
      <c r="K102" s="31" t="s">
        <v>22</v>
      </c>
      <c r="L102" s="31" t="s">
        <v>22</v>
      </c>
      <c r="M102" s="139"/>
      <c r="N102" s="139"/>
      <c r="O102" s="139"/>
      <c r="P102" s="139"/>
      <c r="Q102" s="31" t="s">
        <v>21</v>
      </c>
      <c r="R102" s="31" t="s">
        <v>21</v>
      </c>
      <c r="S102" s="31" t="s">
        <v>21</v>
      </c>
      <c r="T102" s="31" t="s">
        <v>22</v>
      </c>
      <c r="U102" s="31" t="s">
        <v>22</v>
      </c>
      <c r="V102" s="31" t="s">
        <v>22</v>
      </c>
      <c r="W102" s="155"/>
      <c r="X102" s="3"/>
    </row>
    <row r="103" spans="1:24" ht="15.75" customHeight="1" x14ac:dyDescent="0.25">
      <c r="A103" s="5">
        <v>1</v>
      </c>
      <c r="B103" s="21" t="s">
        <v>227</v>
      </c>
      <c r="C103" s="13">
        <v>45738</v>
      </c>
      <c r="D103" s="20">
        <v>45828</v>
      </c>
      <c r="E103" s="21">
        <v>2</v>
      </c>
      <c r="F103" s="21">
        <v>0</v>
      </c>
      <c r="G103" s="21">
        <v>160</v>
      </c>
      <c r="H103" s="21"/>
      <c r="I103" s="21"/>
      <c r="J103" s="21">
        <v>163</v>
      </c>
      <c r="K103" s="21"/>
      <c r="L103" s="21"/>
      <c r="M103" s="21">
        <f>AVERAGE(G103:L103)</f>
        <v>161.5</v>
      </c>
      <c r="N103" s="20">
        <v>45848</v>
      </c>
      <c r="O103" s="21">
        <v>2</v>
      </c>
      <c r="P103" s="21">
        <v>0</v>
      </c>
      <c r="Q103" s="21">
        <v>356</v>
      </c>
      <c r="R103" s="21"/>
      <c r="S103" s="21"/>
      <c r="T103" s="21">
        <v>388</v>
      </c>
      <c r="U103" s="21"/>
      <c r="V103" s="21"/>
      <c r="W103" s="22">
        <f>AVERAGE(Q103:V103)</f>
        <v>372</v>
      </c>
    </row>
    <row r="104" spans="1:24" ht="14.25" customHeight="1" x14ac:dyDescent="0.25">
      <c r="A104" s="6">
        <v>2</v>
      </c>
      <c r="B104" s="21" t="s">
        <v>227</v>
      </c>
      <c r="C104" s="13">
        <v>45851</v>
      </c>
      <c r="D104" s="20">
        <v>45919</v>
      </c>
      <c r="E104" s="21">
        <v>2</v>
      </c>
      <c r="F104" s="21">
        <v>0</v>
      </c>
      <c r="G104" s="21">
        <v>177</v>
      </c>
      <c r="H104" s="21">
        <v>185</v>
      </c>
      <c r="I104" s="21"/>
      <c r="J104" s="21">
        <v>150</v>
      </c>
      <c r="K104" s="21"/>
      <c r="L104" s="21"/>
      <c r="M104" s="21">
        <f>AVERAGE(G104:L104)</f>
        <v>170.66666666666666</v>
      </c>
      <c r="N104" s="20">
        <v>45944</v>
      </c>
      <c r="O104" s="21">
        <v>2</v>
      </c>
      <c r="P104" s="21">
        <v>0</v>
      </c>
      <c r="Q104" s="21">
        <v>328</v>
      </c>
      <c r="R104" s="21">
        <v>348</v>
      </c>
      <c r="S104" s="21"/>
      <c r="T104" s="21"/>
      <c r="U104" s="21"/>
      <c r="V104" s="21"/>
      <c r="W104" s="22">
        <f>AVERAGE(Q104:V104)</f>
        <v>338</v>
      </c>
    </row>
    <row r="105" spans="1:24" ht="15" customHeight="1" x14ac:dyDescent="0.25">
      <c r="A105" s="6">
        <v>3</v>
      </c>
      <c r="B105" s="21" t="s">
        <v>227</v>
      </c>
      <c r="C105" s="13">
        <v>45950</v>
      </c>
      <c r="D105" s="21" t="s">
        <v>428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2"/>
    </row>
    <row r="106" spans="1:24" ht="16.5" customHeight="1" x14ac:dyDescent="0.25">
      <c r="A106" s="5">
        <v>4</v>
      </c>
      <c r="B106" s="21" t="s">
        <v>227</v>
      </c>
      <c r="C106" s="13">
        <v>46039</v>
      </c>
      <c r="D106" s="20">
        <v>46115</v>
      </c>
      <c r="E106" s="21">
        <v>2</v>
      </c>
      <c r="F106" s="21">
        <v>0</v>
      </c>
      <c r="G106" s="21"/>
      <c r="H106" s="21"/>
      <c r="I106" s="21"/>
      <c r="J106" s="21">
        <v>130</v>
      </c>
      <c r="K106" s="21">
        <v>145</v>
      </c>
      <c r="L106" s="21"/>
      <c r="M106" s="21">
        <f>AVERAGE(G106:L106)</f>
        <v>137.5</v>
      </c>
      <c r="N106" s="20">
        <v>46139</v>
      </c>
      <c r="O106" s="21">
        <v>2</v>
      </c>
      <c r="P106" s="21">
        <v>0</v>
      </c>
      <c r="Q106" s="21"/>
      <c r="R106" s="21"/>
      <c r="S106" s="21"/>
      <c r="T106" s="21">
        <v>223</v>
      </c>
      <c r="U106" s="21">
        <v>257</v>
      </c>
      <c r="V106" s="21"/>
      <c r="W106" s="22">
        <f>AVERAGE(Q106:V106)</f>
        <v>240</v>
      </c>
    </row>
    <row r="107" spans="1:24" ht="14.25" customHeight="1" x14ac:dyDescent="0.25">
      <c r="A107" s="5">
        <v>5</v>
      </c>
      <c r="B107" s="21" t="s">
        <v>217</v>
      </c>
      <c r="C107" s="13">
        <v>46148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2"/>
    </row>
    <row r="108" spans="1:24" ht="15.75" customHeight="1" thickBot="1" x14ac:dyDescent="0.3">
      <c r="A108" s="7">
        <v>6</v>
      </c>
      <c r="B108" s="37"/>
      <c r="C108" s="10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9"/>
    </row>
    <row r="109" spans="1:24" ht="20.100000000000001" customHeight="1" x14ac:dyDescent="0.25"/>
    <row r="110" spans="1:24" ht="20.100000000000001" customHeight="1" thickBot="1" x14ac:dyDescent="0.3"/>
    <row r="111" spans="1:24" ht="20.100000000000001" customHeight="1" x14ac:dyDescent="0.25">
      <c r="A111" s="156" t="s">
        <v>2</v>
      </c>
      <c r="B111" s="157"/>
      <c r="C111" s="182" t="s">
        <v>246</v>
      </c>
      <c r="D111" s="199"/>
      <c r="E111" s="158" t="s">
        <v>404</v>
      </c>
      <c r="F111" s="112"/>
      <c r="G111" s="103" t="s">
        <v>4</v>
      </c>
      <c r="H111" s="157"/>
      <c r="I111" s="111" t="s">
        <v>359</v>
      </c>
      <c r="J111" s="158"/>
      <c r="K111" s="158"/>
      <c r="L111" s="158"/>
      <c r="M111" s="158"/>
      <c r="N111" s="112"/>
      <c r="O111" s="103" t="s">
        <v>6</v>
      </c>
      <c r="P111" s="157"/>
      <c r="Q111" s="103"/>
      <c r="R111" s="104"/>
      <c r="S111" s="104"/>
      <c r="T111" s="104"/>
      <c r="U111" s="104"/>
      <c r="V111" s="104"/>
      <c r="W111" s="105"/>
      <c r="X111" s="1"/>
    </row>
    <row r="112" spans="1:24" ht="20.100000000000001" customHeight="1" x14ac:dyDescent="0.25">
      <c r="A112" s="144" t="s">
        <v>7</v>
      </c>
      <c r="B112" s="145"/>
      <c r="C112" s="135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7"/>
      <c r="O112" s="135"/>
      <c r="P112" s="137"/>
      <c r="Q112" s="149"/>
      <c r="R112" s="150"/>
      <c r="S112" s="150"/>
      <c r="T112" s="150"/>
      <c r="U112" s="150"/>
      <c r="V112" s="150"/>
      <c r="W112" s="151"/>
      <c r="X112" s="1"/>
    </row>
    <row r="113" spans="1:24" ht="24.95" customHeight="1" x14ac:dyDescent="0.25">
      <c r="A113" s="152" t="s">
        <v>8</v>
      </c>
      <c r="B113" s="138" t="s">
        <v>9</v>
      </c>
      <c r="C113" s="138" t="s">
        <v>10</v>
      </c>
      <c r="D113" s="138" t="s">
        <v>11</v>
      </c>
      <c r="E113" s="138" t="s">
        <v>12</v>
      </c>
      <c r="F113" s="138" t="s">
        <v>13</v>
      </c>
      <c r="G113" s="140" t="s">
        <v>14</v>
      </c>
      <c r="H113" s="141"/>
      <c r="I113" s="141"/>
      <c r="J113" s="141"/>
      <c r="K113" s="141"/>
      <c r="L113" s="142"/>
      <c r="M113" s="138" t="s">
        <v>15</v>
      </c>
      <c r="N113" s="138" t="s">
        <v>16</v>
      </c>
      <c r="O113" s="138" t="s">
        <v>17</v>
      </c>
      <c r="P113" s="138" t="s">
        <v>18</v>
      </c>
      <c r="Q113" s="140" t="s">
        <v>19</v>
      </c>
      <c r="R113" s="141"/>
      <c r="S113" s="141"/>
      <c r="T113" s="141"/>
      <c r="U113" s="141"/>
      <c r="V113" s="142"/>
      <c r="W113" s="154" t="s">
        <v>20</v>
      </c>
      <c r="X113" s="3"/>
    </row>
    <row r="114" spans="1:24" ht="24.95" customHeight="1" x14ac:dyDescent="0.25">
      <c r="A114" s="153"/>
      <c r="B114" s="139"/>
      <c r="C114" s="139"/>
      <c r="D114" s="139"/>
      <c r="E114" s="139"/>
      <c r="F114" s="139"/>
      <c r="G114" s="31" t="s">
        <v>21</v>
      </c>
      <c r="H114" s="31" t="s">
        <v>21</v>
      </c>
      <c r="I114" s="31" t="s">
        <v>21</v>
      </c>
      <c r="J114" s="31" t="s">
        <v>22</v>
      </c>
      <c r="K114" s="31" t="s">
        <v>22</v>
      </c>
      <c r="L114" s="31" t="s">
        <v>22</v>
      </c>
      <c r="M114" s="139"/>
      <c r="N114" s="139"/>
      <c r="O114" s="139"/>
      <c r="P114" s="139"/>
      <c r="Q114" s="31" t="s">
        <v>21</v>
      </c>
      <c r="R114" s="31" t="s">
        <v>21</v>
      </c>
      <c r="S114" s="31" t="s">
        <v>21</v>
      </c>
      <c r="T114" s="31" t="s">
        <v>22</v>
      </c>
      <c r="U114" s="31" t="s">
        <v>22</v>
      </c>
      <c r="V114" s="31" t="s">
        <v>22</v>
      </c>
      <c r="W114" s="155"/>
      <c r="X114" s="3"/>
    </row>
    <row r="115" spans="1:24" ht="15.75" customHeight="1" x14ac:dyDescent="0.25">
      <c r="A115" s="5">
        <v>1</v>
      </c>
      <c r="B115" s="21" t="s">
        <v>227</v>
      </c>
      <c r="C115" s="13">
        <v>45738</v>
      </c>
      <c r="D115" s="20">
        <v>45807</v>
      </c>
      <c r="E115" s="21">
        <v>2</v>
      </c>
      <c r="F115" s="21">
        <v>1</v>
      </c>
      <c r="G115" s="21">
        <v>154</v>
      </c>
      <c r="H115" s="21"/>
      <c r="I115" s="21"/>
      <c r="J115" s="21">
        <v>138</v>
      </c>
      <c r="K115" s="21"/>
      <c r="L115" s="21"/>
      <c r="M115" s="21">
        <f>AVERAGE(J115,G115)</f>
        <v>146</v>
      </c>
      <c r="N115" s="20">
        <v>45833</v>
      </c>
      <c r="O115" s="21">
        <v>1</v>
      </c>
      <c r="P115" s="21">
        <v>1</v>
      </c>
      <c r="Q115" s="21"/>
      <c r="R115" s="21"/>
      <c r="S115" s="21"/>
      <c r="T115" s="21">
        <v>322</v>
      </c>
      <c r="U115" s="21"/>
      <c r="V115" s="21"/>
      <c r="W115" s="22">
        <v>322</v>
      </c>
    </row>
    <row r="116" spans="1:24" ht="14.25" customHeight="1" x14ac:dyDescent="0.25">
      <c r="A116" s="6">
        <v>2</v>
      </c>
      <c r="B116" s="21" t="s">
        <v>227</v>
      </c>
      <c r="C116" s="13">
        <v>45851</v>
      </c>
      <c r="D116" s="20">
        <v>45923</v>
      </c>
      <c r="E116" s="21">
        <v>3</v>
      </c>
      <c r="F116" s="21">
        <v>0</v>
      </c>
      <c r="G116" s="21">
        <v>117</v>
      </c>
      <c r="H116" s="21"/>
      <c r="I116" s="21"/>
      <c r="J116" s="21">
        <v>115</v>
      </c>
      <c r="K116" s="21">
        <v>120</v>
      </c>
      <c r="L116" s="21"/>
      <c r="M116" s="41">
        <f>AVERAGE(G116:L116)</f>
        <v>117.33333333333333</v>
      </c>
      <c r="N116" s="20">
        <v>45944</v>
      </c>
      <c r="O116" s="21">
        <v>0</v>
      </c>
      <c r="P116" s="21">
        <v>3</v>
      </c>
      <c r="Q116" s="21"/>
      <c r="R116" s="21"/>
      <c r="S116" s="21"/>
      <c r="T116" s="21"/>
      <c r="U116" s="21"/>
      <c r="V116" s="21"/>
      <c r="W116" s="22"/>
    </row>
    <row r="117" spans="1:24" ht="14.25" customHeight="1" x14ac:dyDescent="0.25">
      <c r="A117" s="6">
        <v>3</v>
      </c>
      <c r="B117" s="21" t="s">
        <v>227</v>
      </c>
      <c r="C117" s="13">
        <v>45950</v>
      </c>
      <c r="D117" s="20">
        <v>46022</v>
      </c>
      <c r="E117" s="21">
        <v>2</v>
      </c>
      <c r="F117" s="21">
        <v>0</v>
      </c>
      <c r="G117" s="21"/>
      <c r="H117" s="21"/>
      <c r="I117" s="21"/>
      <c r="J117" s="21">
        <v>130</v>
      </c>
      <c r="K117" s="21">
        <v>135</v>
      </c>
      <c r="L117" s="21"/>
      <c r="M117" s="41">
        <f>AVERAGE(G117:L117)</f>
        <v>132.5</v>
      </c>
      <c r="N117" s="20">
        <v>46039</v>
      </c>
      <c r="O117" s="21">
        <v>2</v>
      </c>
      <c r="P117" s="21">
        <v>0</v>
      </c>
      <c r="Q117" s="21"/>
      <c r="R117" s="21"/>
      <c r="S117" s="21"/>
      <c r="T117" s="21">
        <v>244</v>
      </c>
      <c r="U117" s="21">
        <v>261</v>
      </c>
      <c r="V117" s="21"/>
      <c r="W117" s="22">
        <f>AVERAGE(Q117:V117)</f>
        <v>252.5</v>
      </c>
    </row>
    <row r="118" spans="1:24" ht="15.75" customHeight="1" x14ac:dyDescent="0.25">
      <c r="A118" s="5">
        <v>4</v>
      </c>
      <c r="B118" s="21" t="s">
        <v>227</v>
      </c>
      <c r="C118" s="13">
        <v>46039</v>
      </c>
      <c r="D118" s="21" t="s">
        <v>491</v>
      </c>
      <c r="E118" s="21">
        <v>2</v>
      </c>
      <c r="F118" s="21">
        <v>0</v>
      </c>
      <c r="G118" s="21"/>
      <c r="H118" s="21"/>
      <c r="I118" s="21"/>
      <c r="J118" s="21">
        <v>158</v>
      </c>
      <c r="K118" s="21">
        <v>168</v>
      </c>
      <c r="L118" s="21"/>
      <c r="M118" s="41">
        <f>AVERAGE(G118:L118)</f>
        <v>163</v>
      </c>
      <c r="N118" s="20">
        <v>46133</v>
      </c>
      <c r="O118" s="21">
        <v>2</v>
      </c>
      <c r="P118" s="21">
        <v>0</v>
      </c>
      <c r="Q118" s="21"/>
      <c r="R118" s="21"/>
      <c r="S118" s="21"/>
      <c r="T118" s="21">
        <v>291</v>
      </c>
      <c r="U118" s="21">
        <v>274</v>
      </c>
      <c r="V118" s="21"/>
      <c r="W118" s="22">
        <f>AVERAGE(Q118:V118)</f>
        <v>282.5</v>
      </c>
    </row>
    <row r="119" spans="1:24" ht="15" customHeight="1" x14ac:dyDescent="0.25">
      <c r="A119" s="5">
        <v>5</v>
      </c>
      <c r="B119" s="21" t="s">
        <v>217</v>
      </c>
      <c r="C119" s="13">
        <v>46148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41"/>
      <c r="N119" s="21"/>
      <c r="O119" s="21"/>
      <c r="P119" s="21"/>
      <c r="Q119" s="21"/>
      <c r="R119" s="21"/>
      <c r="S119" s="21"/>
      <c r="T119" s="21"/>
      <c r="U119" s="21"/>
      <c r="V119" s="21"/>
      <c r="W119" s="22"/>
    </row>
    <row r="120" spans="1:24" ht="15.75" customHeight="1" thickBot="1" x14ac:dyDescent="0.3">
      <c r="A120" s="7">
        <v>6</v>
      </c>
      <c r="B120" s="37"/>
      <c r="C120" s="10"/>
      <c r="D120" s="37"/>
      <c r="E120" s="37"/>
      <c r="F120" s="37"/>
      <c r="G120" s="37"/>
      <c r="H120" s="37"/>
      <c r="I120" s="37"/>
      <c r="J120" s="37"/>
      <c r="K120" s="37"/>
      <c r="L120" s="37"/>
      <c r="M120" s="42"/>
      <c r="N120" s="37"/>
      <c r="O120" s="37"/>
      <c r="P120" s="37"/>
      <c r="Q120" s="37"/>
      <c r="R120" s="37"/>
      <c r="S120" s="37"/>
      <c r="T120" s="37"/>
      <c r="U120" s="37"/>
      <c r="V120" s="37"/>
      <c r="W120" s="39"/>
    </row>
    <row r="121" spans="1:24" ht="20.100000000000001" customHeight="1" x14ac:dyDescent="0.25"/>
    <row r="122" spans="1:24" ht="20.100000000000001" customHeight="1" thickBot="1" x14ac:dyDescent="0.3"/>
    <row r="123" spans="1:24" ht="20.100000000000001" customHeight="1" x14ac:dyDescent="0.25">
      <c r="A123" s="156" t="s">
        <v>2</v>
      </c>
      <c r="B123" s="157"/>
      <c r="C123" s="182" t="s">
        <v>247</v>
      </c>
      <c r="D123" s="199"/>
      <c r="E123" s="109" t="s">
        <v>404</v>
      </c>
      <c r="F123" s="109"/>
      <c r="G123" s="103" t="s">
        <v>4</v>
      </c>
      <c r="H123" s="157"/>
      <c r="I123" s="111" t="s">
        <v>359</v>
      </c>
      <c r="J123" s="158"/>
      <c r="K123" s="158"/>
      <c r="L123" s="158"/>
      <c r="M123" s="158"/>
      <c r="N123" s="112"/>
      <c r="O123" s="103" t="s">
        <v>6</v>
      </c>
      <c r="P123" s="157"/>
      <c r="Q123" s="103"/>
      <c r="R123" s="104"/>
      <c r="S123" s="104"/>
      <c r="T123" s="104"/>
      <c r="U123" s="104"/>
      <c r="V123" s="104"/>
      <c r="W123" s="105"/>
      <c r="X123" s="1"/>
    </row>
    <row r="124" spans="1:24" ht="20.100000000000001" customHeight="1" x14ac:dyDescent="0.25">
      <c r="A124" s="144" t="s">
        <v>7</v>
      </c>
      <c r="B124" s="145"/>
      <c r="C124" s="135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7"/>
      <c r="O124" s="135"/>
      <c r="P124" s="137"/>
      <c r="Q124" s="149"/>
      <c r="R124" s="150"/>
      <c r="S124" s="150"/>
      <c r="T124" s="150"/>
      <c r="U124" s="150"/>
      <c r="V124" s="150"/>
      <c r="W124" s="151"/>
      <c r="X124" s="1"/>
    </row>
    <row r="125" spans="1:24" ht="24.95" customHeight="1" x14ac:dyDescent="0.25">
      <c r="A125" s="152" t="s">
        <v>8</v>
      </c>
      <c r="B125" s="138" t="s">
        <v>9</v>
      </c>
      <c r="C125" s="138" t="s">
        <v>10</v>
      </c>
      <c r="D125" s="138" t="s">
        <v>11</v>
      </c>
      <c r="E125" s="138" t="s">
        <v>12</v>
      </c>
      <c r="F125" s="138" t="s">
        <v>13</v>
      </c>
      <c r="G125" s="140" t="s">
        <v>14</v>
      </c>
      <c r="H125" s="141"/>
      <c r="I125" s="141"/>
      <c r="J125" s="141"/>
      <c r="K125" s="141"/>
      <c r="L125" s="142"/>
      <c r="M125" s="138" t="s">
        <v>15</v>
      </c>
      <c r="N125" s="138" t="s">
        <v>16</v>
      </c>
      <c r="O125" s="138" t="s">
        <v>17</v>
      </c>
      <c r="P125" s="138" t="s">
        <v>18</v>
      </c>
      <c r="Q125" s="140" t="s">
        <v>19</v>
      </c>
      <c r="R125" s="141"/>
      <c r="S125" s="141"/>
      <c r="T125" s="141"/>
      <c r="U125" s="141"/>
      <c r="V125" s="142"/>
      <c r="W125" s="154" t="s">
        <v>20</v>
      </c>
      <c r="X125" s="3"/>
    </row>
    <row r="126" spans="1:24" ht="24.95" customHeight="1" x14ac:dyDescent="0.25">
      <c r="A126" s="153"/>
      <c r="B126" s="139"/>
      <c r="C126" s="139"/>
      <c r="D126" s="139"/>
      <c r="E126" s="139"/>
      <c r="F126" s="139"/>
      <c r="G126" s="31" t="s">
        <v>21</v>
      </c>
      <c r="H126" s="31" t="s">
        <v>21</v>
      </c>
      <c r="I126" s="31" t="s">
        <v>21</v>
      </c>
      <c r="J126" s="31" t="s">
        <v>22</v>
      </c>
      <c r="K126" s="31" t="s">
        <v>22</v>
      </c>
      <c r="L126" s="31" t="s">
        <v>22</v>
      </c>
      <c r="M126" s="139"/>
      <c r="N126" s="139"/>
      <c r="O126" s="139"/>
      <c r="P126" s="139"/>
      <c r="Q126" s="31" t="s">
        <v>21</v>
      </c>
      <c r="R126" s="31" t="s">
        <v>21</v>
      </c>
      <c r="S126" s="31" t="s">
        <v>21</v>
      </c>
      <c r="T126" s="31" t="s">
        <v>22</v>
      </c>
      <c r="U126" s="31" t="s">
        <v>22</v>
      </c>
      <c r="V126" s="31" t="s">
        <v>22</v>
      </c>
      <c r="W126" s="155"/>
      <c r="X126" s="3"/>
    </row>
    <row r="127" spans="1:24" ht="14.25" customHeight="1" x14ac:dyDescent="0.25">
      <c r="A127" s="5">
        <v>1</v>
      </c>
      <c r="B127" s="21" t="s">
        <v>227</v>
      </c>
      <c r="C127" s="13">
        <v>45738</v>
      </c>
      <c r="D127" s="8" t="s">
        <v>428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spans="1:24" ht="15.75" customHeight="1" x14ac:dyDescent="0.25">
      <c r="A128" s="6">
        <v>2</v>
      </c>
      <c r="B128" s="21" t="s">
        <v>227</v>
      </c>
      <c r="C128" s="13">
        <v>45851</v>
      </c>
      <c r="D128" s="20">
        <v>45934</v>
      </c>
      <c r="E128" s="21">
        <v>2</v>
      </c>
      <c r="F128" s="21">
        <v>0</v>
      </c>
      <c r="G128" s="21">
        <v>103</v>
      </c>
      <c r="H128" s="21"/>
      <c r="I128" s="21"/>
      <c r="J128" s="21">
        <v>139</v>
      </c>
      <c r="K128" s="21"/>
      <c r="L128" s="21"/>
      <c r="M128" s="21">
        <f>AVERAGE(G128:L128)</f>
        <v>121</v>
      </c>
      <c r="N128" s="20">
        <v>45957</v>
      </c>
      <c r="O128" s="21">
        <v>1</v>
      </c>
      <c r="P128" s="21">
        <v>1</v>
      </c>
      <c r="Q128" s="21"/>
      <c r="R128" s="21"/>
      <c r="S128" s="21"/>
      <c r="T128" s="21">
        <v>283</v>
      </c>
      <c r="U128" s="21"/>
      <c r="V128" s="21"/>
      <c r="W128" s="22">
        <v>283</v>
      </c>
    </row>
    <row r="129" spans="1:24" ht="15" customHeight="1" x14ac:dyDescent="0.25">
      <c r="A129" s="6">
        <v>3</v>
      </c>
      <c r="B129" s="21" t="s">
        <v>227</v>
      </c>
      <c r="C129" s="13">
        <v>45950</v>
      </c>
      <c r="D129" s="20">
        <v>46022</v>
      </c>
      <c r="E129" s="21">
        <v>3</v>
      </c>
      <c r="F129" s="21">
        <v>0</v>
      </c>
      <c r="G129" s="21">
        <v>121</v>
      </c>
      <c r="H129" s="21"/>
      <c r="I129" s="21"/>
      <c r="J129" s="21">
        <v>128</v>
      </c>
      <c r="K129" s="21">
        <v>130</v>
      </c>
      <c r="L129" s="21"/>
      <c r="M129" s="41">
        <f>AVERAGE(G129:L129)</f>
        <v>126.33333333333333</v>
      </c>
      <c r="N129" s="20">
        <v>46039</v>
      </c>
      <c r="O129" s="21">
        <v>3</v>
      </c>
      <c r="P129" s="21">
        <v>0</v>
      </c>
      <c r="Q129" s="21">
        <v>276</v>
      </c>
      <c r="R129" s="21"/>
      <c r="S129" s="21"/>
      <c r="T129" s="21">
        <v>267</v>
      </c>
      <c r="U129" s="21">
        <v>259</v>
      </c>
      <c r="V129" s="21"/>
      <c r="W129" s="40">
        <f>AVERAGE(Q129:V129)</f>
        <v>267.33333333333331</v>
      </c>
    </row>
    <row r="130" spans="1:24" ht="16.5" customHeight="1" x14ac:dyDescent="0.25">
      <c r="A130" s="5">
        <v>4</v>
      </c>
      <c r="B130" s="21" t="s">
        <v>227</v>
      </c>
      <c r="C130" s="13">
        <v>46039</v>
      </c>
      <c r="D130" s="20">
        <v>46119</v>
      </c>
      <c r="E130" s="21">
        <v>3</v>
      </c>
      <c r="F130" s="21">
        <v>0</v>
      </c>
      <c r="G130" s="21">
        <v>133</v>
      </c>
      <c r="H130" s="21">
        <v>128</v>
      </c>
      <c r="I130" s="21"/>
      <c r="J130" s="21">
        <v>125</v>
      </c>
      <c r="K130" s="21"/>
      <c r="L130" s="21"/>
      <c r="M130" s="41">
        <f>AVERAGE(G130:L130)</f>
        <v>128.66666666666666</v>
      </c>
      <c r="N130" s="20">
        <v>46139</v>
      </c>
      <c r="O130" s="21">
        <v>2</v>
      </c>
      <c r="P130" s="21">
        <v>1</v>
      </c>
      <c r="Q130" s="21">
        <v>216</v>
      </c>
      <c r="R130" s="21"/>
      <c r="S130" s="21"/>
      <c r="T130" s="21">
        <v>395</v>
      </c>
      <c r="U130" s="21"/>
      <c r="V130" s="21"/>
      <c r="W130" s="22">
        <f>AVERAGE(Q130:V130)</f>
        <v>305.5</v>
      </c>
    </row>
    <row r="131" spans="1:24" ht="15.75" customHeight="1" x14ac:dyDescent="0.25">
      <c r="A131" s="5">
        <v>5</v>
      </c>
      <c r="B131" s="21" t="s">
        <v>217</v>
      </c>
      <c r="C131" s="13">
        <v>46148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2"/>
    </row>
    <row r="132" spans="1:24" ht="15.75" customHeight="1" thickBot="1" x14ac:dyDescent="0.3">
      <c r="A132" s="7">
        <v>6</v>
      </c>
      <c r="B132" s="37"/>
      <c r="C132" s="10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9"/>
    </row>
    <row r="133" spans="1:24" ht="20.100000000000001" customHeight="1" x14ac:dyDescent="0.25"/>
    <row r="134" spans="1:24" ht="20.100000000000001" customHeight="1" thickBot="1" x14ac:dyDescent="0.3"/>
    <row r="135" spans="1:24" ht="20.100000000000001" customHeight="1" x14ac:dyDescent="0.25">
      <c r="A135" s="156" t="s">
        <v>2</v>
      </c>
      <c r="B135" s="157"/>
      <c r="C135" s="182" t="s">
        <v>248</v>
      </c>
      <c r="D135" s="199"/>
      <c r="E135" s="109" t="s">
        <v>404</v>
      </c>
      <c r="F135" s="109"/>
      <c r="G135" s="103" t="s">
        <v>4</v>
      </c>
      <c r="H135" s="157"/>
      <c r="I135" s="111" t="s">
        <v>359</v>
      </c>
      <c r="J135" s="158"/>
      <c r="K135" s="158"/>
      <c r="L135" s="158"/>
      <c r="M135" s="158"/>
      <c r="N135" s="112"/>
      <c r="O135" s="103" t="s">
        <v>6</v>
      </c>
      <c r="P135" s="157"/>
      <c r="Q135" s="103"/>
      <c r="R135" s="104"/>
      <c r="S135" s="104"/>
      <c r="T135" s="104"/>
      <c r="U135" s="104"/>
      <c r="V135" s="104"/>
      <c r="W135" s="105"/>
      <c r="X135" s="1"/>
    </row>
    <row r="136" spans="1:24" ht="20.100000000000001" customHeight="1" x14ac:dyDescent="0.25">
      <c r="A136" s="144" t="s">
        <v>7</v>
      </c>
      <c r="B136" s="145"/>
      <c r="C136" s="135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7"/>
      <c r="O136" s="135"/>
      <c r="P136" s="137"/>
      <c r="Q136" s="149"/>
      <c r="R136" s="150"/>
      <c r="S136" s="150"/>
      <c r="T136" s="150"/>
      <c r="U136" s="150"/>
      <c r="V136" s="150"/>
      <c r="W136" s="151"/>
      <c r="X136" s="1"/>
    </row>
    <row r="137" spans="1:24" ht="24.95" customHeight="1" x14ac:dyDescent="0.25">
      <c r="A137" s="152" t="s">
        <v>8</v>
      </c>
      <c r="B137" s="138" t="s">
        <v>9</v>
      </c>
      <c r="C137" s="138" t="s">
        <v>10</v>
      </c>
      <c r="D137" s="138" t="s">
        <v>11</v>
      </c>
      <c r="E137" s="138" t="s">
        <v>12</v>
      </c>
      <c r="F137" s="138" t="s">
        <v>13</v>
      </c>
      <c r="G137" s="140" t="s">
        <v>14</v>
      </c>
      <c r="H137" s="141"/>
      <c r="I137" s="141"/>
      <c r="J137" s="141"/>
      <c r="K137" s="141"/>
      <c r="L137" s="142"/>
      <c r="M137" s="138" t="s">
        <v>15</v>
      </c>
      <c r="N137" s="138" t="s">
        <v>16</v>
      </c>
      <c r="O137" s="138" t="s">
        <v>17</v>
      </c>
      <c r="P137" s="138" t="s">
        <v>18</v>
      </c>
      <c r="Q137" s="140" t="s">
        <v>19</v>
      </c>
      <c r="R137" s="141"/>
      <c r="S137" s="141"/>
      <c r="T137" s="141"/>
      <c r="U137" s="141"/>
      <c r="V137" s="142"/>
      <c r="W137" s="154" t="s">
        <v>20</v>
      </c>
      <c r="X137" s="3"/>
    </row>
    <row r="138" spans="1:24" ht="24.95" customHeight="1" x14ac:dyDescent="0.25">
      <c r="A138" s="153"/>
      <c r="B138" s="139"/>
      <c r="C138" s="139"/>
      <c r="D138" s="139"/>
      <c r="E138" s="139"/>
      <c r="F138" s="139"/>
      <c r="G138" s="31" t="s">
        <v>21</v>
      </c>
      <c r="H138" s="31" t="s">
        <v>21</v>
      </c>
      <c r="I138" s="31" t="s">
        <v>21</v>
      </c>
      <c r="J138" s="31" t="s">
        <v>22</v>
      </c>
      <c r="K138" s="31" t="s">
        <v>22</v>
      </c>
      <c r="L138" s="31" t="s">
        <v>22</v>
      </c>
      <c r="M138" s="139"/>
      <c r="N138" s="139"/>
      <c r="O138" s="139"/>
      <c r="P138" s="139"/>
      <c r="Q138" s="31" t="s">
        <v>21</v>
      </c>
      <c r="R138" s="31" t="s">
        <v>21</v>
      </c>
      <c r="S138" s="31" t="s">
        <v>21</v>
      </c>
      <c r="T138" s="31" t="s">
        <v>22</v>
      </c>
      <c r="U138" s="31" t="s">
        <v>22</v>
      </c>
      <c r="V138" s="31" t="s">
        <v>22</v>
      </c>
      <c r="W138" s="155"/>
      <c r="X138" s="3"/>
    </row>
    <row r="139" spans="1:24" ht="15" customHeight="1" x14ac:dyDescent="0.25">
      <c r="A139" s="5">
        <v>1</v>
      </c>
      <c r="B139" s="21" t="s">
        <v>227</v>
      </c>
      <c r="C139" s="13">
        <v>45738</v>
      </c>
      <c r="D139" s="13">
        <v>45826</v>
      </c>
      <c r="E139" s="21">
        <v>1</v>
      </c>
      <c r="F139" s="21">
        <v>0</v>
      </c>
      <c r="G139" s="21"/>
      <c r="H139" s="21"/>
      <c r="I139" s="21"/>
      <c r="J139" s="21">
        <v>172</v>
      </c>
      <c r="K139" s="21"/>
      <c r="L139" s="21"/>
      <c r="M139" s="21">
        <v>172</v>
      </c>
      <c r="N139" s="20">
        <v>45848</v>
      </c>
      <c r="O139" s="21">
        <v>1</v>
      </c>
      <c r="P139" s="21">
        <v>0</v>
      </c>
      <c r="Q139" s="21"/>
      <c r="R139" s="21"/>
      <c r="S139" s="21"/>
      <c r="T139" s="21">
        <v>276</v>
      </c>
      <c r="U139" s="21"/>
      <c r="V139" s="21"/>
      <c r="W139" s="22">
        <v>276</v>
      </c>
    </row>
    <row r="140" spans="1:24" ht="15" customHeight="1" x14ac:dyDescent="0.25">
      <c r="A140" s="6">
        <v>2</v>
      </c>
      <c r="B140" s="21" t="s">
        <v>227</v>
      </c>
      <c r="C140" s="13">
        <v>45851</v>
      </c>
      <c r="D140" s="13">
        <v>45918</v>
      </c>
      <c r="E140" s="21">
        <v>3</v>
      </c>
      <c r="F140" s="21">
        <v>1</v>
      </c>
      <c r="G140" s="21">
        <v>175</v>
      </c>
      <c r="H140" s="21"/>
      <c r="I140" s="21"/>
      <c r="J140" s="21">
        <v>136</v>
      </c>
      <c r="K140" s="21"/>
      <c r="L140" s="21"/>
      <c r="M140" s="21">
        <f>AVERAGE(G140:L140)</f>
        <v>155.5</v>
      </c>
      <c r="N140" s="20">
        <v>45944</v>
      </c>
      <c r="O140" s="21">
        <v>2</v>
      </c>
      <c r="P140" s="21">
        <v>0</v>
      </c>
      <c r="Q140" s="21">
        <v>339</v>
      </c>
      <c r="R140" s="21"/>
      <c r="S140" s="21"/>
      <c r="T140" s="21">
        <v>336</v>
      </c>
      <c r="U140" s="21"/>
      <c r="V140" s="21"/>
      <c r="W140" s="22">
        <f>AVERAGE(Q140:V140)</f>
        <v>337.5</v>
      </c>
    </row>
    <row r="141" spans="1:24" ht="15" customHeight="1" x14ac:dyDescent="0.25">
      <c r="A141" s="6">
        <v>3</v>
      </c>
      <c r="B141" s="21" t="s">
        <v>227</v>
      </c>
      <c r="C141" s="13">
        <v>45950</v>
      </c>
      <c r="D141" s="13">
        <v>46021</v>
      </c>
      <c r="E141" s="21">
        <v>3</v>
      </c>
      <c r="F141" s="21">
        <v>0</v>
      </c>
      <c r="G141" s="21">
        <v>118</v>
      </c>
      <c r="H141" s="21">
        <v>125</v>
      </c>
      <c r="I141" s="21"/>
      <c r="J141" s="21">
        <v>130</v>
      </c>
      <c r="K141" s="21"/>
      <c r="L141" s="21"/>
      <c r="M141" s="41">
        <f>AVERAGE(G141:L141)</f>
        <v>124.33333333333333</v>
      </c>
      <c r="N141" s="20">
        <v>46039</v>
      </c>
      <c r="O141" s="21">
        <v>3</v>
      </c>
      <c r="P141" s="21">
        <v>0</v>
      </c>
      <c r="Q141" s="21">
        <v>270</v>
      </c>
      <c r="R141" s="21">
        <v>283</v>
      </c>
      <c r="S141" s="41"/>
      <c r="T141" s="21">
        <v>264</v>
      </c>
      <c r="U141" s="41"/>
      <c r="V141" s="41"/>
      <c r="W141" s="40">
        <f>AVERAGE(Q141:V141)</f>
        <v>272.33333333333331</v>
      </c>
    </row>
    <row r="142" spans="1:24" ht="17.25" customHeight="1" x14ac:dyDescent="0.25">
      <c r="A142" s="5">
        <v>4</v>
      </c>
      <c r="B142" s="21" t="s">
        <v>227</v>
      </c>
      <c r="C142" s="13">
        <v>46039</v>
      </c>
      <c r="D142" s="13">
        <v>46105</v>
      </c>
      <c r="E142" s="21">
        <v>2</v>
      </c>
      <c r="F142" s="21">
        <v>0</v>
      </c>
      <c r="G142" s="21">
        <v>104</v>
      </c>
      <c r="H142" s="21"/>
      <c r="I142" s="21"/>
      <c r="J142" s="21">
        <v>94</v>
      </c>
      <c r="K142" s="21"/>
      <c r="L142" s="21"/>
      <c r="M142" s="21"/>
      <c r="N142" s="20">
        <v>46133</v>
      </c>
      <c r="O142" s="21">
        <v>1</v>
      </c>
      <c r="P142" s="21">
        <v>1</v>
      </c>
      <c r="Q142" s="21">
        <v>253</v>
      </c>
      <c r="R142" s="21"/>
      <c r="S142" s="21"/>
      <c r="T142" s="21"/>
      <c r="U142" s="21"/>
      <c r="V142" s="21"/>
      <c r="W142" s="22">
        <v>253</v>
      </c>
    </row>
    <row r="143" spans="1:24" ht="15.75" customHeight="1" x14ac:dyDescent="0.25">
      <c r="A143" s="5">
        <v>5</v>
      </c>
      <c r="B143" s="21" t="s">
        <v>217</v>
      </c>
      <c r="C143" s="13">
        <v>46148</v>
      </c>
      <c r="D143" s="8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2"/>
    </row>
    <row r="144" spans="1:24" ht="15.75" customHeight="1" thickBot="1" x14ac:dyDescent="0.3">
      <c r="A144" s="7">
        <v>6</v>
      </c>
      <c r="B144" s="37"/>
      <c r="C144" s="10"/>
      <c r="D144" s="10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9"/>
    </row>
    <row r="145" spans="1:24" ht="20.100000000000001" customHeight="1" x14ac:dyDescent="0.25"/>
    <row r="146" spans="1:24" ht="20.100000000000001" customHeight="1" thickBot="1" x14ac:dyDescent="0.3"/>
    <row r="147" spans="1:24" ht="20.100000000000001" customHeight="1" x14ac:dyDescent="0.25">
      <c r="A147" s="156" t="s">
        <v>2</v>
      </c>
      <c r="B147" s="157"/>
      <c r="C147" s="196" t="s">
        <v>249</v>
      </c>
      <c r="D147" s="196"/>
      <c r="E147" s="111" t="s">
        <v>403</v>
      </c>
      <c r="F147" s="112"/>
      <c r="G147" s="103" t="s">
        <v>4</v>
      </c>
      <c r="H147" s="157"/>
      <c r="I147" s="111" t="s">
        <v>359</v>
      </c>
      <c r="J147" s="158"/>
      <c r="K147" s="158"/>
      <c r="L147" s="158"/>
      <c r="M147" s="158"/>
      <c r="N147" s="112"/>
      <c r="O147" s="103" t="s">
        <v>6</v>
      </c>
      <c r="P147" s="157"/>
      <c r="Q147" s="103"/>
      <c r="R147" s="104"/>
      <c r="S147" s="104"/>
      <c r="T147" s="104"/>
      <c r="U147" s="104"/>
      <c r="V147" s="104"/>
      <c r="W147" s="105"/>
      <c r="X147" s="1"/>
    </row>
    <row r="148" spans="1:24" ht="20.100000000000001" customHeight="1" x14ac:dyDescent="0.25">
      <c r="A148" s="144" t="s">
        <v>7</v>
      </c>
      <c r="B148" s="145"/>
      <c r="C148" s="135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7"/>
      <c r="O148" s="135"/>
      <c r="P148" s="137"/>
      <c r="Q148" s="149"/>
      <c r="R148" s="150"/>
      <c r="S148" s="150"/>
      <c r="T148" s="150"/>
      <c r="U148" s="150"/>
      <c r="V148" s="150"/>
      <c r="W148" s="151"/>
      <c r="X148" s="1"/>
    </row>
    <row r="149" spans="1:24" ht="24.95" customHeight="1" x14ac:dyDescent="0.25">
      <c r="A149" s="152" t="s">
        <v>8</v>
      </c>
      <c r="B149" s="138" t="s">
        <v>9</v>
      </c>
      <c r="C149" s="138" t="s">
        <v>10</v>
      </c>
      <c r="D149" s="138" t="s">
        <v>11</v>
      </c>
      <c r="E149" s="138" t="s">
        <v>12</v>
      </c>
      <c r="F149" s="138" t="s">
        <v>13</v>
      </c>
      <c r="G149" s="140" t="s">
        <v>14</v>
      </c>
      <c r="H149" s="141"/>
      <c r="I149" s="141"/>
      <c r="J149" s="141"/>
      <c r="K149" s="141"/>
      <c r="L149" s="142"/>
      <c r="M149" s="138" t="s">
        <v>15</v>
      </c>
      <c r="N149" s="138" t="s">
        <v>16</v>
      </c>
      <c r="O149" s="138" t="s">
        <v>17</v>
      </c>
      <c r="P149" s="138" t="s">
        <v>18</v>
      </c>
      <c r="Q149" s="140" t="s">
        <v>19</v>
      </c>
      <c r="R149" s="141"/>
      <c r="S149" s="141"/>
      <c r="T149" s="141"/>
      <c r="U149" s="141"/>
      <c r="V149" s="142"/>
      <c r="W149" s="154" t="s">
        <v>20</v>
      </c>
      <c r="X149" s="3"/>
    </row>
    <row r="150" spans="1:24" ht="24.95" customHeight="1" x14ac:dyDescent="0.25">
      <c r="A150" s="153"/>
      <c r="B150" s="139"/>
      <c r="C150" s="139"/>
      <c r="D150" s="139"/>
      <c r="E150" s="139"/>
      <c r="F150" s="139"/>
      <c r="G150" s="31" t="s">
        <v>21</v>
      </c>
      <c r="H150" s="31" t="s">
        <v>21</v>
      </c>
      <c r="I150" s="31" t="s">
        <v>21</v>
      </c>
      <c r="J150" s="31" t="s">
        <v>22</v>
      </c>
      <c r="K150" s="31" t="s">
        <v>22</v>
      </c>
      <c r="L150" s="31" t="s">
        <v>22</v>
      </c>
      <c r="M150" s="139"/>
      <c r="N150" s="139"/>
      <c r="O150" s="139"/>
      <c r="P150" s="139"/>
      <c r="Q150" s="31" t="s">
        <v>21</v>
      </c>
      <c r="R150" s="31" t="s">
        <v>21</v>
      </c>
      <c r="S150" s="31" t="s">
        <v>21</v>
      </c>
      <c r="T150" s="31" t="s">
        <v>22</v>
      </c>
      <c r="U150" s="31" t="s">
        <v>22</v>
      </c>
      <c r="V150" s="31" t="s">
        <v>22</v>
      </c>
      <c r="W150" s="155"/>
      <c r="X150" s="3"/>
    </row>
    <row r="151" spans="1:24" ht="16.5" customHeight="1" x14ac:dyDescent="0.25">
      <c r="A151" s="5">
        <v>1</v>
      </c>
      <c r="B151" s="21" t="s">
        <v>145</v>
      </c>
      <c r="C151" s="13">
        <v>45738</v>
      </c>
      <c r="D151" s="20">
        <v>45810</v>
      </c>
      <c r="E151" s="21">
        <v>2</v>
      </c>
      <c r="F151" s="21">
        <v>0</v>
      </c>
      <c r="G151" s="21"/>
      <c r="H151" s="21"/>
      <c r="I151" s="21"/>
      <c r="J151" s="21">
        <v>170</v>
      </c>
      <c r="K151" s="21">
        <v>170</v>
      </c>
      <c r="L151" s="21"/>
      <c r="M151" s="21">
        <f>AVERAGE(J151,K151)</f>
        <v>170</v>
      </c>
      <c r="N151" s="20">
        <v>45833</v>
      </c>
      <c r="O151" s="21">
        <v>2</v>
      </c>
      <c r="P151" s="21">
        <v>0</v>
      </c>
      <c r="Q151" s="21"/>
      <c r="R151" s="21"/>
      <c r="S151" s="21"/>
      <c r="T151" s="21">
        <v>413</v>
      </c>
      <c r="U151" s="21">
        <v>377</v>
      </c>
      <c r="V151" s="21"/>
      <c r="W151" s="22">
        <f>AVERAGE(T151,U151)</f>
        <v>395</v>
      </c>
    </row>
    <row r="152" spans="1:24" ht="14.25" customHeight="1" x14ac:dyDescent="0.25">
      <c r="A152" s="6">
        <v>2</v>
      </c>
      <c r="B152" s="21" t="s">
        <v>212</v>
      </c>
      <c r="C152" s="13">
        <v>45851</v>
      </c>
      <c r="D152" s="20">
        <v>45930</v>
      </c>
      <c r="E152" s="21">
        <v>3</v>
      </c>
      <c r="F152" s="21">
        <v>0</v>
      </c>
      <c r="G152" s="21">
        <v>85</v>
      </c>
      <c r="H152" s="21"/>
      <c r="I152" s="21"/>
      <c r="J152" s="21">
        <v>100</v>
      </c>
      <c r="K152" s="21">
        <v>116</v>
      </c>
      <c r="L152" s="21"/>
      <c r="M152" s="80">
        <f>AVERAGE(G152:L152)</f>
        <v>100.33333333333333</v>
      </c>
      <c r="N152" s="20">
        <v>45944</v>
      </c>
      <c r="O152" s="21">
        <v>3</v>
      </c>
      <c r="P152" s="21">
        <v>0</v>
      </c>
      <c r="Q152" s="21">
        <v>152</v>
      </c>
      <c r="R152" s="21"/>
      <c r="S152" s="21"/>
      <c r="T152" s="21">
        <v>154</v>
      </c>
      <c r="U152" s="21">
        <v>166</v>
      </c>
      <c r="V152" s="21"/>
      <c r="W152" s="68">
        <f>AVERAGE(Q152:V152)</f>
        <v>157.33333333333334</v>
      </c>
    </row>
    <row r="153" spans="1:24" ht="15.75" customHeight="1" x14ac:dyDescent="0.25">
      <c r="A153" s="6">
        <v>3</v>
      </c>
      <c r="B153" s="21" t="s">
        <v>325</v>
      </c>
      <c r="C153" s="13">
        <v>45950</v>
      </c>
      <c r="D153" s="20">
        <v>46023</v>
      </c>
      <c r="E153" s="21">
        <v>2</v>
      </c>
      <c r="F153" s="21">
        <v>0</v>
      </c>
      <c r="G153" s="21">
        <v>128</v>
      </c>
      <c r="H153" s="21"/>
      <c r="I153" s="21"/>
      <c r="J153" s="21">
        <v>132</v>
      </c>
      <c r="K153" s="21"/>
      <c r="L153" s="21"/>
      <c r="M153" s="80">
        <f>AVERAGE(G153:L153)</f>
        <v>130</v>
      </c>
      <c r="N153" s="20">
        <v>46039</v>
      </c>
      <c r="O153" s="21">
        <v>2</v>
      </c>
      <c r="P153" s="21">
        <v>0</v>
      </c>
      <c r="Q153" s="21">
        <v>263</v>
      </c>
      <c r="R153" s="21"/>
      <c r="S153" s="21"/>
      <c r="T153" s="21">
        <v>265</v>
      </c>
      <c r="U153" s="21"/>
      <c r="V153" s="21"/>
      <c r="W153" s="68">
        <f>AVERAGE(Q153:V153)</f>
        <v>264</v>
      </c>
    </row>
    <row r="154" spans="1:24" ht="16.5" customHeight="1" x14ac:dyDescent="0.25">
      <c r="A154" s="5">
        <v>4</v>
      </c>
      <c r="B154" s="21" t="s">
        <v>325</v>
      </c>
      <c r="C154" s="13">
        <v>46070</v>
      </c>
      <c r="D154" s="20">
        <v>46140</v>
      </c>
      <c r="E154" s="21">
        <v>3</v>
      </c>
      <c r="F154" s="21">
        <v>0</v>
      </c>
      <c r="G154" s="21">
        <v>167</v>
      </c>
      <c r="H154" s="21">
        <v>140</v>
      </c>
      <c r="I154" s="21">
        <v>147</v>
      </c>
      <c r="J154" s="21"/>
      <c r="K154" s="21"/>
      <c r="L154" s="21"/>
      <c r="M154" s="80">
        <f>AVERAGE(G154:L154)</f>
        <v>151.33333333333334</v>
      </c>
      <c r="N154" s="20">
        <v>46176</v>
      </c>
      <c r="O154" s="21">
        <v>3</v>
      </c>
      <c r="P154" s="21">
        <v>0</v>
      </c>
      <c r="Q154" s="21">
        <v>300</v>
      </c>
      <c r="R154" s="21">
        <v>285</v>
      </c>
      <c r="S154" s="21">
        <v>292</v>
      </c>
      <c r="T154" s="21"/>
      <c r="U154" s="21"/>
      <c r="V154" s="21"/>
      <c r="W154" s="68">
        <f>AVERAGE(Q154:V154)</f>
        <v>292.33333333333331</v>
      </c>
    </row>
    <row r="155" spans="1:24" ht="15.75" customHeight="1" x14ac:dyDescent="0.25">
      <c r="A155" s="5">
        <v>5</v>
      </c>
      <c r="B155" s="21"/>
      <c r="C155" s="8"/>
      <c r="D155" s="21"/>
      <c r="E155" s="21"/>
      <c r="F155" s="21"/>
      <c r="G155" s="21"/>
      <c r="H155" s="21"/>
      <c r="I155" s="21"/>
      <c r="J155" s="21"/>
      <c r="K155" s="21"/>
      <c r="L155" s="21"/>
      <c r="M155" s="41"/>
      <c r="N155" s="21"/>
      <c r="O155" s="21"/>
      <c r="P155" s="21"/>
      <c r="Q155" s="21"/>
      <c r="R155" s="21"/>
      <c r="S155" s="21"/>
      <c r="T155" s="21"/>
      <c r="U155" s="21"/>
      <c r="V155" s="21"/>
      <c r="W155" s="40"/>
    </row>
    <row r="156" spans="1:24" ht="16.5" customHeight="1" thickBot="1" x14ac:dyDescent="0.3">
      <c r="A156" s="7">
        <v>6</v>
      </c>
      <c r="B156" s="37"/>
      <c r="C156" s="10"/>
      <c r="D156" s="37"/>
      <c r="E156" s="37"/>
      <c r="F156" s="37"/>
      <c r="G156" s="37"/>
      <c r="H156" s="37"/>
      <c r="I156" s="37"/>
      <c r="J156" s="37"/>
      <c r="K156" s="37"/>
      <c r="L156" s="37"/>
      <c r="M156" s="42"/>
      <c r="N156" s="37"/>
      <c r="O156" s="37"/>
      <c r="P156" s="37"/>
      <c r="Q156" s="37"/>
      <c r="R156" s="37"/>
      <c r="S156" s="37"/>
      <c r="T156" s="37"/>
      <c r="U156" s="37"/>
      <c r="V156" s="37"/>
      <c r="W156" s="43"/>
    </row>
    <row r="157" spans="1:24" ht="20.100000000000001" customHeight="1" x14ac:dyDescent="0.25"/>
    <row r="158" spans="1:24" ht="20.100000000000001" customHeight="1" thickBot="1" x14ac:dyDescent="0.3"/>
    <row r="159" spans="1:24" ht="20.100000000000001" customHeight="1" x14ac:dyDescent="0.25">
      <c r="A159" s="156" t="s">
        <v>2</v>
      </c>
      <c r="B159" s="157"/>
      <c r="C159" s="196" t="s">
        <v>250</v>
      </c>
      <c r="D159" s="196"/>
      <c r="E159" s="111" t="s">
        <v>402</v>
      </c>
      <c r="F159" s="112"/>
      <c r="G159" s="103" t="s">
        <v>4</v>
      </c>
      <c r="H159" s="157"/>
      <c r="I159" s="111" t="s">
        <v>359</v>
      </c>
      <c r="J159" s="158"/>
      <c r="K159" s="158"/>
      <c r="L159" s="158"/>
      <c r="M159" s="158"/>
      <c r="N159" s="112"/>
      <c r="O159" s="103" t="s">
        <v>6</v>
      </c>
      <c r="P159" s="157"/>
      <c r="Q159" s="103"/>
      <c r="R159" s="104"/>
      <c r="S159" s="104"/>
      <c r="T159" s="104"/>
      <c r="U159" s="104"/>
      <c r="V159" s="104"/>
      <c r="W159" s="105"/>
      <c r="X159" s="1"/>
    </row>
    <row r="160" spans="1:24" ht="20.100000000000001" customHeight="1" x14ac:dyDescent="0.25">
      <c r="A160" s="144" t="s">
        <v>7</v>
      </c>
      <c r="B160" s="145"/>
      <c r="C160" s="135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7"/>
      <c r="O160" s="135"/>
      <c r="P160" s="137"/>
      <c r="Q160" s="149"/>
      <c r="R160" s="150"/>
      <c r="S160" s="150"/>
      <c r="T160" s="150"/>
      <c r="U160" s="150"/>
      <c r="V160" s="150"/>
      <c r="W160" s="151"/>
      <c r="X160" s="1"/>
    </row>
    <row r="161" spans="1:24" ht="24.95" customHeight="1" x14ac:dyDescent="0.25">
      <c r="A161" s="152" t="s">
        <v>8</v>
      </c>
      <c r="B161" s="138" t="s">
        <v>9</v>
      </c>
      <c r="C161" s="138" t="s">
        <v>10</v>
      </c>
      <c r="D161" s="138" t="s">
        <v>11</v>
      </c>
      <c r="E161" s="138" t="s">
        <v>12</v>
      </c>
      <c r="F161" s="138" t="s">
        <v>13</v>
      </c>
      <c r="G161" s="140" t="s">
        <v>14</v>
      </c>
      <c r="H161" s="141"/>
      <c r="I161" s="141"/>
      <c r="J161" s="141"/>
      <c r="K161" s="141"/>
      <c r="L161" s="142"/>
      <c r="M161" s="138" t="s">
        <v>15</v>
      </c>
      <c r="N161" s="138" t="s">
        <v>16</v>
      </c>
      <c r="O161" s="138" t="s">
        <v>17</v>
      </c>
      <c r="P161" s="138" t="s">
        <v>18</v>
      </c>
      <c r="Q161" s="140" t="s">
        <v>19</v>
      </c>
      <c r="R161" s="141"/>
      <c r="S161" s="141"/>
      <c r="T161" s="141"/>
      <c r="U161" s="141"/>
      <c r="V161" s="142"/>
      <c r="W161" s="154" t="s">
        <v>20</v>
      </c>
      <c r="X161" s="3"/>
    </row>
    <row r="162" spans="1:24" ht="24.95" customHeight="1" x14ac:dyDescent="0.25">
      <c r="A162" s="153"/>
      <c r="B162" s="139"/>
      <c r="C162" s="139"/>
      <c r="D162" s="139"/>
      <c r="E162" s="139"/>
      <c r="F162" s="139"/>
      <c r="G162" s="31" t="s">
        <v>21</v>
      </c>
      <c r="H162" s="31" t="s">
        <v>21</v>
      </c>
      <c r="I162" s="31" t="s">
        <v>21</v>
      </c>
      <c r="J162" s="31" t="s">
        <v>22</v>
      </c>
      <c r="K162" s="31" t="s">
        <v>22</v>
      </c>
      <c r="L162" s="31" t="s">
        <v>22</v>
      </c>
      <c r="M162" s="139"/>
      <c r="N162" s="139"/>
      <c r="O162" s="139"/>
      <c r="P162" s="139"/>
      <c r="Q162" s="31" t="s">
        <v>21</v>
      </c>
      <c r="R162" s="31" t="s">
        <v>21</v>
      </c>
      <c r="S162" s="31" t="s">
        <v>21</v>
      </c>
      <c r="T162" s="31" t="s">
        <v>22</v>
      </c>
      <c r="U162" s="31" t="s">
        <v>22</v>
      </c>
      <c r="V162" s="31" t="s">
        <v>22</v>
      </c>
      <c r="W162" s="155"/>
      <c r="X162" s="3"/>
    </row>
    <row r="163" spans="1:24" ht="17.25" customHeight="1" x14ac:dyDescent="0.25">
      <c r="A163" s="5">
        <v>1</v>
      </c>
      <c r="B163" s="21" t="s">
        <v>145</v>
      </c>
      <c r="C163" s="13">
        <v>45738</v>
      </c>
      <c r="D163" s="20">
        <v>45818</v>
      </c>
      <c r="E163" s="21">
        <v>2</v>
      </c>
      <c r="F163" s="21">
        <v>1</v>
      </c>
      <c r="G163" s="21">
        <v>115</v>
      </c>
      <c r="H163" s="21"/>
      <c r="I163" s="21"/>
      <c r="J163" s="21"/>
      <c r="K163" s="21"/>
      <c r="L163" s="21"/>
      <c r="M163" s="21">
        <v>115</v>
      </c>
      <c r="N163" s="20">
        <v>45833</v>
      </c>
      <c r="O163" s="21">
        <v>1</v>
      </c>
      <c r="P163" s="21">
        <v>0</v>
      </c>
      <c r="Q163" s="21">
        <v>233</v>
      </c>
      <c r="R163" s="21"/>
      <c r="S163" s="21"/>
      <c r="T163" s="21"/>
      <c r="U163" s="21"/>
      <c r="V163" s="21"/>
      <c r="W163" s="22">
        <v>233</v>
      </c>
    </row>
    <row r="164" spans="1:24" ht="15.75" customHeight="1" x14ac:dyDescent="0.25">
      <c r="A164" s="6">
        <v>2</v>
      </c>
      <c r="B164" s="21" t="s">
        <v>212</v>
      </c>
      <c r="C164" s="13">
        <v>45851</v>
      </c>
      <c r="D164" s="20">
        <v>45920</v>
      </c>
      <c r="E164" s="21">
        <v>2</v>
      </c>
      <c r="F164" s="21">
        <v>0</v>
      </c>
      <c r="G164" s="21">
        <v>164</v>
      </c>
      <c r="H164" s="21"/>
      <c r="I164" s="21"/>
      <c r="J164" s="21">
        <v>179</v>
      </c>
      <c r="K164" s="21"/>
      <c r="L164" s="21"/>
      <c r="M164" s="21">
        <f>AVERAGE(G164:L164)</f>
        <v>171.5</v>
      </c>
      <c r="N164" s="20">
        <v>45944</v>
      </c>
      <c r="O164" s="21">
        <v>2</v>
      </c>
      <c r="P164" s="21">
        <v>0</v>
      </c>
      <c r="Q164" s="21">
        <v>270</v>
      </c>
      <c r="R164" s="21"/>
      <c r="S164" s="21"/>
      <c r="T164" s="21">
        <v>316</v>
      </c>
      <c r="U164" s="21"/>
      <c r="V164" s="21"/>
      <c r="W164" s="22">
        <f>AVERAGE(Q164:V164)</f>
        <v>293</v>
      </c>
    </row>
    <row r="165" spans="1:24" ht="16.5" customHeight="1" x14ac:dyDescent="0.25">
      <c r="A165" s="6">
        <v>3</v>
      </c>
      <c r="B165" s="21" t="s">
        <v>217</v>
      </c>
      <c r="C165" s="13">
        <v>45950</v>
      </c>
      <c r="D165" s="20">
        <v>46022</v>
      </c>
      <c r="E165" s="21">
        <v>2</v>
      </c>
      <c r="F165" s="21">
        <v>0</v>
      </c>
      <c r="G165" s="21">
        <v>130</v>
      </c>
      <c r="H165" s="21"/>
      <c r="I165" s="21"/>
      <c r="J165" s="21">
        <v>128</v>
      </c>
      <c r="K165" s="21"/>
      <c r="L165" s="21"/>
      <c r="M165" s="21">
        <f>AVERAGE(G165:L165)</f>
        <v>129</v>
      </c>
      <c r="N165" s="20">
        <v>46039</v>
      </c>
      <c r="O165" s="21">
        <v>1</v>
      </c>
      <c r="P165" s="21">
        <v>1</v>
      </c>
      <c r="Q165" s="21"/>
      <c r="R165" s="21"/>
      <c r="S165" s="21"/>
      <c r="T165" s="21">
        <v>292</v>
      </c>
      <c r="U165" s="21"/>
      <c r="V165" s="21"/>
      <c r="W165" s="22">
        <v>292</v>
      </c>
    </row>
    <row r="166" spans="1:24" ht="16.5" customHeight="1" x14ac:dyDescent="0.25">
      <c r="A166" s="5">
        <v>4</v>
      </c>
      <c r="B166" s="21" t="s">
        <v>217</v>
      </c>
      <c r="C166" s="13">
        <v>46070</v>
      </c>
      <c r="D166" s="20">
        <v>46149</v>
      </c>
      <c r="E166" s="21">
        <v>3</v>
      </c>
      <c r="F166" s="21">
        <v>1</v>
      </c>
      <c r="G166" s="21">
        <v>120</v>
      </c>
      <c r="H166" s="21">
        <v>138</v>
      </c>
      <c r="I166" s="21"/>
      <c r="J166" s="21"/>
      <c r="K166" s="21"/>
      <c r="L166" s="21"/>
      <c r="M166" s="21">
        <f>AVERAGE(G166:L166)</f>
        <v>129</v>
      </c>
      <c r="N166" s="20">
        <v>46176</v>
      </c>
      <c r="O166" s="21">
        <v>2</v>
      </c>
      <c r="P166" s="21">
        <v>0</v>
      </c>
      <c r="Q166" s="21">
        <v>285</v>
      </c>
      <c r="R166" s="21">
        <v>290</v>
      </c>
      <c r="S166" s="21"/>
      <c r="T166" s="21"/>
      <c r="U166" s="21"/>
      <c r="V166" s="21"/>
      <c r="W166" s="68">
        <f>AVERAGE(Q166:V166)</f>
        <v>287.5</v>
      </c>
    </row>
    <row r="167" spans="1:24" ht="16.5" customHeight="1" x14ac:dyDescent="0.25">
      <c r="A167" s="5">
        <v>5</v>
      </c>
      <c r="B167" s="21"/>
      <c r="C167" s="8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2"/>
    </row>
    <row r="168" spans="1:24" ht="15" customHeight="1" thickBot="1" x14ac:dyDescent="0.3">
      <c r="A168" s="7">
        <v>6</v>
      </c>
      <c r="B168" s="37"/>
      <c r="C168" s="10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9"/>
    </row>
    <row r="169" spans="1:24" ht="20.100000000000001" customHeight="1" x14ac:dyDescent="0.25"/>
    <row r="170" spans="1:24" ht="20.100000000000001" customHeight="1" thickBot="1" x14ac:dyDescent="0.3"/>
    <row r="171" spans="1:24" ht="20.100000000000001" customHeight="1" x14ac:dyDescent="0.25">
      <c r="A171" s="156" t="s">
        <v>2</v>
      </c>
      <c r="B171" s="157"/>
      <c r="C171" s="111" t="s">
        <v>252</v>
      </c>
      <c r="D171" s="158"/>
      <c r="E171" s="158" t="s">
        <v>403</v>
      </c>
      <c r="F171" s="112"/>
      <c r="G171" s="103" t="s">
        <v>4</v>
      </c>
      <c r="H171" s="157"/>
      <c r="I171" s="111" t="s">
        <v>216</v>
      </c>
      <c r="J171" s="158"/>
      <c r="K171" s="158"/>
      <c r="L171" s="158"/>
      <c r="M171" s="158"/>
      <c r="N171" s="112"/>
      <c r="O171" s="103" t="s">
        <v>6</v>
      </c>
      <c r="P171" s="157"/>
      <c r="Q171" s="103"/>
      <c r="R171" s="104"/>
      <c r="S171" s="104"/>
      <c r="T171" s="104"/>
      <c r="U171" s="104"/>
      <c r="V171" s="104"/>
      <c r="W171" s="105"/>
      <c r="X171" s="1"/>
    </row>
    <row r="172" spans="1:24" ht="20.100000000000001" customHeight="1" x14ac:dyDescent="0.25">
      <c r="A172" s="144" t="s">
        <v>7</v>
      </c>
      <c r="B172" s="145"/>
      <c r="C172" s="135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7"/>
      <c r="O172" s="135"/>
      <c r="P172" s="137"/>
      <c r="Q172" s="149"/>
      <c r="R172" s="150"/>
      <c r="S172" s="150"/>
      <c r="T172" s="150"/>
      <c r="U172" s="150"/>
      <c r="V172" s="150"/>
      <c r="W172" s="151"/>
      <c r="X172" s="1"/>
    </row>
    <row r="173" spans="1:24" ht="24.95" customHeight="1" x14ac:dyDescent="0.25">
      <c r="A173" s="152" t="s">
        <v>8</v>
      </c>
      <c r="B173" s="138" t="s">
        <v>9</v>
      </c>
      <c r="C173" s="138" t="s">
        <v>10</v>
      </c>
      <c r="D173" s="138" t="s">
        <v>11</v>
      </c>
      <c r="E173" s="138" t="s">
        <v>12</v>
      </c>
      <c r="F173" s="138" t="s">
        <v>13</v>
      </c>
      <c r="G173" s="140" t="s">
        <v>14</v>
      </c>
      <c r="H173" s="141"/>
      <c r="I173" s="141"/>
      <c r="J173" s="141"/>
      <c r="K173" s="141"/>
      <c r="L173" s="142"/>
      <c r="M173" s="138" t="s">
        <v>15</v>
      </c>
      <c r="N173" s="138" t="s">
        <v>16</v>
      </c>
      <c r="O173" s="138" t="s">
        <v>17</v>
      </c>
      <c r="P173" s="138" t="s">
        <v>18</v>
      </c>
      <c r="Q173" s="140" t="s">
        <v>19</v>
      </c>
      <c r="R173" s="141"/>
      <c r="S173" s="141"/>
      <c r="T173" s="141"/>
      <c r="U173" s="141"/>
      <c r="V173" s="142"/>
      <c r="W173" s="154" t="s">
        <v>20</v>
      </c>
      <c r="X173" s="3"/>
    </row>
    <row r="174" spans="1:24" ht="24.95" customHeight="1" x14ac:dyDescent="0.25">
      <c r="A174" s="153"/>
      <c r="B174" s="139"/>
      <c r="C174" s="139"/>
      <c r="D174" s="139"/>
      <c r="E174" s="139"/>
      <c r="F174" s="139"/>
      <c r="G174" s="31" t="s">
        <v>21</v>
      </c>
      <c r="H174" s="31" t="s">
        <v>21</v>
      </c>
      <c r="I174" s="31" t="s">
        <v>21</v>
      </c>
      <c r="J174" s="31" t="s">
        <v>22</v>
      </c>
      <c r="K174" s="31" t="s">
        <v>22</v>
      </c>
      <c r="L174" s="31" t="s">
        <v>22</v>
      </c>
      <c r="M174" s="139"/>
      <c r="N174" s="139"/>
      <c r="O174" s="139"/>
      <c r="P174" s="139"/>
      <c r="Q174" s="31" t="s">
        <v>21</v>
      </c>
      <c r="R174" s="31" t="s">
        <v>21</v>
      </c>
      <c r="S174" s="31" t="s">
        <v>21</v>
      </c>
      <c r="T174" s="31" t="s">
        <v>22</v>
      </c>
      <c r="U174" s="31" t="s">
        <v>22</v>
      </c>
      <c r="V174" s="31" t="s">
        <v>22</v>
      </c>
      <c r="W174" s="155"/>
      <c r="X174" s="3"/>
    </row>
    <row r="175" spans="1:24" ht="15" customHeight="1" x14ac:dyDescent="0.25">
      <c r="A175" s="5">
        <v>1</v>
      </c>
      <c r="B175" s="21" t="s">
        <v>145</v>
      </c>
      <c r="C175" s="13">
        <v>45738</v>
      </c>
      <c r="D175" s="13">
        <v>45838</v>
      </c>
      <c r="E175" s="21">
        <v>2</v>
      </c>
      <c r="F175" s="21">
        <v>0</v>
      </c>
      <c r="G175" s="21">
        <v>145</v>
      </c>
      <c r="H175" s="21">
        <v>147</v>
      </c>
      <c r="I175" s="21"/>
      <c r="J175" s="21"/>
      <c r="K175" s="21"/>
      <c r="L175" s="21"/>
      <c r="M175" s="21">
        <f>AVERAGE(G175:L175)</f>
        <v>146</v>
      </c>
      <c r="N175" s="20">
        <v>45869</v>
      </c>
      <c r="O175" s="21">
        <v>1</v>
      </c>
      <c r="P175" s="21">
        <v>1</v>
      </c>
      <c r="Q175" s="21">
        <v>317</v>
      </c>
      <c r="R175" s="21"/>
      <c r="S175" s="21"/>
      <c r="T175" s="21"/>
      <c r="U175" s="21"/>
      <c r="V175" s="21"/>
      <c r="W175" s="22">
        <f>AVERAGE(Q175:V175)</f>
        <v>317</v>
      </c>
    </row>
    <row r="176" spans="1:24" ht="14.25" customHeight="1" x14ac:dyDescent="0.25">
      <c r="A176" s="6">
        <v>2</v>
      </c>
      <c r="B176" s="21" t="s">
        <v>212</v>
      </c>
      <c r="C176" s="13">
        <v>45851</v>
      </c>
      <c r="D176" s="13">
        <v>45923</v>
      </c>
      <c r="E176" s="21">
        <v>2</v>
      </c>
      <c r="F176" s="21">
        <v>0</v>
      </c>
      <c r="G176" s="21">
        <v>107</v>
      </c>
      <c r="H176" s="21">
        <v>90</v>
      </c>
      <c r="I176" s="21">
        <v>107</v>
      </c>
      <c r="J176" s="21"/>
      <c r="K176" s="21"/>
      <c r="L176" s="21"/>
      <c r="M176" s="80">
        <f>AVERAGE(G176:L176)</f>
        <v>101.33333333333333</v>
      </c>
      <c r="N176" s="20">
        <v>45944</v>
      </c>
      <c r="O176" s="21">
        <v>3</v>
      </c>
      <c r="P176" s="21">
        <v>0</v>
      </c>
      <c r="Q176" s="21">
        <v>258</v>
      </c>
      <c r="R176" s="21">
        <v>216</v>
      </c>
      <c r="S176" s="21">
        <v>23</v>
      </c>
      <c r="T176" s="21"/>
      <c r="U176" s="21"/>
      <c r="V176" s="21"/>
      <c r="W176" s="68">
        <f>AVERAGE(Q176:V176)</f>
        <v>165.66666666666666</v>
      </c>
    </row>
    <row r="177" spans="1:24" ht="15" customHeight="1" x14ac:dyDescent="0.25">
      <c r="A177" s="6">
        <v>3</v>
      </c>
      <c r="B177" s="21" t="s">
        <v>325</v>
      </c>
      <c r="C177" s="13">
        <v>45950</v>
      </c>
      <c r="D177" s="13">
        <v>46025</v>
      </c>
      <c r="E177" s="21">
        <v>4</v>
      </c>
      <c r="F177" s="21">
        <v>0</v>
      </c>
      <c r="G177" s="21">
        <v>101</v>
      </c>
      <c r="H177" s="21">
        <v>109</v>
      </c>
      <c r="I177" s="21">
        <v>112</v>
      </c>
      <c r="J177" s="21">
        <v>118</v>
      </c>
      <c r="K177" s="21"/>
      <c r="L177" s="21"/>
      <c r="M177" s="80">
        <f>AVERAGE(G177:L177)</f>
        <v>110</v>
      </c>
      <c r="N177" s="20">
        <v>46029</v>
      </c>
      <c r="O177" s="21">
        <v>4</v>
      </c>
      <c r="P177" s="21">
        <v>0</v>
      </c>
      <c r="Q177" s="21">
        <v>203</v>
      </c>
      <c r="R177" s="21">
        <v>250</v>
      </c>
      <c r="S177" s="21">
        <v>206</v>
      </c>
      <c r="T177" s="21">
        <v>232</v>
      </c>
      <c r="U177" s="21"/>
      <c r="V177" s="21"/>
      <c r="W177" s="68">
        <f>AVERAGE(Q177:V177)</f>
        <v>222.75</v>
      </c>
    </row>
    <row r="178" spans="1:24" ht="15" customHeight="1" x14ac:dyDescent="0.25">
      <c r="A178" s="5">
        <v>4</v>
      </c>
      <c r="B178" s="21" t="s">
        <v>325</v>
      </c>
      <c r="C178" s="13">
        <v>46070</v>
      </c>
      <c r="D178" s="13">
        <v>46096</v>
      </c>
      <c r="E178" s="21">
        <v>3</v>
      </c>
      <c r="F178" s="21">
        <v>0</v>
      </c>
      <c r="G178" s="21">
        <v>115</v>
      </c>
      <c r="H178" s="21">
        <v>120</v>
      </c>
      <c r="I178" s="21">
        <v>118</v>
      </c>
      <c r="J178" s="21"/>
      <c r="K178" s="21"/>
      <c r="L178" s="21"/>
      <c r="M178" s="80">
        <f>AVERAGE(G178:L178)</f>
        <v>117.66666666666667</v>
      </c>
      <c r="N178" s="20">
        <v>46176</v>
      </c>
      <c r="O178" s="21">
        <v>2</v>
      </c>
      <c r="P178" s="21">
        <v>1</v>
      </c>
      <c r="Q178" s="21">
        <v>262</v>
      </c>
      <c r="R178" s="21">
        <v>258</v>
      </c>
      <c r="S178" s="21"/>
      <c r="T178" s="21"/>
      <c r="U178" s="21"/>
      <c r="V178" s="21"/>
      <c r="W178" s="68">
        <f>AVERAGE(Q178:V178)</f>
        <v>260</v>
      </c>
    </row>
    <row r="179" spans="1:24" ht="16.5" customHeight="1" x14ac:dyDescent="0.25">
      <c r="A179" s="5">
        <v>5</v>
      </c>
      <c r="B179" s="21"/>
      <c r="C179" s="8"/>
      <c r="D179" s="8"/>
      <c r="E179" s="21"/>
      <c r="F179" s="21"/>
      <c r="G179" s="21"/>
      <c r="H179" s="21"/>
      <c r="I179" s="21"/>
      <c r="J179" s="21"/>
      <c r="K179" s="21"/>
      <c r="L179" s="21"/>
      <c r="M179" s="41"/>
      <c r="N179" s="21"/>
      <c r="O179" s="21"/>
      <c r="P179" s="21"/>
      <c r="Q179" s="21"/>
      <c r="R179" s="21"/>
      <c r="S179" s="21"/>
      <c r="T179" s="21"/>
      <c r="U179" s="21"/>
      <c r="V179" s="21"/>
      <c r="W179" s="40"/>
    </row>
    <row r="180" spans="1:24" ht="15" customHeight="1" thickBot="1" x14ac:dyDescent="0.3">
      <c r="A180" s="7">
        <v>6</v>
      </c>
      <c r="B180" s="37"/>
      <c r="C180" s="10"/>
      <c r="D180" s="10"/>
      <c r="E180" s="37"/>
      <c r="F180" s="37"/>
      <c r="G180" s="37"/>
      <c r="H180" s="37"/>
      <c r="I180" s="37"/>
      <c r="J180" s="37"/>
      <c r="K180" s="37"/>
      <c r="L180" s="37"/>
      <c r="M180" s="42"/>
      <c r="N180" s="37"/>
      <c r="O180" s="37"/>
      <c r="P180" s="37"/>
      <c r="Q180" s="37"/>
      <c r="R180" s="37"/>
      <c r="S180" s="37"/>
      <c r="T180" s="37"/>
      <c r="U180" s="37"/>
      <c r="V180" s="37"/>
      <c r="W180" s="43"/>
    </row>
    <row r="181" spans="1:24" ht="20.100000000000001" customHeight="1" x14ac:dyDescent="0.25"/>
    <row r="182" spans="1:24" ht="20.100000000000001" customHeight="1" thickBot="1" x14ac:dyDescent="0.3"/>
    <row r="183" spans="1:24" ht="20.100000000000001" customHeight="1" x14ac:dyDescent="0.25">
      <c r="A183" s="156" t="s">
        <v>2</v>
      </c>
      <c r="B183" s="157"/>
      <c r="C183" s="184" t="s">
        <v>253</v>
      </c>
      <c r="D183" s="201"/>
      <c r="E183" s="109" t="s">
        <v>403</v>
      </c>
      <c r="F183" s="109"/>
      <c r="G183" s="103" t="s">
        <v>4</v>
      </c>
      <c r="H183" s="157"/>
      <c r="I183" s="111" t="s">
        <v>359</v>
      </c>
      <c r="J183" s="158"/>
      <c r="K183" s="158"/>
      <c r="L183" s="158"/>
      <c r="M183" s="158"/>
      <c r="N183" s="112"/>
      <c r="O183" s="103" t="s">
        <v>6</v>
      </c>
      <c r="P183" s="157"/>
      <c r="Q183" s="103"/>
      <c r="R183" s="104"/>
      <c r="S183" s="104"/>
      <c r="T183" s="104"/>
      <c r="U183" s="104"/>
      <c r="V183" s="104"/>
      <c r="W183" s="105"/>
      <c r="X183" s="1"/>
    </row>
    <row r="184" spans="1:24" ht="20.100000000000001" customHeight="1" x14ac:dyDescent="0.25">
      <c r="A184" s="144" t="s">
        <v>7</v>
      </c>
      <c r="B184" s="145"/>
      <c r="C184" s="135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7"/>
      <c r="O184" s="135"/>
      <c r="P184" s="137"/>
      <c r="Q184" s="149"/>
      <c r="R184" s="150"/>
      <c r="S184" s="150"/>
      <c r="T184" s="150"/>
      <c r="U184" s="150"/>
      <c r="V184" s="150"/>
      <c r="W184" s="151"/>
      <c r="X184" s="1"/>
    </row>
    <row r="185" spans="1:24" ht="24.95" customHeight="1" x14ac:dyDescent="0.25">
      <c r="A185" s="152" t="s">
        <v>8</v>
      </c>
      <c r="B185" s="138" t="s">
        <v>9</v>
      </c>
      <c r="C185" s="138" t="s">
        <v>10</v>
      </c>
      <c r="D185" s="138" t="s">
        <v>11</v>
      </c>
      <c r="E185" s="138" t="s">
        <v>12</v>
      </c>
      <c r="F185" s="138" t="s">
        <v>13</v>
      </c>
      <c r="G185" s="140" t="s">
        <v>14</v>
      </c>
      <c r="H185" s="141"/>
      <c r="I185" s="141"/>
      <c r="J185" s="141"/>
      <c r="K185" s="141"/>
      <c r="L185" s="142"/>
      <c r="M185" s="138" t="s">
        <v>15</v>
      </c>
      <c r="N185" s="138" t="s">
        <v>16</v>
      </c>
      <c r="O185" s="138" t="s">
        <v>17</v>
      </c>
      <c r="P185" s="138" t="s">
        <v>18</v>
      </c>
      <c r="Q185" s="140" t="s">
        <v>19</v>
      </c>
      <c r="R185" s="141"/>
      <c r="S185" s="141"/>
      <c r="T185" s="141"/>
      <c r="U185" s="141"/>
      <c r="V185" s="142"/>
      <c r="W185" s="154" t="s">
        <v>20</v>
      </c>
      <c r="X185" s="3"/>
    </row>
    <row r="186" spans="1:24" ht="24.95" customHeight="1" x14ac:dyDescent="0.25">
      <c r="A186" s="153"/>
      <c r="B186" s="139"/>
      <c r="C186" s="139"/>
      <c r="D186" s="139"/>
      <c r="E186" s="139"/>
      <c r="F186" s="139"/>
      <c r="G186" s="31" t="s">
        <v>21</v>
      </c>
      <c r="H186" s="31" t="s">
        <v>21</v>
      </c>
      <c r="I186" s="31" t="s">
        <v>21</v>
      </c>
      <c r="J186" s="31" t="s">
        <v>22</v>
      </c>
      <c r="K186" s="31" t="s">
        <v>22</v>
      </c>
      <c r="L186" s="31" t="s">
        <v>22</v>
      </c>
      <c r="M186" s="139"/>
      <c r="N186" s="139"/>
      <c r="O186" s="139"/>
      <c r="P186" s="139"/>
      <c r="Q186" s="31" t="s">
        <v>21</v>
      </c>
      <c r="R186" s="31" t="s">
        <v>21</v>
      </c>
      <c r="S186" s="31" t="s">
        <v>21</v>
      </c>
      <c r="T186" s="31" t="s">
        <v>22</v>
      </c>
      <c r="U186" s="31" t="s">
        <v>22</v>
      </c>
      <c r="V186" s="31" t="s">
        <v>22</v>
      </c>
      <c r="W186" s="155"/>
      <c r="X186" s="3"/>
    </row>
    <row r="187" spans="1:24" ht="15" customHeight="1" x14ac:dyDescent="0.25">
      <c r="A187" s="5">
        <v>1</v>
      </c>
      <c r="B187" s="21" t="s">
        <v>145</v>
      </c>
      <c r="C187" s="13">
        <v>45738</v>
      </c>
      <c r="D187" s="20">
        <v>45816</v>
      </c>
      <c r="E187" s="21">
        <v>3</v>
      </c>
      <c r="F187" s="21">
        <v>0</v>
      </c>
      <c r="G187" s="21"/>
      <c r="H187" s="21"/>
      <c r="I187" s="21"/>
      <c r="J187" s="21">
        <v>118</v>
      </c>
      <c r="K187" s="21">
        <v>99</v>
      </c>
      <c r="L187" s="21">
        <v>119</v>
      </c>
      <c r="M187" s="21">
        <f>AVERAGE(G187:L187)</f>
        <v>112</v>
      </c>
      <c r="N187" s="20">
        <v>45833</v>
      </c>
      <c r="O187" s="21">
        <v>3</v>
      </c>
      <c r="P187" s="21">
        <v>0</v>
      </c>
      <c r="Q187" s="21"/>
      <c r="R187" s="21"/>
      <c r="S187" s="21"/>
      <c r="T187" s="21">
        <v>256</v>
      </c>
      <c r="U187" s="21">
        <v>218</v>
      </c>
      <c r="V187" s="21">
        <v>254</v>
      </c>
      <c r="W187" s="68">
        <f>AVERAGE(Q187:V187)</f>
        <v>242.66666666666666</v>
      </c>
    </row>
    <row r="188" spans="1:24" ht="15.75" customHeight="1" x14ac:dyDescent="0.25">
      <c r="A188" s="6">
        <v>2</v>
      </c>
      <c r="B188" s="21" t="s">
        <v>212</v>
      </c>
      <c r="C188" s="13">
        <v>45851</v>
      </c>
      <c r="D188" s="20">
        <v>45932</v>
      </c>
      <c r="E188" s="21">
        <v>1</v>
      </c>
      <c r="F188" s="21">
        <v>0</v>
      </c>
      <c r="G188" s="21">
        <v>182</v>
      </c>
      <c r="H188" s="21"/>
      <c r="I188" s="21"/>
      <c r="J188" s="21"/>
      <c r="K188" s="21"/>
      <c r="L188" s="21"/>
      <c r="M188" s="21">
        <v>182</v>
      </c>
      <c r="N188" s="20">
        <v>45944</v>
      </c>
      <c r="O188" s="21">
        <v>1</v>
      </c>
      <c r="P188" s="21">
        <v>0</v>
      </c>
      <c r="Q188" s="21">
        <v>200</v>
      </c>
      <c r="R188" s="21"/>
      <c r="S188" s="21"/>
      <c r="T188" s="21"/>
      <c r="U188" s="21"/>
      <c r="V188" s="21"/>
      <c r="W188" s="68">
        <v>200</v>
      </c>
    </row>
    <row r="189" spans="1:24" ht="15.75" customHeight="1" x14ac:dyDescent="0.25">
      <c r="A189" s="6">
        <v>3</v>
      </c>
      <c r="B189" s="21" t="s">
        <v>325</v>
      </c>
      <c r="C189" s="13">
        <v>45950</v>
      </c>
      <c r="D189" s="20">
        <v>46032</v>
      </c>
      <c r="E189" s="21">
        <v>4</v>
      </c>
      <c r="F189" s="21">
        <v>0</v>
      </c>
      <c r="G189" s="21">
        <v>115</v>
      </c>
      <c r="H189" s="21"/>
      <c r="I189" s="21"/>
      <c r="J189" s="21">
        <v>105</v>
      </c>
      <c r="K189" s="21">
        <v>109</v>
      </c>
      <c r="L189" s="21">
        <v>110</v>
      </c>
      <c r="M189" s="80">
        <f>AVERAGE(G189:L189)</f>
        <v>109.75</v>
      </c>
      <c r="N189" s="20">
        <v>46055</v>
      </c>
      <c r="O189" s="21">
        <v>4</v>
      </c>
      <c r="P189" s="21">
        <v>0</v>
      </c>
      <c r="Q189" s="21">
        <v>300</v>
      </c>
      <c r="R189" s="21"/>
      <c r="S189" s="21"/>
      <c r="T189" s="21">
        <v>321</v>
      </c>
      <c r="U189" s="21">
        <v>237</v>
      </c>
      <c r="V189" s="21">
        <v>290</v>
      </c>
      <c r="W189" s="68">
        <f>AVERAGE(Q189:V189)</f>
        <v>287</v>
      </c>
    </row>
    <row r="190" spans="1:24" ht="16.5" customHeight="1" x14ac:dyDescent="0.25">
      <c r="A190" s="5">
        <v>4</v>
      </c>
      <c r="B190" s="21" t="s">
        <v>325</v>
      </c>
      <c r="C190" s="13">
        <v>46070</v>
      </c>
      <c r="D190" s="20">
        <v>46148</v>
      </c>
      <c r="E190" s="21">
        <v>3</v>
      </c>
      <c r="F190" s="21">
        <v>0</v>
      </c>
      <c r="G190" s="21">
        <v>120</v>
      </c>
      <c r="H190" s="21">
        <v>125</v>
      </c>
      <c r="I190" s="21"/>
      <c r="J190" s="21">
        <v>118</v>
      </c>
      <c r="K190" s="21"/>
      <c r="L190" s="21"/>
      <c r="M190" s="21">
        <f>AVERAGE(G190:L190)</f>
        <v>121</v>
      </c>
      <c r="N190" s="20">
        <v>46176</v>
      </c>
      <c r="O190" s="21">
        <v>2</v>
      </c>
      <c r="P190" s="21">
        <v>1</v>
      </c>
      <c r="Q190" s="21">
        <v>260</v>
      </c>
      <c r="R190" s="21"/>
      <c r="S190" s="21"/>
      <c r="T190" s="21">
        <v>258</v>
      </c>
      <c r="U190" s="21"/>
      <c r="V190" s="21"/>
      <c r="W190" s="68">
        <f>AVERAGE(Q190:V190)</f>
        <v>259</v>
      </c>
    </row>
    <row r="191" spans="1:24" ht="15" customHeight="1" x14ac:dyDescent="0.25">
      <c r="A191" s="5">
        <v>5</v>
      </c>
      <c r="B191" s="21"/>
      <c r="C191" s="8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40"/>
    </row>
    <row r="192" spans="1:24" ht="16.5" customHeight="1" thickBot="1" x14ac:dyDescent="0.3">
      <c r="A192" s="7">
        <v>6</v>
      </c>
      <c r="B192" s="37"/>
      <c r="C192" s="10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43"/>
    </row>
    <row r="193" spans="1:24" ht="20.100000000000001" customHeight="1" x14ac:dyDescent="0.25"/>
    <row r="194" spans="1:24" ht="20.100000000000001" customHeight="1" thickBot="1" x14ac:dyDescent="0.3"/>
    <row r="195" spans="1:24" ht="20.100000000000001" customHeight="1" x14ac:dyDescent="0.25">
      <c r="A195" s="156" t="s">
        <v>2</v>
      </c>
      <c r="B195" s="157"/>
      <c r="C195" s="200" t="s">
        <v>254</v>
      </c>
      <c r="D195" s="200"/>
      <c r="E195" s="159" t="s">
        <v>381</v>
      </c>
      <c r="F195" s="160"/>
      <c r="G195" s="103" t="s">
        <v>4</v>
      </c>
      <c r="H195" s="157"/>
      <c r="I195" s="111" t="s">
        <v>366</v>
      </c>
      <c r="J195" s="158"/>
      <c r="K195" s="158"/>
      <c r="L195" s="158"/>
      <c r="M195" s="158"/>
      <c r="N195" s="112"/>
      <c r="O195" s="103" t="s">
        <v>6</v>
      </c>
      <c r="P195" s="157"/>
      <c r="Q195" s="103"/>
      <c r="R195" s="104"/>
      <c r="S195" s="104"/>
      <c r="T195" s="104"/>
      <c r="U195" s="104"/>
      <c r="V195" s="104"/>
      <c r="W195" s="105"/>
      <c r="X195" s="1"/>
    </row>
    <row r="196" spans="1:24" ht="20.100000000000001" customHeight="1" x14ac:dyDescent="0.25">
      <c r="A196" s="144" t="s">
        <v>7</v>
      </c>
      <c r="B196" s="145"/>
      <c r="C196" s="135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7"/>
      <c r="O196" s="135"/>
      <c r="P196" s="137"/>
      <c r="Q196" s="149"/>
      <c r="R196" s="150"/>
      <c r="S196" s="150"/>
      <c r="T196" s="150"/>
      <c r="U196" s="150"/>
      <c r="V196" s="150"/>
      <c r="W196" s="151"/>
      <c r="X196" s="1"/>
    </row>
    <row r="197" spans="1:24" ht="24.95" customHeight="1" x14ac:dyDescent="0.25">
      <c r="A197" s="152" t="s">
        <v>8</v>
      </c>
      <c r="B197" s="138" t="s">
        <v>9</v>
      </c>
      <c r="C197" s="138" t="s">
        <v>10</v>
      </c>
      <c r="D197" s="138" t="s">
        <v>11</v>
      </c>
      <c r="E197" s="138" t="s">
        <v>12</v>
      </c>
      <c r="F197" s="138" t="s">
        <v>13</v>
      </c>
      <c r="G197" s="140" t="s">
        <v>14</v>
      </c>
      <c r="H197" s="141"/>
      <c r="I197" s="141"/>
      <c r="J197" s="141"/>
      <c r="K197" s="141"/>
      <c r="L197" s="142"/>
      <c r="M197" s="138" t="s">
        <v>15</v>
      </c>
      <c r="N197" s="138" t="s">
        <v>16</v>
      </c>
      <c r="O197" s="138" t="s">
        <v>17</v>
      </c>
      <c r="P197" s="138" t="s">
        <v>18</v>
      </c>
      <c r="Q197" s="140" t="s">
        <v>19</v>
      </c>
      <c r="R197" s="141"/>
      <c r="S197" s="141"/>
      <c r="T197" s="141"/>
      <c r="U197" s="141"/>
      <c r="V197" s="142"/>
      <c r="W197" s="154" t="s">
        <v>20</v>
      </c>
      <c r="X197" s="3"/>
    </row>
    <row r="198" spans="1:24" ht="24.95" customHeight="1" x14ac:dyDescent="0.25">
      <c r="A198" s="153"/>
      <c r="B198" s="139"/>
      <c r="C198" s="139"/>
      <c r="D198" s="139"/>
      <c r="E198" s="139"/>
      <c r="F198" s="139"/>
      <c r="G198" s="31" t="s">
        <v>21</v>
      </c>
      <c r="H198" s="31" t="s">
        <v>21</v>
      </c>
      <c r="I198" s="31" t="s">
        <v>21</v>
      </c>
      <c r="J198" s="31" t="s">
        <v>22</v>
      </c>
      <c r="K198" s="31" t="s">
        <v>22</v>
      </c>
      <c r="L198" s="31" t="s">
        <v>22</v>
      </c>
      <c r="M198" s="139"/>
      <c r="N198" s="139"/>
      <c r="O198" s="139"/>
      <c r="P198" s="139"/>
      <c r="Q198" s="31" t="s">
        <v>21</v>
      </c>
      <c r="R198" s="31" t="s">
        <v>21</v>
      </c>
      <c r="S198" s="31" t="s">
        <v>21</v>
      </c>
      <c r="T198" s="31" t="s">
        <v>22</v>
      </c>
      <c r="U198" s="31" t="s">
        <v>22</v>
      </c>
      <c r="V198" s="31" t="s">
        <v>22</v>
      </c>
      <c r="W198" s="155"/>
      <c r="X198" s="3"/>
    </row>
    <row r="199" spans="1:24" ht="17.25" customHeight="1" x14ac:dyDescent="0.25">
      <c r="A199" s="5">
        <v>1</v>
      </c>
      <c r="B199" s="21" t="s">
        <v>29</v>
      </c>
      <c r="C199" s="13">
        <v>45770</v>
      </c>
      <c r="D199" s="20">
        <v>45843</v>
      </c>
      <c r="E199" s="21">
        <v>3</v>
      </c>
      <c r="F199" s="21">
        <v>0</v>
      </c>
      <c r="G199" s="21">
        <v>170</v>
      </c>
      <c r="H199" s="21"/>
      <c r="I199" s="21"/>
      <c r="J199" s="21">
        <v>152</v>
      </c>
      <c r="K199" s="21">
        <v>155</v>
      </c>
      <c r="L199" s="21"/>
      <c r="M199" s="21">
        <f>AVERAGE(G199:L199)</f>
        <v>159</v>
      </c>
      <c r="N199" s="20">
        <v>45869</v>
      </c>
      <c r="O199" s="21">
        <v>3</v>
      </c>
      <c r="P199" s="21">
        <v>0</v>
      </c>
      <c r="Q199" s="21">
        <v>361</v>
      </c>
      <c r="R199" s="21"/>
      <c r="S199" s="21"/>
      <c r="T199" s="21">
        <v>310</v>
      </c>
      <c r="U199" s="21">
        <v>348</v>
      </c>
      <c r="V199" s="21"/>
      <c r="W199" s="40">
        <f>AVERAGE(Q199:V199)</f>
        <v>339.66666666666669</v>
      </c>
    </row>
    <row r="200" spans="1:24" ht="15.75" customHeight="1" x14ac:dyDescent="0.25">
      <c r="A200" s="6">
        <v>2</v>
      </c>
      <c r="B200" s="21" t="s">
        <v>29</v>
      </c>
      <c r="C200" s="13">
        <v>45884</v>
      </c>
      <c r="D200" s="20">
        <v>45964</v>
      </c>
      <c r="E200" s="21">
        <v>3</v>
      </c>
      <c r="F200" s="21">
        <v>0</v>
      </c>
      <c r="G200" s="21">
        <v>94</v>
      </c>
      <c r="H200" s="21">
        <v>119</v>
      </c>
      <c r="I200" s="21"/>
      <c r="J200" s="21">
        <v>110</v>
      </c>
      <c r="K200" s="21"/>
      <c r="L200" s="21"/>
      <c r="M200" s="41">
        <f>AVERAGE(G200:L200)</f>
        <v>107.66666666666667</v>
      </c>
      <c r="N200" s="20">
        <v>45986</v>
      </c>
      <c r="O200" s="21">
        <v>3</v>
      </c>
      <c r="P200" s="21">
        <v>0</v>
      </c>
      <c r="Q200" s="21">
        <v>208</v>
      </c>
      <c r="R200" s="21">
        <v>240</v>
      </c>
      <c r="S200" s="21"/>
      <c r="T200" s="21">
        <v>237</v>
      </c>
      <c r="U200" s="21"/>
      <c r="V200" s="21"/>
      <c r="W200" s="40">
        <f>AVERAGE(Q200:V200)</f>
        <v>228.33333333333334</v>
      </c>
    </row>
    <row r="201" spans="1:24" ht="15.75" customHeight="1" x14ac:dyDescent="0.25">
      <c r="A201" s="6">
        <v>3</v>
      </c>
      <c r="B201" s="21" t="s">
        <v>232</v>
      </c>
      <c r="C201" s="13">
        <v>46039</v>
      </c>
      <c r="D201" s="20">
        <v>46111</v>
      </c>
      <c r="E201" s="21">
        <v>3</v>
      </c>
      <c r="F201" s="21">
        <v>0</v>
      </c>
      <c r="G201" s="21">
        <v>115</v>
      </c>
      <c r="H201" s="21">
        <v>139</v>
      </c>
      <c r="I201" s="21"/>
      <c r="J201" s="21">
        <v>144</v>
      </c>
      <c r="K201" s="21"/>
      <c r="L201" s="21"/>
      <c r="M201" s="21"/>
      <c r="N201" s="20">
        <v>46133</v>
      </c>
      <c r="O201" s="21">
        <v>3</v>
      </c>
      <c r="P201" s="21">
        <v>0</v>
      </c>
      <c r="Q201" s="21">
        <v>233</v>
      </c>
      <c r="R201" s="21">
        <v>222</v>
      </c>
      <c r="S201" s="21"/>
      <c r="T201" s="21">
        <v>216</v>
      </c>
      <c r="U201" s="21"/>
      <c r="V201" s="21"/>
      <c r="W201" s="40"/>
    </row>
    <row r="202" spans="1:24" ht="15" customHeight="1" x14ac:dyDescent="0.25">
      <c r="A202" s="5">
        <v>4</v>
      </c>
      <c r="B202" s="21"/>
      <c r="C202" s="8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40"/>
    </row>
    <row r="203" spans="1:24" ht="15" customHeight="1" x14ac:dyDescent="0.25">
      <c r="A203" s="5">
        <v>5</v>
      </c>
      <c r="B203" s="21"/>
      <c r="C203" s="8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40"/>
    </row>
    <row r="204" spans="1:24" ht="15.75" customHeight="1" thickBot="1" x14ac:dyDescent="0.3">
      <c r="A204" s="7">
        <v>6</v>
      </c>
      <c r="B204" s="37"/>
      <c r="C204" s="10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43"/>
    </row>
    <row r="205" spans="1:24" ht="20.100000000000001" customHeight="1" x14ac:dyDescent="0.25"/>
    <row r="206" spans="1:24" ht="20.100000000000001" customHeight="1" thickBot="1" x14ac:dyDescent="0.3"/>
    <row r="207" spans="1:24" ht="20.100000000000001" customHeight="1" x14ac:dyDescent="0.25">
      <c r="A207" s="156" t="s">
        <v>2</v>
      </c>
      <c r="B207" s="157"/>
      <c r="C207" s="178" t="s">
        <v>218</v>
      </c>
      <c r="D207" s="197"/>
      <c r="E207" s="109" t="s">
        <v>385</v>
      </c>
      <c r="F207" s="109"/>
      <c r="G207" s="103" t="s">
        <v>4</v>
      </c>
      <c r="H207" s="157"/>
      <c r="I207" s="111" t="s">
        <v>135</v>
      </c>
      <c r="J207" s="158"/>
      <c r="K207" s="158"/>
      <c r="L207" s="158"/>
      <c r="M207" s="158"/>
      <c r="N207" s="112"/>
      <c r="O207" s="103" t="s">
        <v>6</v>
      </c>
      <c r="P207" s="157"/>
      <c r="Q207" s="103"/>
      <c r="R207" s="104"/>
      <c r="S207" s="104"/>
      <c r="T207" s="104"/>
      <c r="U207" s="104"/>
      <c r="V207" s="104"/>
      <c r="W207" s="105"/>
      <c r="X207" s="1"/>
    </row>
    <row r="208" spans="1:24" ht="20.100000000000001" customHeight="1" x14ac:dyDescent="0.25">
      <c r="A208" s="144" t="s">
        <v>7</v>
      </c>
      <c r="B208" s="145"/>
      <c r="C208" s="135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7"/>
      <c r="O208" s="135"/>
      <c r="P208" s="137"/>
      <c r="Q208" s="149"/>
      <c r="R208" s="150"/>
      <c r="S208" s="150"/>
      <c r="T208" s="150"/>
      <c r="U208" s="150"/>
      <c r="V208" s="150"/>
      <c r="W208" s="151"/>
      <c r="X208" s="1"/>
    </row>
    <row r="209" spans="1:24" ht="24.95" customHeight="1" x14ac:dyDescent="0.25">
      <c r="A209" s="152" t="s">
        <v>8</v>
      </c>
      <c r="B209" s="138" t="s">
        <v>9</v>
      </c>
      <c r="C209" s="138" t="s">
        <v>10</v>
      </c>
      <c r="D209" s="138" t="s">
        <v>11</v>
      </c>
      <c r="E209" s="138" t="s">
        <v>12</v>
      </c>
      <c r="F209" s="138" t="s">
        <v>13</v>
      </c>
      <c r="G209" s="140" t="s">
        <v>14</v>
      </c>
      <c r="H209" s="141"/>
      <c r="I209" s="141"/>
      <c r="J209" s="141"/>
      <c r="K209" s="141"/>
      <c r="L209" s="142"/>
      <c r="M209" s="138" t="s">
        <v>15</v>
      </c>
      <c r="N209" s="138" t="s">
        <v>16</v>
      </c>
      <c r="O209" s="138" t="s">
        <v>17</v>
      </c>
      <c r="P209" s="138" t="s">
        <v>18</v>
      </c>
      <c r="Q209" s="140" t="s">
        <v>19</v>
      </c>
      <c r="R209" s="141"/>
      <c r="S209" s="141"/>
      <c r="T209" s="141"/>
      <c r="U209" s="141"/>
      <c r="V209" s="142"/>
      <c r="W209" s="154" t="s">
        <v>20</v>
      </c>
      <c r="X209" s="3"/>
    </row>
    <row r="210" spans="1:24" ht="24.95" customHeight="1" x14ac:dyDescent="0.25">
      <c r="A210" s="153"/>
      <c r="B210" s="139"/>
      <c r="C210" s="139"/>
      <c r="D210" s="139"/>
      <c r="E210" s="139"/>
      <c r="F210" s="139"/>
      <c r="G210" s="31" t="s">
        <v>21</v>
      </c>
      <c r="H210" s="31" t="s">
        <v>21</v>
      </c>
      <c r="I210" s="31" t="s">
        <v>21</v>
      </c>
      <c r="J210" s="31" t="s">
        <v>22</v>
      </c>
      <c r="K210" s="31" t="s">
        <v>22</v>
      </c>
      <c r="L210" s="31" t="s">
        <v>22</v>
      </c>
      <c r="M210" s="139"/>
      <c r="N210" s="139"/>
      <c r="O210" s="139"/>
      <c r="P210" s="139"/>
      <c r="Q210" s="31" t="s">
        <v>21</v>
      </c>
      <c r="R210" s="31" t="s">
        <v>21</v>
      </c>
      <c r="S210" s="31" t="s">
        <v>21</v>
      </c>
      <c r="T210" s="31" t="s">
        <v>22</v>
      </c>
      <c r="U210" s="31" t="s">
        <v>22</v>
      </c>
      <c r="V210" s="31" t="s">
        <v>22</v>
      </c>
      <c r="W210" s="155"/>
      <c r="X210" s="3"/>
    </row>
    <row r="211" spans="1:24" ht="15.75" customHeight="1" x14ac:dyDescent="0.25">
      <c r="A211" s="5">
        <v>1</v>
      </c>
      <c r="B211" s="21" t="s">
        <v>79</v>
      </c>
      <c r="C211" s="20">
        <v>45738</v>
      </c>
      <c r="D211" s="20">
        <v>45847</v>
      </c>
      <c r="E211" s="21">
        <v>1</v>
      </c>
      <c r="F211" s="21">
        <v>0</v>
      </c>
      <c r="G211" s="21">
        <v>208</v>
      </c>
      <c r="H211" s="21"/>
      <c r="I211" s="21"/>
      <c r="J211" s="21"/>
      <c r="K211" s="21"/>
      <c r="L211" s="21"/>
      <c r="M211" s="21">
        <v>208</v>
      </c>
      <c r="N211" s="20">
        <v>45869</v>
      </c>
      <c r="O211" s="21">
        <v>1</v>
      </c>
      <c r="P211" s="21">
        <v>0</v>
      </c>
      <c r="Q211" s="21">
        <v>559</v>
      </c>
      <c r="R211" s="21"/>
      <c r="S211" s="21"/>
      <c r="T211" s="21"/>
      <c r="U211" s="21"/>
      <c r="V211" s="21"/>
      <c r="W211" s="22">
        <v>559</v>
      </c>
    </row>
    <row r="212" spans="1:24" ht="16.5" customHeight="1" x14ac:dyDescent="0.25">
      <c r="A212" s="6">
        <v>2</v>
      </c>
      <c r="B212" s="21" t="s">
        <v>235</v>
      </c>
      <c r="C212" s="20">
        <v>45884</v>
      </c>
      <c r="D212" s="8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2"/>
    </row>
    <row r="213" spans="1:24" ht="15.75" customHeight="1" x14ac:dyDescent="0.25">
      <c r="A213" s="6">
        <v>3</v>
      </c>
      <c r="B213" s="21" t="s">
        <v>239</v>
      </c>
      <c r="C213" s="13">
        <v>46039</v>
      </c>
      <c r="D213" s="13">
        <v>46110</v>
      </c>
      <c r="E213" s="21">
        <v>2</v>
      </c>
      <c r="F213" s="21">
        <v>0</v>
      </c>
      <c r="G213" s="21">
        <v>139</v>
      </c>
      <c r="H213" s="21"/>
      <c r="I213" s="21"/>
      <c r="J213" s="21">
        <v>112</v>
      </c>
      <c r="K213" s="21"/>
      <c r="L213" s="21"/>
      <c r="M213" s="21">
        <f>AVERAGE(G213:L213)</f>
        <v>125.5</v>
      </c>
      <c r="N213" s="20">
        <v>46133</v>
      </c>
      <c r="O213" s="21">
        <v>2</v>
      </c>
      <c r="P213" s="21">
        <v>0</v>
      </c>
      <c r="Q213" s="21">
        <v>254</v>
      </c>
      <c r="R213" s="21"/>
      <c r="S213" s="21"/>
      <c r="T213" s="21">
        <v>233</v>
      </c>
      <c r="U213" s="21"/>
      <c r="V213" s="21"/>
      <c r="W213" s="22">
        <f>AVERAGE(Q213:V213)</f>
        <v>243.5</v>
      </c>
    </row>
    <row r="214" spans="1:24" ht="15.75" customHeight="1" x14ac:dyDescent="0.25">
      <c r="A214" s="5">
        <v>4</v>
      </c>
      <c r="B214" s="8"/>
      <c r="C214" s="8"/>
      <c r="D214" s="8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2"/>
    </row>
    <row r="215" spans="1:24" ht="16.5" customHeight="1" x14ac:dyDescent="0.25">
      <c r="A215" s="5">
        <v>5</v>
      </c>
      <c r="B215" s="8"/>
      <c r="C215" s="8"/>
      <c r="D215" s="8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2"/>
    </row>
    <row r="216" spans="1:24" ht="16.5" customHeight="1" thickBot="1" x14ac:dyDescent="0.3">
      <c r="A216" s="7">
        <v>6</v>
      </c>
      <c r="B216" s="10"/>
      <c r="C216" s="10"/>
      <c r="D216" s="10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9"/>
    </row>
    <row r="217" spans="1:24" ht="20.100000000000001" customHeight="1" x14ac:dyDescent="0.25"/>
    <row r="218" spans="1:24" ht="20.100000000000001" customHeight="1" thickBot="1" x14ac:dyDescent="0.3"/>
    <row r="219" spans="1:24" ht="20.100000000000001" customHeight="1" x14ac:dyDescent="0.25">
      <c r="A219" s="156" t="s">
        <v>2</v>
      </c>
      <c r="B219" s="157"/>
      <c r="C219" s="178" t="s">
        <v>138</v>
      </c>
      <c r="D219" s="197"/>
      <c r="E219" s="109" t="s">
        <v>391</v>
      </c>
      <c r="F219" s="109"/>
      <c r="G219" s="103" t="s">
        <v>4</v>
      </c>
      <c r="H219" s="157"/>
      <c r="I219" s="111" t="s">
        <v>135</v>
      </c>
      <c r="J219" s="158"/>
      <c r="K219" s="158"/>
      <c r="L219" s="158"/>
      <c r="M219" s="158"/>
      <c r="N219" s="112"/>
      <c r="O219" s="103" t="s">
        <v>6</v>
      </c>
      <c r="P219" s="157"/>
      <c r="Q219" s="103"/>
      <c r="R219" s="104"/>
      <c r="S219" s="104"/>
      <c r="T219" s="104"/>
      <c r="U219" s="104"/>
      <c r="V219" s="104"/>
      <c r="W219" s="105"/>
      <c r="X219" s="1"/>
    </row>
    <row r="220" spans="1:24" ht="20.100000000000001" customHeight="1" x14ac:dyDescent="0.25">
      <c r="A220" s="144" t="s">
        <v>7</v>
      </c>
      <c r="B220" s="145"/>
      <c r="C220" s="146" t="s">
        <v>44</v>
      </c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8"/>
      <c r="O220" s="135"/>
      <c r="P220" s="137"/>
      <c r="Q220" s="149"/>
      <c r="R220" s="150"/>
      <c r="S220" s="150"/>
      <c r="T220" s="150"/>
      <c r="U220" s="150"/>
      <c r="V220" s="150"/>
      <c r="W220" s="151"/>
      <c r="X220" s="1"/>
    </row>
    <row r="221" spans="1:24" ht="24.95" customHeight="1" x14ac:dyDescent="0.25">
      <c r="A221" s="152" t="s">
        <v>8</v>
      </c>
      <c r="B221" s="138" t="s">
        <v>9</v>
      </c>
      <c r="C221" s="138" t="s">
        <v>10</v>
      </c>
      <c r="D221" s="138" t="s">
        <v>11</v>
      </c>
      <c r="E221" s="138" t="s">
        <v>12</v>
      </c>
      <c r="F221" s="138" t="s">
        <v>13</v>
      </c>
      <c r="G221" s="140" t="s">
        <v>14</v>
      </c>
      <c r="H221" s="141"/>
      <c r="I221" s="141"/>
      <c r="J221" s="141"/>
      <c r="K221" s="141"/>
      <c r="L221" s="142"/>
      <c r="M221" s="138" t="s">
        <v>15</v>
      </c>
      <c r="N221" s="138" t="s">
        <v>16</v>
      </c>
      <c r="O221" s="138" t="s">
        <v>17</v>
      </c>
      <c r="P221" s="138" t="s">
        <v>18</v>
      </c>
      <c r="Q221" s="140" t="s">
        <v>19</v>
      </c>
      <c r="R221" s="141"/>
      <c r="S221" s="141"/>
      <c r="T221" s="141"/>
      <c r="U221" s="141"/>
      <c r="V221" s="142"/>
      <c r="W221" s="154" t="s">
        <v>20</v>
      </c>
      <c r="X221" s="3"/>
    </row>
    <row r="222" spans="1:24" ht="24.95" customHeight="1" x14ac:dyDescent="0.25">
      <c r="A222" s="153"/>
      <c r="B222" s="139"/>
      <c r="C222" s="139"/>
      <c r="D222" s="139"/>
      <c r="E222" s="139"/>
      <c r="F222" s="139"/>
      <c r="G222" s="31" t="s">
        <v>21</v>
      </c>
      <c r="H222" s="31" t="s">
        <v>21</v>
      </c>
      <c r="I222" s="31" t="s">
        <v>21</v>
      </c>
      <c r="J222" s="31" t="s">
        <v>22</v>
      </c>
      <c r="K222" s="31" t="s">
        <v>22</v>
      </c>
      <c r="L222" s="31" t="s">
        <v>22</v>
      </c>
      <c r="M222" s="139"/>
      <c r="N222" s="139"/>
      <c r="O222" s="139"/>
      <c r="P222" s="139"/>
      <c r="Q222" s="31" t="s">
        <v>21</v>
      </c>
      <c r="R222" s="31" t="s">
        <v>21</v>
      </c>
      <c r="S222" s="31" t="s">
        <v>21</v>
      </c>
      <c r="T222" s="31" t="s">
        <v>22</v>
      </c>
      <c r="U222" s="31" t="s">
        <v>22</v>
      </c>
      <c r="V222" s="31" t="s">
        <v>22</v>
      </c>
      <c r="W222" s="155"/>
      <c r="X222" s="3"/>
    </row>
    <row r="223" spans="1:24" ht="14.25" customHeight="1" x14ac:dyDescent="0.25">
      <c r="A223" s="5">
        <v>1</v>
      </c>
      <c r="B223" s="21" t="s">
        <v>78</v>
      </c>
      <c r="C223" s="20">
        <v>45738</v>
      </c>
      <c r="D223" s="20">
        <v>45848</v>
      </c>
      <c r="E223" s="21">
        <v>3</v>
      </c>
      <c r="F223" s="21">
        <v>0</v>
      </c>
      <c r="G223" s="21">
        <v>158</v>
      </c>
      <c r="H223" s="21">
        <v>180</v>
      </c>
      <c r="I223" s="21"/>
      <c r="J223" s="21">
        <v>164</v>
      </c>
      <c r="K223" s="21"/>
      <c r="L223" s="21"/>
      <c r="M223" s="41">
        <f>AVERAGE(G223:L223)</f>
        <v>167.33333333333334</v>
      </c>
      <c r="N223" s="20">
        <v>45869</v>
      </c>
      <c r="O223" s="21">
        <v>2</v>
      </c>
      <c r="P223" s="21">
        <v>0</v>
      </c>
      <c r="Q223" s="21">
        <v>336</v>
      </c>
      <c r="R223" s="21">
        <v>367</v>
      </c>
      <c r="S223" s="21"/>
      <c r="T223" s="21">
        <v>340</v>
      </c>
      <c r="U223" s="21"/>
      <c r="V223" s="21"/>
      <c r="W223" s="40">
        <f>AVERAGE(Q223:V223)</f>
        <v>347.66666666666669</v>
      </c>
    </row>
    <row r="224" spans="1:24" ht="15.75" customHeight="1" x14ac:dyDescent="0.25">
      <c r="A224" s="6">
        <v>2</v>
      </c>
      <c r="B224" s="21" t="s">
        <v>97</v>
      </c>
      <c r="C224" s="20">
        <v>45884</v>
      </c>
      <c r="D224" s="20">
        <v>45957</v>
      </c>
      <c r="E224" s="21">
        <v>1</v>
      </c>
      <c r="F224" s="21">
        <v>0</v>
      </c>
      <c r="G224" s="21"/>
      <c r="H224" s="21"/>
      <c r="I224" s="21"/>
      <c r="J224" s="21">
        <v>251</v>
      </c>
      <c r="K224" s="21"/>
      <c r="L224" s="21"/>
      <c r="M224" s="41">
        <v>251</v>
      </c>
      <c r="N224" s="20">
        <v>45973</v>
      </c>
      <c r="O224" s="21">
        <v>1</v>
      </c>
      <c r="P224" s="21">
        <v>0</v>
      </c>
      <c r="Q224" s="21"/>
      <c r="R224" s="21"/>
      <c r="S224" s="21"/>
      <c r="T224" s="21">
        <v>389</v>
      </c>
      <c r="U224" s="21"/>
      <c r="V224" s="21"/>
      <c r="W224" s="40">
        <v>389</v>
      </c>
    </row>
    <row r="225" spans="1:23" ht="15.75" customHeight="1" x14ac:dyDescent="0.25">
      <c r="A225" s="6">
        <v>3</v>
      </c>
      <c r="B225" s="8"/>
      <c r="C225" s="8"/>
      <c r="D225" s="21"/>
      <c r="E225" s="21"/>
      <c r="F225" s="21"/>
      <c r="G225" s="21"/>
      <c r="H225" s="21"/>
      <c r="I225" s="21"/>
      <c r="J225" s="21"/>
      <c r="K225" s="21"/>
      <c r="L225" s="21"/>
      <c r="M225" s="41"/>
      <c r="N225" s="21"/>
      <c r="O225" s="21"/>
      <c r="P225" s="21"/>
      <c r="Q225" s="21"/>
      <c r="R225" s="21"/>
      <c r="S225" s="21"/>
      <c r="T225" s="21"/>
      <c r="U225" s="21"/>
      <c r="V225" s="21"/>
      <c r="W225" s="40"/>
    </row>
    <row r="226" spans="1:23" ht="18" customHeight="1" x14ac:dyDescent="0.25">
      <c r="A226" s="5">
        <v>4</v>
      </c>
      <c r="B226" s="8"/>
      <c r="C226" s="8"/>
      <c r="D226" s="21"/>
      <c r="E226" s="21"/>
      <c r="F226" s="21"/>
      <c r="G226" s="21"/>
      <c r="H226" s="21"/>
      <c r="I226" s="21"/>
      <c r="J226" s="21"/>
      <c r="K226" s="21"/>
      <c r="L226" s="21"/>
      <c r="M226" s="41"/>
      <c r="N226" s="21"/>
      <c r="O226" s="21"/>
      <c r="P226" s="21"/>
      <c r="Q226" s="21"/>
      <c r="R226" s="21"/>
      <c r="S226" s="21"/>
      <c r="T226" s="21"/>
      <c r="U226" s="21"/>
      <c r="V226" s="21"/>
      <c r="W226" s="40"/>
    </row>
    <row r="227" spans="1:23" ht="16.5" customHeight="1" x14ac:dyDescent="0.25">
      <c r="A227" s="5">
        <v>5</v>
      </c>
      <c r="B227" s="8"/>
      <c r="C227" s="8"/>
      <c r="D227" s="21"/>
      <c r="E227" s="21"/>
      <c r="F227" s="21"/>
      <c r="G227" s="21"/>
      <c r="H227" s="21"/>
      <c r="I227" s="21"/>
      <c r="J227" s="21"/>
      <c r="K227" s="21"/>
      <c r="L227" s="21"/>
      <c r="M227" s="41"/>
      <c r="N227" s="21"/>
      <c r="O227" s="21"/>
      <c r="P227" s="21"/>
      <c r="Q227" s="21"/>
      <c r="R227" s="21"/>
      <c r="S227" s="21"/>
      <c r="T227" s="21"/>
      <c r="U227" s="21"/>
      <c r="V227" s="21"/>
      <c r="W227" s="40"/>
    </row>
    <row r="228" spans="1:23" ht="15.75" customHeight="1" thickBot="1" x14ac:dyDescent="0.3">
      <c r="A228" s="7">
        <v>6</v>
      </c>
      <c r="B228" s="10"/>
      <c r="C228" s="10"/>
      <c r="D228" s="37"/>
      <c r="E228" s="37"/>
      <c r="F228" s="37"/>
      <c r="G228" s="37"/>
      <c r="H228" s="37"/>
      <c r="I228" s="37"/>
      <c r="J228" s="37"/>
      <c r="K228" s="37"/>
      <c r="L228" s="37"/>
      <c r="M228" s="42"/>
      <c r="N228" s="37"/>
      <c r="O228" s="37"/>
      <c r="P228" s="37"/>
      <c r="Q228" s="37"/>
      <c r="R228" s="37"/>
      <c r="S228" s="37"/>
      <c r="T228" s="37"/>
      <c r="U228" s="37"/>
      <c r="V228" s="37"/>
      <c r="W228" s="43"/>
    </row>
    <row r="229" spans="1:23" ht="20.100000000000001" customHeight="1" x14ac:dyDescent="0.25"/>
    <row r="230" spans="1:23" ht="20.100000000000001" customHeight="1" x14ac:dyDescent="0.25"/>
  </sheetData>
  <mergeCells count="458">
    <mergeCell ref="A1:W1"/>
    <mergeCell ref="A2:W2"/>
    <mergeCell ref="A3:B3"/>
    <mergeCell ref="G3:H3"/>
    <mergeCell ref="I3:N3"/>
    <mergeCell ref="O3:P3"/>
    <mergeCell ref="Q3:W3"/>
    <mergeCell ref="A4:B4"/>
    <mergeCell ref="C4:N4"/>
    <mergeCell ref="O4:P4"/>
    <mergeCell ref="Q4:W4"/>
    <mergeCell ref="C3:D3"/>
    <mergeCell ref="E3:F3"/>
    <mergeCell ref="A5:A6"/>
    <mergeCell ref="B5:B6"/>
    <mergeCell ref="C5:C6"/>
    <mergeCell ref="D5:D6"/>
    <mergeCell ref="E5:E6"/>
    <mergeCell ref="F5:F6"/>
    <mergeCell ref="W5:W6"/>
    <mergeCell ref="A15:B15"/>
    <mergeCell ref="G15:H15"/>
    <mergeCell ref="I15:N15"/>
    <mergeCell ref="O15:P15"/>
    <mergeCell ref="Q15:W15"/>
    <mergeCell ref="G5:L5"/>
    <mergeCell ref="M5:M6"/>
    <mergeCell ref="N5:N6"/>
    <mergeCell ref="O5:O6"/>
    <mergeCell ref="P5:P6"/>
    <mergeCell ref="Q5:V5"/>
    <mergeCell ref="C15:D15"/>
    <mergeCell ref="E15:F15"/>
    <mergeCell ref="A16:B16"/>
    <mergeCell ref="C16:N16"/>
    <mergeCell ref="O16:P16"/>
    <mergeCell ref="Q16:W16"/>
    <mergeCell ref="A17:A18"/>
    <mergeCell ref="B17:B18"/>
    <mergeCell ref="C17:C18"/>
    <mergeCell ref="D17:D18"/>
    <mergeCell ref="E17:E18"/>
    <mergeCell ref="F17:F18"/>
    <mergeCell ref="W17:W18"/>
    <mergeCell ref="A27:B27"/>
    <mergeCell ref="G27:H27"/>
    <mergeCell ref="I27:N27"/>
    <mergeCell ref="O27:P27"/>
    <mergeCell ref="Q27:W27"/>
    <mergeCell ref="G17:L17"/>
    <mergeCell ref="M17:M18"/>
    <mergeCell ref="N17:N18"/>
    <mergeCell ref="O17:O18"/>
    <mergeCell ref="P17:P18"/>
    <mergeCell ref="Q17:V17"/>
    <mergeCell ref="C27:D27"/>
    <mergeCell ref="E27:F27"/>
    <mergeCell ref="A28:B28"/>
    <mergeCell ref="C28:N28"/>
    <mergeCell ref="O28:P28"/>
    <mergeCell ref="Q28:W28"/>
    <mergeCell ref="A29:A30"/>
    <mergeCell ref="B29:B30"/>
    <mergeCell ref="C29:C30"/>
    <mergeCell ref="D29:D30"/>
    <mergeCell ref="E29:E30"/>
    <mergeCell ref="F29:F30"/>
    <mergeCell ref="W29:W30"/>
    <mergeCell ref="A39:B39"/>
    <mergeCell ref="G39:H39"/>
    <mergeCell ref="I39:N39"/>
    <mergeCell ref="O39:P39"/>
    <mergeCell ref="Q39:W39"/>
    <mergeCell ref="G29:L29"/>
    <mergeCell ref="M29:M30"/>
    <mergeCell ref="N29:N30"/>
    <mergeCell ref="O29:O30"/>
    <mergeCell ref="P29:P30"/>
    <mergeCell ref="Q29:V29"/>
    <mergeCell ref="C39:D39"/>
    <mergeCell ref="E39:F39"/>
    <mergeCell ref="A40:B40"/>
    <mergeCell ref="C40:N40"/>
    <mergeCell ref="O40:P40"/>
    <mergeCell ref="Q40:W40"/>
    <mergeCell ref="A41:A42"/>
    <mergeCell ref="B41:B42"/>
    <mergeCell ref="C41:C42"/>
    <mergeCell ref="D41:D42"/>
    <mergeCell ref="E41:E42"/>
    <mergeCell ref="F41:F42"/>
    <mergeCell ref="W41:W42"/>
    <mergeCell ref="A51:B51"/>
    <mergeCell ref="G51:H51"/>
    <mergeCell ref="I51:N51"/>
    <mergeCell ref="O51:P51"/>
    <mergeCell ref="Q51:W51"/>
    <mergeCell ref="G41:L41"/>
    <mergeCell ref="M41:M42"/>
    <mergeCell ref="N41:N42"/>
    <mergeCell ref="O41:O42"/>
    <mergeCell ref="P41:P42"/>
    <mergeCell ref="Q41:V41"/>
    <mergeCell ref="C51:D51"/>
    <mergeCell ref="E51:F51"/>
    <mergeCell ref="A52:B52"/>
    <mergeCell ref="C52:N52"/>
    <mergeCell ref="O52:P52"/>
    <mergeCell ref="Q52:W52"/>
    <mergeCell ref="A53:A54"/>
    <mergeCell ref="B53:B54"/>
    <mergeCell ref="C53:C54"/>
    <mergeCell ref="D53:D54"/>
    <mergeCell ref="E53:E54"/>
    <mergeCell ref="F53:F54"/>
    <mergeCell ref="W53:W54"/>
    <mergeCell ref="A63:B63"/>
    <mergeCell ref="G63:H63"/>
    <mergeCell ref="I63:N63"/>
    <mergeCell ref="O63:P63"/>
    <mergeCell ref="Q63:W63"/>
    <mergeCell ref="G53:L53"/>
    <mergeCell ref="M53:M54"/>
    <mergeCell ref="N53:N54"/>
    <mergeCell ref="O53:O54"/>
    <mergeCell ref="P53:P54"/>
    <mergeCell ref="Q53:V53"/>
    <mergeCell ref="C63:D63"/>
    <mergeCell ref="E63:F63"/>
    <mergeCell ref="A64:B64"/>
    <mergeCell ref="C64:N64"/>
    <mergeCell ref="O64:P64"/>
    <mergeCell ref="Q64:W64"/>
    <mergeCell ref="A65:A66"/>
    <mergeCell ref="B65:B66"/>
    <mergeCell ref="C65:C66"/>
    <mergeCell ref="D65:D66"/>
    <mergeCell ref="E65:E66"/>
    <mergeCell ref="F65:F66"/>
    <mergeCell ref="W65:W66"/>
    <mergeCell ref="A75:B75"/>
    <mergeCell ref="G75:H75"/>
    <mergeCell ref="I75:N75"/>
    <mergeCell ref="O75:P75"/>
    <mergeCell ref="Q75:W75"/>
    <mergeCell ref="G65:L65"/>
    <mergeCell ref="M65:M66"/>
    <mergeCell ref="N65:N66"/>
    <mergeCell ref="O65:O66"/>
    <mergeCell ref="P65:P66"/>
    <mergeCell ref="Q65:V65"/>
    <mergeCell ref="C75:D75"/>
    <mergeCell ref="E75:F75"/>
    <mergeCell ref="A76:B76"/>
    <mergeCell ref="C76:N76"/>
    <mergeCell ref="O76:P76"/>
    <mergeCell ref="Q76:W76"/>
    <mergeCell ref="A77:A78"/>
    <mergeCell ref="B77:B78"/>
    <mergeCell ref="C77:C78"/>
    <mergeCell ref="D77:D78"/>
    <mergeCell ref="E77:E78"/>
    <mergeCell ref="F77:F78"/>
    <mergeCell ref="W77:W78"/>
    <mergeCell ref="A87:B87"/>
    <mergeCell ref="G87:H87"/>
    <mergeCell ref="I87:N87"/>
    <mergeCell ref="O87:P87"/>
    <mergeCell ref="Q87:W87"/>
    <mergeCell ref="G77:L77"/>
    <mergeCell ref="M77:M78"/>
    <mergeCell ref="N77:N78"/>
    <mergeCell ref="O77:O78"/>
    <mergeCell ref="P77:P78"/>
    <mergeCell ref="Q77:V77"/>
    <mergeCell ref="C87:D87"/>
    <mergeCell ref="E87:F87"/>
    <mergeCell ref="A88:B88"/>
    <mergeCell ref="C88:N88"/>
    <mergeCell ref="O88:P88"/>
    <mergeCell ref="Q88:W88"/>
    <mergeCell ref="A89:A90"/>
    <mergeCell ref="B89:B90"/>
    <mergeCell ref="C89:C90"/>
    <mergeCell ref="D89:D90"/>
    <mergeCell ref="E89:E90"/>
    <mergeCell ref="F89:F90"/>
    <mergeCell ref="W89:W90"/>
    <mergeCell ref="A99:B99"/>
    <mergeCell ref="G99:H99"/>
    <mergeCell ref="I99:N99"/>
    <mergeCell ref="O99:P99"/>
    <mergeCell ref="Q99:W99"/>
    <mergeCell ref="G89:L89"/>
    <mergeCell ref="M89:M90"/>
    <mergeCell ref="N89:N90"/>
    <mergeCell ref="O89:O90"/>
    <mergeCell ref="P89:P90"/>
    <mergeCell ref="Q89:V89"/>
    <mergeCell ref="C99:D99"/>
    <mergeCell ref="E99:F99"/>
    <mergeCell ref="A100:B100"/>
    <mergeCell ref="C100:N100"/>
    <mergeCell ref="O100:P100"/>
    <mergeCell ref="Q100:W100"/>
    <mergeCell ref="A101:A102"/>
    <mergeCell ref="B101:B102"/>
    <mergeCell ref="C101:C102"/>
    <mergeCell ref="D101:D102"/>
    <mergeCell ref="E101:E102"/>
    <mergeCell ref="F101:F102"/>
    <mergeCell ref="W101:W102"/>
    <mergeCell ref="A111:B111"/>
    <mergeCell ref="G111:H111"/>
    <mergeCell ref="I111:N111"/>
    <mergeCell ref="O111:P111"/>
    <mergeCell ref="Q111:W111"/>
    <mergeCell ref="G101:L101"/>
    <mergeCell ref="M101:M102"/>
    <mergeCell ref="N101:N102"/>
    <mergeCell ref="O101:O102"/>
    <mergeCell ref="P101:P102"/>
    <mergeCell ref="Q101:V101"/>
    <mergeCell ref="C111:D111"/>
    <mergeCell ref="E111:F111"/>
    <mergeCell ref="A112:B112"/>
    <mergeCell ref="C112:N112"/>
    <mergeCell ref="O112:P112"/>
    <mergeCell ref="Q112:W112"/>
    <mergeCell ref="A113:A114"/>
    <mergeCell ref="B113:B114"/>
    <mergeCell ref="C113:C114"/>
    <mergeCell ref="D113:D114"/>
    <mergeCell ref="E113:E114"/>
    <mergeCell ref="F113:F114"/>
    <mergeCell ref="W113:W114"/>
    <mergeCell ref="A123:B123"/>
    <mergeCell ref="G123:H123"/>
    <mergeCell ref="I123:N123"/>
    <mergeCell ref="O123:P123"/>
    <mergeCell ref="Q123:W123"/>
    <mergeCell ref="G113:L113"/>
    <mergeCell ref="M113:M114"/>
    <mergeCell ref="N113:N114"/>
    <mergeCell ref="O113:O114"/>
    <mergeCell ref="P113:P114"/>
    <mergeCell ref="Q113:V113"/>
    <mergeCell ref="C123:D123"/>
    <mergeCell ref="E123:F123"/>
    <mergeCell ref="A124:B124"/>
    <mergeCell ref="C124:N124"/>
    <mergeCell ref="O124:P124"/>
    <mergeCell ref="Q124:W124"/>
    <mergeCell ref="A125:A126"/>
    <mergeCell ref="B125:B126"/>
    <mergeCell ref="C125:C126"/>
    <mergeCell ref="D125:D126"/>
    <mergeCell ref="E125:E126"/>
    <mergeCell ref="F125:F126"/>
    <mergeCell ref="W125:W126"/>
    <mergeCell ref="A135:B135"/>
    <mergeCell ref="G135:H135"/>
    <mergeCell ref="I135:N135"/>
    <mergeCell ref="O135:P135"/>
    <mergeCell ref="Q135:W135"/>
    <mergeCell ref="G125:L125"/>
    <mergeCell ref="M125:M126"/>
    <mergeCell ref="N125:N126"/>
    <mergeCell ref="O125:O126"/>
    <mergeCell ref="P125:P126"/>
    <mergeCell ref="Q125:V125"/>
    <mergeCell ref="C135:D135"/>
    <mergeCell ref="E135:F135"/>
    <mergeCell ref="A136:B136"/>
    <mergeCell ref="C136:N136"/>
    <mergeCell ref="O136:P136"/>
    <mergeCell ref="Q136:W136"/>
    <mergeCell ref="A137:A138"/>
    <mergeCell ref="B137:B138"/>
    <mergeCell ref="C137:C138"/>
    <mergeCell ref="D137:D138"/>
    <mergeCell ref="E137:E138"/>
    <mergeCell ref="F137:F138"/>
    <mergeCell ref="W137:W138"/>
    <mergeCell ref="A147:B147"/>
    <mergeCell ref="G147:H147"/>
    <mergeCell ref="I147:N147"/>
    <mergeCell ref="O147:P147"/>
    <mergeCell ref="Q147:W147"/>
    <mergeCell ref="G137:L137"/>
    <mergeCell ref="M137:M138"/>
    <mergeCell ref="N137:N138"/>
    <mergeCell ref="O137:O138"/>
    <mergeCell ref="P137:P138"/>
    <mergeCell ref="Q137:V137"/>
    <mergeCell ref="C147:D147"/>
    <mergeCell ref="E147:F147"/>
    <mergeCell ref="A148:B148"/>
    <mergeCell ref="C148:N148"/>
    <mergeCell ref="O148:P148"/>
    <mergeCell ref="Q148:W148"/>
    <mergeCell ref="A149:A150"/>
    <mergeCell ref="B149:B150"/>
    <mergeCell ref="C149:C150"/>
    <mergeCell ref="D149:D150"/>
    <mergeCell ref="E149:E150"/>
    <mergeCell ref="F149:F150"/>
    <mergeCell ref="W149:W150"/>
    <mergeCell ref="A159:B159"/>
    <mergeCell ref="G159:H159"/>
    <mergeCell ref="I159:N159"/>
    <mergeCell ref="O159:P159"/>
    <mergeCell ref="Q159:W159"/>
    <mergeCell ref="G149:L149"/>
    <mergeCell ref="M149:M150"/>
    <mergeCell ref="N149:N150"/>
    <mergeCell ref="O149:O150"/>
    <mergeCell ref="P149:P150"/>
    <mergeCell ref="Q149:V149"/>
    <mergeCell ref="C159:D159"/>
    <mergeCell ref="E159:F159"/>
    <mergeCell ref="A160:B160"/>
    <mergeCell ref="C160:N160"/>
    <mergeCell ref="O160:P160"/>
    <mergeCell ref="Q160:W160"/>
    <mergeCell ref="A161:A162"/>
    <mergeCell ref="B161:B162"/>
    <mergeCell ref="C161:C162"/>
    <mergeCell ref="D161:D162"/>
    <mergeCell ref="E161:E162"/>
    <mergeCell ref="F161:F162"/>
    <mergeCell ref="W161:W162"/>
    <mergeCell ref="A171:B171"/>
    <mergeCell ref="G171:H171"/>
    <mergeCell ref="I171:N171"/>
    <mergeCell ref="O171:P171"/>
    <mergeCell ref="Q171:W171"/>
    <mergeCell ref="G161:L161"/>
    <mergeCell ref="M161:M162"/>
    <mergeCell ref="N161:N162"/>
    <mergeCell ref="O161:O162"/>
    <mergeCell ref="P161:P162"/>
    <mergeCell ref="Q161:V161"/>
    <mergeCell ref="C171:D171"/>
    <mergeCell ref="E171:F171"/>
    <mergeCell ref="A172:B172"/>
    <mergeCell ref="C172:N172"/>
    <mergeCell ref="O172:P172"/>
    <mergeCell ref="Q172:W172"/>
    <mergeCell ref="A173:A174"/>
    <mergeCell ref="B173:B174"/>
    <mergeCell ref="C173:C174"/>
    <mergeCell ref="D173:D174"/>
    <mergeCell ref="E173:E174"/>
    <mergeCell ref="F173:F174"/>
    <mergeCell ref="W173:W174"/>
    <mergeCell ref="A183:B183"/>
    <mergeCell ref="G183:H183"/>
    <mergeCell ref="I183:N183"/>
    <mergeCell ref="O183:P183"/>
    <mergeCell ref="Q183:W183"/>
    <mergeCell ref="G173:L173"/>
    <mergeCell ref="M173:M174"/>
    <mergeCell ref="N173:N174"/>
    <mergeCell ref="O173:O174"/>
    <mergeCell ref="P173:P174"/>
    <mergeCell ref="Q173:V173"/>
    <mergeCell ref="C183:D183"/>
    <mergeCell ref="E183:F183"/>
    <mergeCell ref="A184:B184"/>
    <mergeCell ref="C184:N184"/>
    <mergeCell ref="O184:P184"/>
    <mergeCell ref="Q184:W184"/>
    <mergeCell ref="A185:A186"/>
    <mergeCell ref="B185:B186"/>
    <mergeCell ref="C185:C186"/>
    <mergeCell ref="D185:D186"/>
    <mergeCell ref="E185:E186"/>
    <mergeCell ref="F185:F186"/>
    <mergeCell ref="W185:W186"/>
    <mergeCell ref="A195:B195"/>
    <mergeCell ref="G195:H195"/>
    <mergeCell ref="I195:N195"/>
    <mergeCell ref="O195:P195"/>
    <mergeCell ref="Q195:W195"/>
    <mergeCell ref="G185:L185"/>
    <mergeCell ref="M185:M186"/>
    <mergeCell ref="N185:N186"/>
    <mergeCell ref="O185:O186"/>
    <mergeCell ref="P185:P186"/>
    <mergeCell ref="Q185:V185"/>
    <mergeCell ref="C195:D195"/>
    <mergeCell ref="E195:F195"/>
    <mergeCell ref="A196:B196"/>
    <mergeCell ref="C196:N196"/>
    <mergeCell ref="O196:P196"/>
    <mergeCell ref="Q196:W196"/>
    <mergeCell ref="A197:A198"/>
    <mergeCell ref="B197:B198"/>
    <mergeCell ref="C197:C198"/>
    <mergeCell ref="D197:D198"/>
    <mergeCell ref="E197:E198"/>
    <mergeCell ref="F197:F198"/>
    <mergeCell ref="W197:W198"/>
    <mergeCell ref="A207:B207"/>
    <mergeCell ref="G207:H207"/>
    <mergeCell ref="I207:N207"/>
    <mergeCell ref="O207:P207"/>
    <mergeCell ref="Q207:W207"/>
    <mergeCell ref="G197:L197"/>
    <mergeCell ref="M197:M198"/>
    <mergeCell ref="N197:N198"/>
    <mergeCell ref="O197:O198"/>
    <mergeCell ref="P197:P198"/>
    <mergeCell ref="Q197:V197"/>
    <mergeCell ref="C207:D207"/>
    <mergeCell ref="E207:F207"/>
    <mergeCell ref="A208:B208"/>
    <mergeCell ref="C208:N208"/>
    <mergeCell ref="O208:P208"/>
    <mergeCell ref="Q208:W208"/>
    <mergeCell ref="A209:A210"/>
    <mergeCell ref="B209:B210"/>
    <mergeCell ref="C209:C210"/>
    <mergeCell ref="D209:D210"/>
    <mergeCell ref="E209:E210"/>
    <mergeCell ref="F209:F210"/>
    <mergeCell ref="W209:W210"/>
    <mergeCell ref="A219:B219"/>
    <mergeCell ref="G219:H219"/>
    <mergeCell ref="I219:N219"/>
    <mergeCell ref="O219:P219"/>
    <mergeCell ref="Q219:W219"/>
    <mergeCell ref="G209:L209"/>
    <mergeCell ref="M209:M210"/>
    <mergeCell ref="N209:N210"/>
    <mergeCell ref="O209:O210"/>
    <mergeCell ref="P209:P210"/>
    <mergeCell ref="Q209:V209"/>
    <mergeCell ref="C219:D219"/>
    <mergeCell ref="E219:F219"/>
    <mergeCell ref="A220:B220"/>
    <mergeCell ref="C220:N220"/>
    <mergeCell ref="O220:P220"/>
    <mergeCell ref="Q220:W220"/>
    <mergeCell ref="A221:A222"/>
    <mergeCell ref="B221:B222"/>
    <mergeCell ref="C221:C222"/>
    <mergeCell ref="D221:D222"/>
    <mergeCell ref="E221:E222"/>
    <mergeCell ref="F221:F222"/>
    <mergeCell ref="W221:W222"/>
    <mergeCell ref="G221:L221"/>
    <mergeCell ref="M221:M222"/>
    <mergeCell ref="N221:N222"/>
    <mergeCell ref="O221:O222"/>
    <mergeCell ref="P221:P222"/>
    <mergeCell ref="Q221:V22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2D5F-1264-42A6-92AC-5CB643580322}">
  <dimension ref="A1:W130"/>
  <sheetViews>
    <sheetView topLeftCell="A111" workbookViewId="0">
      <selection activeCell="C2" sqref="C2:D2"/>
    </sheetView>
  </sheetViews>
  <sheetFormatPr baseColWidth="10" defaultColWidth="9.140625" defaultRowHeight="15" x14ac:dyDescent="0.25"/>
  <cols>
    <col min="2" max="2" width="10" customWidth="1"/>
    <col min="3" max="4" width="12.5703125" bestFit="1" customWidth="1"/>
    <col min="5" max="5" width="11.42578125" customWidth="1"/>
    <col min="6" max="6" width="11.85546875" customWidth="1"/>
    <col min="7" max="7" width="5.5703125" customWidth="1"/>
    <col min="8" max="8" width="5.28515625" customWidth="1"/>
    <col min="9" max="11" width="5.7109375" customWidth="1"/>
    <col min="12" max="12" width="5.28515625" customWidth="1"/>
    <col min="13" max="13" width="10.42578125" customWidth="1"/>
    <col min="14" max="14" width="12.42578125" customWidth="1"/>
    <col min="16" max="16" width="11.42578125" customWidth="1"/>
    <col min="17" max="17" width="5.28515625" customWidth="1"/>
    <col min="18" max="18" width="5" customWidth="1"/>
    <col min="19" max="19" width="6.28515625" customWidth="1"/>
    <col min="20" max="20" width="5.7109375" customWidth="1"/>
    <col min="21" max="21" width="5.5703125" customWidth="1"/>
    <col min="22" max="22" width="5.7109375" customWidth="1"/>
    <col min="23" max="23" width="10.42578125" customWidth="1"/>
  </cols>
  <sheetData>
    <row r="1" spans="1:23" ht="15.75" thickBot="1" x14ac:dyDescent="0.3"/>
    <row r="2" spans="1:23" ht="15.75" x14ac:dyDescent="0.25">
      <c r="A2" s="100" t="s">
        <v>2</v>
      </c>
      <c r="B2" s="101"/>
      <c r="C2" s="178" t="s">
        <v>255</v>
      </c>
      <c r="D2" s="179"/>
      <c r="E2" s="111" t="s">
        <v>406</v>
      </c>
      <c r="F2" s="112"/>
      <c r="G2" s="101" t="s">
        <v>4</v>
      </c>
      <c r="H2" s="101"/>
      <c r="I2" s="102" t="s">
        <v>364</v>
      </c>
      <c r="J2" s="102"/>
      <c r="K2" s="102"/>
      <c r="L2" s="102"/>
      <c r="M2" s="102"/>
      <c r="N2" s="102"/>
      <c r="O2" s="101" t="s">
        <v>6</v>
      </c>
      <c r="P2" s="101"/>
      <c r="Q2" s="103"/>
      <c r="R2" s="104"/>
      <c r="S2" s="104"/>
      <c r="T2" s="104"/>
      <c r="U2" s="104"/>
      <c r="V2" s="104"/>
      <c r="W2" s="105"/>
    </row>
    <row r="3" spans="1:23" ht="15.75" x14ac:dyDescent="0.25">
      <c r="A3" s="106" t="s">
        <v>7</v>
      </c>
      <c r="B3" s="107"/>
      <c r="C3" s="116" t="s">
        <v>219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09"/>
      <c r="P3" s="109"/>
      <c r="Q3" s="107"/>
      <c r="R3" s="107"/>
      <c r="S3" s="107"/>
      <c r="T3" s="107"/>
      <c r="U3" s="107"/>
      <c r="V3" s="107"/>
      <c r="W3" s="110"/>
    </row>
    <row r="4" spans="1:23" x14ac:dyDescent="0.25">
      <c r="A4" s="113" t="s">
        <v>8</v>
      </c>
      <c r="B4" s="114" t="s">
        <v>9</v>
      </c>
      <c r="C4" s="114" t="s">
        <v>10</v>
      </c>
      <c r="D4" s="114" t="s">
        <v>11</v>
      </c>
      <c r="E4" s="114" t="s">
        <v>12</v>
      </c>
      <c r="F4" s="114" t="s">
        <v>13</v>
      </c>
      <c r="G4" s="114" t="s">
        <v>14</v>
      </c>
      <c r="H4" s="114"/>
      <c r="I4" s="114"/>
      <c r="J4" s="114"/>
      <c r="K4" s="114"/>
      <c r="L4" s="114"/>
      <c r="M4" s="114" t="s">
        <v>15</v>
      </c>
      <c r="N4" s="114" t="s">
        <v>16</v>
      </c>
      <c r="O4" s="114" t="s">
        <v>17</v>
      </c>
      <c r="P4" s="114" t="s">
        <v>18</v>
      </c>
      <c r="Q4" s="114" t="s">
        <v>19</v>
      </c>
      <c r="R4" s="114"/>
      <c r="S4" s="114"/>
      <c r="T4" s="114"/>
      <c r="U4" s="114"/>
      <c r="V4" s="114"/>
      <c r="W4" s="115" t="s">
        <v>20</v>
      </c>
    </row>
    <row r="5" spans="1:23" ht="45.75" customHeight="1" x14ac:dyDescent="0.25">
      <c r="A5" s="113"/>
      <c r="B5" s="114"/>
      <c r="C5" s="114"/>
      <c r="D5" s="114"/>
      <c r="E5" s="114"/>
      <c r="F5" s="114"/>
      <c r="G5" s="31" t="s">
        <v>21</v>
      </c>
      <c r="H5" s="31" t="s">
        <v>21</v>
      </c>
      <c r="I5" s="31" t="s">
        <v>21</v>
      </c>
      <c r="J5" s="31" t="s">
        <v>22</v>
      </c>
      <c r="K5" s="31" t="s">
        <v>22</v>
      </c>
      <c r="L5" s="31" t="s">
        <v>22</v>
      </c>
      <c r="M5" s="114"/>
      <c r="N5" s="114"/>
      <c r="O5" s="114"/>
      <c r="P5" s="114"/>
      <c r="Q5" s="31" t="s">
        <v>21</v>
      </c>
      <c r="R5" s="31" t="s">
        <v>21</v>
      </c>
      <c r="S5" s="31" t="s">
        <v>21</v>
      </c>
      <c r="T5" s="31" t="s">
        <v>22</v>
      </c>
      <c r="U5" s="31" t="s">
        <v>22</v>
      </c>
      <c r="V5" s="31" t="s">
        <v>22</v>
      </c>
      <c r="W5" s="115"/>
    </row>
    <row r="6" spans="1:23" ht="15.75" customHeight="1" x14ac:dyDescent="0.25">
      <c r="A6" s="5">
        <v>1</v>
      </c>
      <c r="B6" s="21"/>
      <c r="C6" s="20">
        <v>45826</v>
      </c>
      <c r="D6" s="20"/>
      <c r="E6" s="21">
        <v>2</v>
      </c>
      <c r="F6" s="21">
        <v>0</v>
      </c>
      <c r="G6" s="21"/>
      <c r="H6" s="21"/>
      <c r="I6" s="21"/>
      <c r="J6" s="21">
        <v>184</v>
      </c>
      <c r="K6" s="21">
        <v>164</v>
      </c>
      <c r="L6" s="21"/>
      <c r="M6" s="66">
        <f>AVERAGE(G6:L6)</f>
        <v>174</v>
      </c>
      <c r="N6" s="23">
        <v>45848</v>
      </c>
      <c r="O6" s="21">
        <v>2</v>
      </c>
      <c r="P6" s="21">
        <v>0</v>
      </c>
      <c r="Q6" s="21"/>
      <c r="R6" s="21"/>
      <c r="S6" s="21"/>
      <c r="T6" s="21">
        <v>306</v>
      </c>
      <c r="U6" s="21">
        <v>251</v>
      </c>
      <c r="V6" s="21"/>
      <c r="W6" s="22">
        <f>AVERAGE(Q6:V6)</f>
        <v>278.5</v>
      </c>
    </row>
    <row r="7" spans="1:23" ht="15.75" x14ac:dyDescent="0.25">
      <c r="A7" s="6">
        <v>2</v>
      </c>
      <c r="B7" s="21"/>
      <c r="C7" s="20"/>
      <c r="D7" s="21"/>
      <c r="E7" s="21"/>
      <c r="F7" s="21"/>
      <c r="G7" s="21"/>
      <c r="H7" s="21"/>
      <c r="I7" s="21"/>
      <c r="J7" s="21"/>
      <c r="K7" s="21"/>
      <c r="L7" s="21"/>
      <c r="M7" s="66"/>
      <c r="N7" s="20"/>
      <c r="O7" s="21"/>
      <c r="P7" s="21"/>
      <c r="Q7" s="21"/>
      <c r="R7" s="21"/>
      <c r="S7" s="21"/>
      <c r="T7" s="21"/>
      <c r="U7" s="21"/>
      <c r="V7" s="8"/>
      <c r="W7" s="9"/>
    </row>
    <row r="8" spans="1:23" ht="15.75" x14ac:dyDescent="0.25">
      <c r="A8" s="6">
        <v>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52"/>
      <c r="N8" s="8"/>
      <c r="O8" s="8"/>
      <c r="P8" s="8"/>
      <c r="Q8" s="8"/>
      <c r="R8" s="8"/>
      <c r="S8" s="8"/>
      <c r="T8" s="8"/>
      <c r="U8" s="8"/>
      <c r="V8" s="8"/>
      <c r="W8" s="9"/>
    </row>
    <row r="9" spans="1:23" ht="15.75" x14ac:dyDescent="0.25">
      <c r="A9" s="5">
        <v>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52"/>
      <c r="N9" s="8"/>
      <c r="O9" s="8"/>
      <c r="P9" s="8"/>
      <c r="Q9" s="8"/>
      <c r="R9" s="8"/>
      <c r="S9" s="8"/>
      <c r="T9" s="8"/>
      <c r="U9" s="8"/>
      <c r="V9" s="8"/>
      <c r="W9" s="9"/>
    </row>
    <row r="10" spans="1:23" ht="15.75" x14ac:dyDescent="0.25">
      <c r="A10" s="5">
        <v>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52"/>
      <c r="N10" s="8"/>
      <c r="O10" s="8"/>
      <c r="P10" s="8"/>
      <c r="Q10" s="8"/>
      <c r="R10" s="8"/>
      <c r="S10" s="8"/>
      <c r="T10" s="8"/>
      <c r="U10" s="8"/>
      <c r="V10" s="8"/>
      <c r="W10" s="9"/>
    </row>
    <row r="11" spans="1:23" ht="16.5" thickBot="1" x14ac:dyDescent="0.3">
      <c r="A11" s="7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53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5.75" thickBot="1" x14ac:dyDescent="0.3"/>
    <row r="13" spans="1:23" ht="15.75" x14ac:dyDescent="0.25">
      <c r="A13" s="100" t="s">
        <v>2</v>
      </c>
      <c r="B13" s="101"/>
      <c r="C13" s="111" t="s">
        <v>256</v>
      </c>
      <c r="D13" s="112"/>
      <c r="E13" s="111" t="s">
        <v>405</v>
      </c>
      <c r="F13" s="112"/>
      <c r="G13" s="101" t="s">
        <v>4</v>
      </c>
      <c r="H13" s="101"/>
      <c r="I13" s="102" t="s">
        <v>364</v>
      </c>
      <c r="J13" s="102"/>
      <c r="K13" s="102"/>
      <c r="L13" s="102"/>
      <c r="M13" s="102"/>
      <c r="N13" s="102"/>
      <c r="O13" s="101" t="s">
        <v>6</v>
      </c>
      <c r="P13" s="101"/>
      <c r="Q13" s="103"/>
      <c r="R13" s="104"/>
      <c r="S13" s="104"/>
      <c r="T13" s="104"/>
      <c r="U13" s="104"/>
      <c r="V13" s="104"/>
      <c r="W13" s="105"/>
    </row>
    <row r="14" spans="1:23" ht="15.75" x14ac:dyDescent="0.25">
      <c r="A14" s="106" t="s">
        <v>7</v>
      </c>
      <c r="B14" s="107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7"/>
      <c r="R14" s="107"/>
      <c r="S14" s="107"/>
      <c r="T14" s="107"/>
      <c r="U14" s="107"/>
      <c r="V14" s="107"/>
      <c r="W14" s="110"/>
    </row>
    <row r="15" spans="1:23" x14ac:dyDescent="0.25">
      <c r="A15" s="113" t="s">
        <v>8</v>
      </c>
      <c r="B15" s="114" t="s">
        <v>9</v>
      </c>
      <c r="C15" s="114" t="s">
        <v>10</v>
      </c>
      <c r="D15" s="114" t="s">
        <v>11</v>
      </c>
      <c r="E15" s="114" t="s">
        <v>12</v>
      </c>
      <c r="F15" s="114" t="s">
        <v>13</v>
      </c>
      <c r="G15" s="114" t="s">
        <v>14</v>
      </c>
      <c r="H15" s="114"/>
      <c r="I15" s="114"/>
      <c r="J15" s="114"/>
      <c r="K15" s="114"/>
      <c r="L15" s="114"/>
      <c r="M15" s="114" t="s">
        <v>15</v>
      </c>
      <c r="N15" s="114" t="s">
        <v>16</v>
      </c>
      <c r="O15" s="114" t="s">
        <v>17</v>
      </c>
      <c r="P15" s="114" t="s">
        <v>18</v>
      </c>
      <c r="Q15" s="114" t="s">
        <v>19</v>
      </c>
      <c r="R15" s="114"/>
      <c r="S15" s="114"/>
      <c r="T15" s="114"/>
      <c r="U15" s="114"/>
      <c r="V15" s="114"/>
      <c r="W15" s="115" t="s">
        <v>20</v>
      </c>
    </row>
    <row r="16" spans="1:23" ht="51" customHeight="1" x14ac:dyDescent="0.25">
      <c r="A16" s="113"/>
      <c r="B16" s="114"/>
      <c r="C16" s="114"/>
      <c r="D16" s="114"/>
      <c r="E16" s="114"/>
      <c r="F16" s="114"/>
      <c r="G16" s="31" t="s">
        <v>21</v>
      </c>
      <c r="H16" s="31" t="s">
        <v>21</v>
      </c>
      <c r="I16" s="31" t="s">
        <v>21</v>
      </c>
      <c r="J16" s="31" t="s">
        <v>22</v>
      </c>
      <c r="K16" s="31" t="s">
        <v>22</v>
      </c>
      <c r="L16" s="31" t="s">
        <v>22</v>
      </c>
      <c r="M16" s="138"/>
      <c r="N16" s="114"/>
      <c r="O16" s="114"/>
      <c r="P16" s="114"/>
      <c r="Q16" s="31" t="s">
        <v>21</v>
      </c>
      <c r="R16" s="31" t="s">
        <v>21</v>
      </c>
      <c r="S16" s="31" t="s">
        <v>21</v>
      </c>
      <c r="T16" s="31" t="s">
        <v>22</v>
      </c>
      <c r="U16" s="31" t="s">
        <v>22</v>
      </c>
      <c r="V16" s="31" t="s">
        <v>22</v>
      </c>
      <c r="W16" s="115"/>
    </row>
    <row r="17" spans="1:23" ht="15.75" x14ac:dyDescent="0.25">
      <c r="A17" s="5">
        <v>1</v>
      </c>
      <c r="B17" s="21"/>
      <c r="C17" s="20">
        <v>45826</v>
      </c>
      <c r="D17" s="13">
        <v>45895</v>
      </c>
      <c r="E17" s="21">
        <v>4</v>
      </c>
      <c r="F17" s="21">
        <v>0</v>
      </c>
      <c r="G17" s="21">
        <v>104</v>
      </c>
      <c r="H17" s="21">
        <v>115</v>
      </c>
      <c r="I17" s="21">
        <v>125</v>
      </c>
      <c r="J17" s="21">
        <v>132</v>
      </c>
      <c r="K17" s="21"/>
      <c r="L17" s="24"/>
      <c r="M17" s="50">
        <f>AVERAGE(G17:L17)</f>
        <v>119</v>
      </c>
      <c r="N17" s="23">
        <v>45848</v>
      </c>
      <c r="O17" s="21">
        <v>1</v>
      </c>
      <c r="P17" s="21">
        <v>0</v>
      </c>
      <c r="Q17" s="21"/>
      <c r="R17" s="21"/>
      <c r="S17" s="21"/>
      <c r="T17" s="21">
        <v>343</v>
      </c>
      <c r="U17" s="21"/>
      <c r="V17" s="21"/>
      <c r="W17" s="22">
        <v>343</v>
      </c>
    </row>
    <row r="18" spans="1:23" ht="15.75" x14ac:dyDescent="0.25">
      <c r="A18" s="6">
        <v>2</v>
      </c>
      <c r="B18" s="21" t="s">
        <v>237</v>
      </c>
      <c r="C18" s="13">
        <v>46070</v>
      </c>
      <c r="D18" s="13">
        <v>46040</v>
      </c>
      <c r="E18" s="21">
        <v>4</v>
      </c>
      <c r="F18" s="21">
        <v>0</v>
      </c>
      <c r="G18" s="21">
        <v>99</v>
      </c>
      <c r="H18" s="21">
        <v>76</v>
      </c>
      <c r="I18" s="21"/>
      <c r="J18" s="21">
        <v>117</v>
      </c>
      <c r="K18" s="21">
        <v>126</v>
      </c>
      <c r="L18" s="24"/>
      <c r="M18" s="50">
        <f>AVERAGE(G18:L18)</f>
        <v>104.5</v>
      </c>
      <c r="N18" s="26">
        <v>46055</v>
      </c>
      <c r="O18" s="21">
        <v>1</v>
      </c>
      <c r="P18" s="21">
        <v>3</v>
      </c>
      <c r="Q18" s="21"/>
      <c r="R18" s="21"/>
      <c r="S18" s="21"/>
      <c r="T18" s="21">
        <v>237</v>
      </c>
      <c r="U18" s="21"/>
      <c r="V18" s="21"/>
      <c r="W18" s="22">
        <v>237</v>
      </c>
    </row>
    <row r="19" spans="1:23" ht="15.75" x14ac:dyDescent="0.25">
      <c r="A19" s="6">
        <v>3</v>
      </c>
      <c r="B19" s="8" t="s">
        <v>237</v>
      </c>
      <c r="C19" s="13">
        <v>46148</v>
      </c>
      <c r="D19" s="8" t="s">
        <v>435</v>
      </c>
      <c r="E19" s="21"/>
      <c r="F19" s="21"/>
      <c r="G19" s="21"/>
      <c r="H19" s="21"/>
      <c r="I19" s="21"/>
      <c r="J19" s="21"/>
      <c r="K19" s="21"/>
      <c r="L19" s="21"/>
      <c r="M19" s="51"/>
      <c r="N19" s="21"/>
      <c r="O19" s="21"/>
      <c r="P19" s="21"/>
      <c r="Q19" s="21"/>
      <c r="R19" s="21"/>
      <c r="S19" s="21"/>
      <c r="T19" s="21"/>
      <c r="U19" s="21"/>
      <c r="V19" s="21"/>
      <c r="W19" s="22"/>
    </row>
    <row r="20" spans="1:23" ht="15.75" x14ac:dyDescent="0.25">
      <c r="A20" s="5">
        <v>4</v>
      </c>
      <c r="B20" s="8"/>
      <c r="C20" s="8"/>
      <c r="D20" s="8"/>
      <c r="E20" s="21"/>
      <c r="F20" s="21"/>
      <c r="G20" s="21"/>
      <c r="H20" s="21"/>
      <c r="I20" s="21"/>
      <c r="J20" s="21"/>
      <c r="K20" s="21"/>
      <c r="L20" s="21"/>
      <c r="M20" s="52"/>
      <c r="N20" s="21"/>
      <c r="O20" s="21"/>
      <c r="P20" s="21"/>
      <c r="Q20" s="21"/>
      <c r="R20" s="21"/>
      <c r="S20" s="21"/>
      <c r="T20" s="21"/>
      <c r="U20" s="21"/>
      <c r="V20" s="21"/>
      <c r="W20" s="22"/>
    </row>
    <row r="21" spans="1:23" ht="15.75" x14ac:dyDescent="0.25">
      <c r="A21" s="5">
        <v>5</v>
      </c>
      <c r="B21" s="8"/>
      <c r="C21" s="8"/>
      <c r="D21" s="8"/>
      <c r="E21" s="21"/>
      <c r="F21" s="21"/>
      <c r="G21" s="21"/>
      <c r="H21" s="21"/>
      <c r="I21" s="21"/>
      <c r="J21" s="21"/>
      <c r="K21" s="21"/>
      <c r="L21" s="21"/>
      <c r="M21" s="52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3" ht="16.5" thickBot="1" x14ac:dyDescent="0.3">
      <c r="A22" s="7">
        <v>6</v>
      </c>
      <c r="B22" s="10"/>
      <c r="C22" s="10"/>
      <c r="D22" s="10"/>
      <c r="E22" s="37"/>
      <c r="F22" s="37"/>
      <c r="G22" s="37"/>
      <c r="H22" s="37"/>
      <c r="I22" s="37"/>
      <c r="J22" s="37"/>
      <c r="K22" s="37"/>
      <c r="L22" s="37"/>
      <c r="M22" s="53"/>
      <c r="N22" s="37"/>
      <c r="O22" s="37"/>
      <c r="P22" s="37"/>
      <c r="Q22" s="37"/>
      <c r="R22" s="37"/>
      <c r="S22" s="37"/>
      <c r="T22" s="37"/>
      <c r="U22" s="37"/>
      <c r="V22" s="37"/>
      <c r="W22" s="39"/>
    </row>
    <row r="24" spans="1:23" ht="15.75" thickBot="1" x14ac:dyDescent="0.3"/>
    <row r="25" spans="1:23" ht="15.75" x14ac:dyDescent="0.25">
      <c r="A25" s="100" t="s">
        <v>2</v>
      </c>
      <c r="B25" s="101"/>
      <c r="C25" s="111" t="s">
        <v>257</v>
      </c>
      <c r="D25" s="112"/>
      <c r="E25" s="111" t="s">
        <v>406</v>
      </c>
      <c r="F25" s="112"/>
      <c r="G25" s="101" t="s">
        <v>4</v>
      </c>
      <c r="H25" s="101"/>
      <c r="I25" s="102" t="s">
        <v>364</v>
      </c>
      <c r="J25" s="102"/>
      <c r="K25" s="102"/>
      <c r="L25" s="102"/>
      <c r="M25" s="102"/>
      <c r="N25" s="102"/>
      <c r="O25" s="101" t="s">
        <v>6</v>
      </c>
      <c r="P25" s="101"/>
      <c r="Q25" s="103"/>
      <c r="R25" s="104"/>
      <c r="S25" s="104"/>
      <c r="T25" s="104"/>
      <c r="U25" s="104"/>
      <c r="V25" s="104"/>
      <c r="W25" s="105"/>
    </row>
    <row r="26" spans="1:23" ht="15.75" x14ac:dyDescent="0.25">
      <c r="A26" s="106" t="s">
        <v>7</v>
      </c>
      <c r="B26" s="107"/>
      <c r="C26" s="116" t="s">
        <v>219</v>
      </c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09"/>
      <c r="P26" s="109"/>
      <c r="Q26" s="107"/>
      <c r="R26" s="107"/>
      <c r="S26" s="107"/>
      <c r="T26" s="107"/>
      <c r="U26" s="107"/>
      <c r="V26" s="107"/>
      <c r="W26" s="110"/>
    </row>
    <row r="27" spans="1:23" x14ac:dyDescent="0.25">
      <c r="A27" s="113" t="s">
        <v>8</v>
      </c>
      <c r="B27" s="114" t="s">
        <v>9</v>
      </c>
      <c r="C27" s="114" t="s">
        <v>10</v>
      </c>
      <c r="D27" s="114" t="s">
        <v>11</v>
      </c>
      <c r="E27" s="114" t="s">
        <v>12</v>
      </c>
      <c r="F27" s="114" t="s">
        <v>13</v>
      </c>
      <c r="G27" s="114" t="s">
        <v>14</v>
      </c>
      <c r="H27" s="114"/>
      <c r="I27" s="114"/>
      <c r="J27" s="114"/>
      <c r="K27" s="114"/>
      <c r="L27" s="114"/>
      <c r="M27" s="114" t="s">
        <v>15</v>
      </c>
      <c r="N27" s="114" t="s">
        <v>16</v>
      </c>
      <c r="O27" s="114" t="s">
        <v>17</v>
      </c>
      <c r="P27" s="114" t="s">
        <v>18</v>
      </c>
      <c r="Q27" s="114" t="s">
        <v>19</v>
      </c>
      <c r="R27" s="114"/>
      <c r="S27" s="114"/>
      <c r="T27" s="114"/>
      <c r="U27" s="114"/>
      <c r="V27" s="114"/>
      <c r="W27" s="115" t="s">
        <v>20</v>
      </c>
    </row>
    <row r="28" spans="1:23" ht="30.75" customHeight="1" x14ac:dyDescent="0.25">
      <c r="A28" s="113"/>
      <c r="B28" s="114"/>
      <c r="C28" s="114"/>
      <c r="D28" s="114"/>
      <c r="E28" s="114"/>
      <c r="F28" s="114"/>
      <c r="G28" s="31" t="s">
        <v>21</v>
      </c>
      <c r="H28" s="31" t="s">
        <v>21</v>
      </c>
      <c r="I28" s="31" t="s">
        <v>21</v>
      </c>
      <c r="J28" s="31" t="s">
        <v>22</v>
      </c>
      <c r="K28" s="31" t="s">
        <v>22</v>
      </c>
      <c r="L28" s="31" t="s">
        <v>22</v>
      </c>
      <c r="M28" s="114"/>
      <c r="N28" s="114"/>
      <c r="O28" s="114"/>
      <c r="P28" s="114"/>
      <c r="Q28" s="31" t="s">
        <v>21</v>
      </c>
      <c r="R28" s="31" t="s">
        <v>21</v>
      </c>
      <c r="S28" s="31" t="s">
        <v>21</v>
      </c>
      <c r="T28" s="31" t="s">
        <v>22</v>
      </c>
      <c r="U28" s="31" t="s">
        <v>22</v>
      </c>
      <c r="V28" s="31" t="s">
        <v>22</v>
      </c>
      <c r="W28" s="115"/>
    </row>
    <row r="29" spans="1:23" ht="15.75" x14ac:dyDescent="0.25">
      <c r="A29" s="5">
        <v>1</v>
      </c>
      <c r="B29" s="21"/>
      <c r="C29" s="20">
        <v>45826</v>
      </c>
      <c r="D29" s="20">
        <v>45899</v>
      </c>
      <c r="E29" s="21">
        <v>3</v>
      </c>
      <c r="F29" s="21">
        <v>3</v>
      </c>
      <c r="G29" s="21"/>
      <c r="H29" s="21"/>
      <c r="I29" s="21"/>
      <c r="J29" s="21"/>
      <c r="K29" s="21"/>
      <c r="L29" s="21"/>
      <c r="M29" s="63"/>
      <c r="N29" s="28"/>
      <c r="O29" s="21"/>
      <c r="P29" s="21"/>
      <c r="Q29" s="21"/>
      <c r="R29" s="21"/>
      <c r="S29" s="21"/>
      <c r="T29" s="21"/>
      <c r="U29" s="21"/>
      <c r="V29" s="21"/>
      <c r="W29" s="22"/>
    </row>
    <row r="30" spans="1:23" ht="15.75" x14ac:dyDescent="0.25">
      <c r="A30" s="6">
        <v>2</v>
      </c>
      <c r="B30" s="21"/>
      <c r="C30" s="13"/>
      <c r="D30" s="20"/>
      <c r="E30" s="21"/>
      <c r="F30" s="21"/>
      <c r="G30" s="21"/>
      <c r="H30" s="21"/>
      <c r="I30" s="21"/>
      <c r="J30" s="21"/>
      <c r="K30" s="21"/>
      <c r="L30" s="21"/>
      <c r="M30" s="63"/>
      <c r="N30" s="20"/>
      <c r="O30" s="21"/>
      <c r="P30" s="21"/>
      <c r="Q30" s="21"/>
      <c r="R30" s="21"/>
      <c r="S30" s="21"/>
      <c r="T30" s="21"/>
      <c r="U30" s="21"/>
      <c r="V30" s="21"/>
      <c r="W30" s="22"/>
    </row>
    <row r="31" spans="1:23" ht="15.75" x14ac:dyDescent="0.25">
      <c r="A31" s="6">
        <v>3</v>
      </c>
      <c r="B31" s="8"/>
      <c r="C31" s="8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2"/>
    </row>
    <row r="32" spans="1:23" ht="15.75" x14ac:dyDescent="0.25">
      <c r="A32" s="5">
        <v>4</v>
      </c>
      <c r="B32" s="8"/>
      <c r="C32" s="8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2"/>
    </row>
    <row r="33" spans="1:23" ht="15.75" x14ac:dyDescent="0.25">
      <c r="A33" s="5">
        <v>5</v>
      </c>
      <c r="B33" s="8"/>
      <c r="C33" s="8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2"/>
    </row>
    <row r="34" spans="1:23" ht="15.75" x14ac:dyDescent="0.25">
      <c r="A34" s="7">
        <v>6</v>
      </c>
      <c r="B34" s="10"/>
      <c r="C34" s="10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9"/>
    </row>
    <row r="36" spans="1:23" ht="15.75" thickBot="1" x14ac:dyDescent="0.3"/>
    <row r="37" spans="1:23" ht="15.75" x14ac:dyDescent="0.25">
      <c r="A37" s="100" t="s">
        <v>370</v>
      </c>
      <c r="B37" s="101"/>
      <c r="C37" s="111" t="s">
        <v>258</v>
      </c>
      <c r="D37" s="112"/>
      <c r="E37" s="111" t="s">
        <v>407</v>
      </c>
      <c r="F37" s="112"/>
      <c r="G37" s="101" t="s">
        <v>4</v>
      </c>
      <c r="H37" s="101"/>
      <c r="I37" s="102" t="s">
        <v>364</v>
      </c>
      <c r="J37" s="102"/>
      <c r="K37" s="102"/>
      <c r="L37" s="102"/>
      <c r="M37" s="102"/>
      <c r="N37" s="102"/>
      <c r="O37" s="101" t="s">
        <v>6</v>
      </c>
      <c r="P37" s="101"/>
      <c r="Q37" s="103"/>
      <c r="R37" s="104"/>
      <c r="S37" s="104"/>
      <c r="T37" s="104"/>
      <c r="U37" s="104"/>
      <c r="V37" s="104"/>
      <c r="W37" s="105"/>
    </row>
    <row r="38" spans="1:23" ht="15.75" x14ac:dyDescent="0.25">
      <c r="A38" s="106" t="s">
        <v>7</v>
      </c>
      <c r="B38" s="107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7"/>
      <c r="R38" s="107"/>
      <c r="S38" s="107"/>
      <c r="T38" s="107"/>
      <c r="U38" s="107"/>
      <c r="V38" s="107"/>
      <c r="W38" s="110"/>
    </row>
    <row r="39" spans="1:23" x14ac:dyDescent="0.25">
      <c r="A39" s="113" t="s">
        <v>8</v>
      </c>
      <c r="B39" s="114" t="s">
        <v>9</v>
      </c>
      <c r="C39" s="114" t="s">
        <v>10</v>
      </c>
      <c r="D39" s="114" t="s">
        <v>11</v>
      </c>
      <c r="E39" s="114" t="s">
        <v>12</v>
      </c>
      <c r="F39" s="114" t="s">
        <v>13</v>
      </c>
      <c r="G39" s="114" t="s">
        <v>14</v>
      </c>
      <c r="H39" s="114"/>
      <c r="I39" s="114"/>
      <c r="J39" s="114"/>
      <c r="K39" s="114"/>
      <c r="L39" s="114"/>
      <c r="M39" s="114" t="s">
        <v>15</v>
      </c>
      <c r="N39" s="114" t="s">
        <v>16</v>
      </c>
      <c r="O39" s="114" t="s">
        <v>17</v>
      </c>
      <c r="P39" s="114" t="s">
        <v>18</v>
      </c>
      <c r="Q39" s="114" t="s">
        <v>19</v>
      </c>
      <c r="R39" s="114"/>
      <c r="S39" s="114"/>
      <c r="T39" s="114"/>
      <c r="U39" s="114"/>
      <c r="V39" s="114"/>
      <c r="W39" s="115" t="s">
        <v>20</v>
      </c>
    </row>
    <row r="40" spans="1:23" ht="35.25" customHeight="1" x14ac:dyDescent="0.25">
      <c r="A40" s="113"/>
      <c r="B40" s="114"/>
      <c r="C40" s="114"/>
      <c r="D40" s="114"/>
      <c r="E40" s="114"/>
      <c r="F40" s="114"/>
      <c r="G40" s="31" t="s">
        <v>21</v>
      </c>
      <c r="H40" s="31" t="s">
        <v>21</v>
      </c>
      <c r="I40" s="31" t="s">
        <v>21</v>
      </c>
      <c r="J40" s="31" t="s">
        <v>22</v>
      </c>
      <c r="K40" s="31" t="s">
        <v>22</v>
      </c>
      <c r="L40" s="32" t="s">
        <v>22</v>
      </c>
      <c r="M40" s="138"/>
      <c r="N40" s="114"/>
      <c r="O40" s="114"/>
      <c r="P40" s="114"/>
      <c r="Q40" s="31" t="s">
        <v>21</v>
      </c>
      <c r="R40" s="31" t="s">
        <v>21</v>
      </c>
      <c r="S40" s="31" t="s">
        <v>21</v>
      </c>
      <c r="T40" s="31" t="s">
        <v>22</v>
      </c>
      <c r="U40" s="31" t="s">
        <v>22</v>
      </c>
      <c r="V40" s="31" t="s">
        <v>22</v>
      </c>
      <c r="W40" s="115"/>
    </row>
    <row r="41" spans="1:23" ht="15.75" x14ac:dyDescent="0.25">
      <c r="A41" s="5">
        <v>1</v>
      </c>
      <c r="B41" s="21"/>
      <c r="C41" s="20">
        <v>45826</v>
      </c>
      <c r="D41" s="20">
        <v>45902</v>
      </c>
      <c r="E41" s="21">
        <v>2</v>
      </c>
      <c r="F41" s="21">
        <v>0</v>
      </c>
      <c r="G41" s="21">
        <v>152</v>
      </c>
      <c r="H41" s="21"/>
      <c r="I41" s="21"/>
      <c r="J41" s="21">
        <v>130</v>
      </c>
      <c r="K41" s="24"/>
      <c r="L41" s="29"/>
      <c r="M41" s="50">
        <f>AVERAGE(G41:L41)</f>
        <v>141</v>
      </c>
      <c r="N41" s="47">
        <v>45918</v>
      </c>
      <c r="O41" s="21">
        <v>2</v>
      </c>
      <c r="P41" s="21">
        <v>0</v>
      </c>
      <c r="Q41" s="21">
        <v>250</v>
      </c>
      <c r="R41" s="21"/>
      <c r="S41" s="21"/>
      <c r="T41" s="21">
        <v>220</v>
      </c>
      <c r="U41" s="21"/>
      <c r="V41" s="21"/>
      <c r="W41" s="22">
        <f>AVERAGE(Q41:V41)</f>
        <v>235</v>
      </c>
    </row>
    <row r="42" spans="1:23" ht="15.75" x14ac:dyDescent="0.25">
      <c r="A42" s="6">
        <v>2</v>
      </c>
      <c r="B42" s="21" t="s">
        <v>237</v>
      </c>
      <c r="C42" s="13">
        <v>45958</v>
      </c>
      <c r="D42" s="13">
        <v>46030</v>
      </c>
      <c r="E42" s="21">
        <v>4</v>
      </c>
      <c r="F42" s="21">
        <v>0</v>
      </c>
      <c r="G42" s="21">
        <v>85</v>
      </c>
      <c r="H42" s="21">
        <v>105</v>
      </c>
      <c r="I42" s="21"/>
      <c r="J42" s="21">
        <v>101</v>
      </c>
      <c r="K42" s="24">
        <v>107</v>
      </c>
      <c r="L42" s="29"/>
      <c r="M42" s="50">
        <f>AVERAGE(G42:L42)</f>
        <v>99.5</v>
      </c>
      <c r="N42" s="26">
        <v>46055</v>
      </c>
      <c r="O42" s="21">
        <v>4</v>
      </c>
      <c r="P42" s="21">
        <v>0</v>
      </c>
      <c r="Q42" s="21">
        <v>271</v>
      </c>
      <c r="R42" s="21">
        <v>332</v>
      </c>
      <c r="S42" s="21"/>
      <c r="T42" s="21">
        <v>298</v>
      </c>
      <c r="U42" s="21">
        <v>325</v>
      </c>
      <c r="V42" s="21"/>
      <c r="W42" s="22">
        <f>AVERAGE(Q42:V42)</f>
        <v>306.5</v>
      </c>
    </row>
    <row r="43" spans="1:23" ht="15.75" x14ac:dyDescent="0.25">
      <c r="A43" s="6">
        <v>3</v>
      </c>
      <c r="B43" s="21" t="s">
        <v>237</v>
      </c>
      <c r="C43" s="13">
        <v>46070</v>
      </c>
      <c r="D43" s="8" t="s">
        <v>492</v>
      </c>
      <c r="E43" s="21"/>
      <c r="F43" s="21"/>
      <c r="G43" s="21"/>
      <c r="H43" s="21"/>
      <c r="I43" s="21"/>
      <c r="J43" s="21"/>
      <c r="K43" s="21"/>
      <c r="L43" s="44"/>
      <c r="M43" s="51"/>
      <c r="N43" s="21"/>
      <c r="O43" s="21"/>
      <c r="P43" s="21"/>
      <c r="Q43" s="21"/>
      <c r="R43" s="21"/>
      <c r="S43" s="21"/>
      <c r="T43" s="21"/>
      <c r="U43" s="21"/>
      <c r="V43" s="21"/>
      <c r="W43" s="22"/>
    </row>
    <row r="44" spans="1:23" ht="15.75" x14ac:dyDescent="0.25">
      <c r="A44" s="5">
        <v>4</v>
      </c>
      <c r="B44" s="8"/>
      <c r="C44" s="8"/>
      <c r="D44" s="8"/>
      <c r="E44" s="21"/>
      <c r="F44" s="21"/>
      <c r="G44" s="21"/>
      <c r="H44" s="21"/>
      <c r="I44" s="21"/>
      <c r="J44" s="21"/>
      <c r="K44" s="21"/>
      <c r="L44" s="21"/>
      <c r="M44" s="52"/>
      <c r="N44" s="21"/>
      <c r="O44" s="21"/>
      <c r="P44" s="21"/>
      <c r="Q44" s="21"/>
      <c r="R44" s="21"/>
      <c r="S44" s="21"/>
      <c r="T44" s="21"/>
      <c r="U44" s="21"/>
      <c r="V44" s="21"/>
      <c r="W44" s="22"/>
    </row>
    <row r="45" spans="1:23" ht="15.75" x14ac:dyDescent="0.25">
      <c r="A45" s="5">
        <v>5</v>
      </c>
      <c r="B45" s="8"/>
      <c r="C45" s="8"/>
      <c r="D45" s="8"/>
      <c r="E45" s="21"/>
      <c r="F45" s="21"/>
      <c r="G45" s="21"/>
      <c r="H45" s="21"/>
      <c r="I45" s="21"/>
      <c r="J45" s="21"/>
      <c r="K45" s="21"/>
      <c r="L45" s="21"/>
      <c r="M45" s="52"/>
      <c r="N45" s="21"/>
      <c r="O45" s="21"/>
      <c r="P45" s="21"/>
      <c r="Q45" s="21"/>
      <c r="R45" s="21"/>
      <c r="S45" s="21"/>
      <c r="T45" s="21"/>
      <c r="U45" s="21"/>
      <c r="V45" s="21"/>
      <c r="W45" s="22"/>
    </row>
    <row r="46" spans="1:23" ht="16.5" thickBot="1" x14ac:dyDescent="0.3">
      <c r="A46" s="7">
        <v>6</v>
      </c>
      <c r="B46" s="10"/>
      <c r="C46" s="10"/>
      <c r="D46" s="10"/>
      <c r="E46" s="37"/>
      <c r="F46" s="37"/>
      <c r="G46" s="37"/>
      <c r="H46" s="37"/>
      <c r="I46" s="37"/>
      <c r="J46" s="37"/>
      <c r="K46" s="37"/>
      <c r="L46" s="37"/>
      <c r="M46" s="53"/>
      <c r="N46" s="37"/>
      <c r="O46" s="37"/>
      <c r="P46" s="37"/>
      <c r="Q46" s="37"/>
      <c r="R46" s="37"/>
      <c r="S46" s="37"/>
      <c r="T46" s="37"/>
      <c r="U46" s="37"/>
      <c r="V46" s="37"/>
      <c r="W46" s="39"/>
    </row>
    <row r="48" spans="1:23" ht="15.75" thickBot="1" x14ac:dyDescent="0.3"/>
    <row r="49" spans="1:23" ht="15.75" x14ac:dyDescent="0.25">
      <c r="A49" s="100" t="s">
        <v>260</v>
      </c>
      <c r="B49" s="101"/>
      <c r="C49" s="111" t="s">
        <v>259</v>
      </c>
      <c r="D49" s="112"/>
      <c r="E49" s="111" t="s">
        <v>408</v>
      </c>
      <c r="F49" s="112"/>
      <c r="G49" s="101" t="s">
        <v>4</v>
      </c>
      <c r="H49" s="101"/>
      <c r="I49" s="102" t="s">
        <v>364</v>
      </c>
      <c r="J49" s="102"/>
      <c r="K49" s="102"/>
      <c r="L49" s="102"/>
      <c r="M49" s="102"/>
      <c r="N49" s="102"/>
      <c r="O49" s="101" t="s">
        <v>6</v>
      </c>
      <c r="P49" s="101"/>
      <c r="Q49" s="103"/>
      <c r="R49" s="104"/>
      <c r="S49" s="104"/>
      <c r="T49" s="104"/>
      <c r="U49" s="104"/>
      <c r="V49" s="104"/>
      <c r="W49" s="105"/>
    </row>
    <row r="50" spans="1:23" ht="15.75" x14ac:dyDescent="0.25">
      <c r="A50" s="106" t="s">
        <v>7</v>
      </c>
      <c r="B50" s="107"/>
      <c r="C50" s="116" t="s">
        <v>436</v>
      </c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09"/>
      <c r="P50" s="109"/>
      <c r="Q50" s="107"/>
      <c r="R50" s="107"/>
      <c r="S50" s="107"/>
      <c r="T50" s="107"/>
      <c r="U50" s="107"/>
      <c r="V50" s="107"/>
      <c r="W50" s="110"/>
    </row>
    <row r="51" spans="1:23" x14ac:dyDescent="0.25">
      <c r="A51" s="113" t="s">
        <v>8</v>
      </c>
      <c r="B51" s="114" t="s">
        <v>9</v>
      </c>
      <c r="C51" s="114" t="s">
        <v>10</v>
      </c>
      <c r="D51" s="114" t="s">
        <v>11</v>
      </c>
      <c r="E51" s="114" t="s">
        <v>12</v>
      </c>
      <c r="F51" s="114" t="s">
        <v>13</v>
      </c>
      <c r="G51" s="114" t="s">
        <v>14</v>
      </c>
      <c r="H51" s="114"/>
      <c r="I51" s="114"/>
      <c r="J51" s="114"/>
      <c r="K51" s="114"/>
      <c r="L51" s="114"/>
      <c r="M51" s="114" t="s">
        <v>15</v>
      </c>
      <c r="N51" s="114" t="s">
        <v>16</v>
      </c>
      <c r="O51" s="114" t="s">
        <v>17</v>
      </c>
      <c r="P51" s="114" t="s">
        <v>18</v>
      </c>
      <c r="Q51" s="114" t="s">
        <v>19</v>
      </c>
      <c r="R51" s="114"/>
      <c r="S51" s="114"/>
      <c r="T51" s="114"/>
      <c r="U51" s="114"/>
      <c r="V51" s="114"/>
      <c r="W51" s="115" t="s">
        <v>20</v>
      </c>
    </row>
    <row r="52" spans="1:23" x14ac:dyDescent="0.25">
      <c r="A52" s="113"/>
      <c r="B52" s="114"/>
      <c r="C52" s="114"/>
      <c r="D52" s="114"/>
      <c r="E52" s="114"/>
      <c r="F52" s="114"/>
      <c r="G52" s="31" t="s">
        <v>21</v>
      </c>
      <c r="H52" s="31" t="s">
        <v>21</v>
      </c>
      <c r="I52" s="31" t="s">
        <v>21</v>
      </c>
      <c r="J52" s="31" t="s">
        <v>22</v>
      </c>
      <c r="K52" s="31" t="s">
        <v>22</v>
      </c>
      <c r="L52" s="32" t="s">
        <v>22</v>
      </c>
      <c r="M52" s="138"/>
      <c r="N52" s="114"/>
      <c r="O52" s="114"/>
      <c r="P52" s="114"/>
      <c r="Q52" s="31" t="s">
        <v>21</v>
      </c>
      <c r="R52" s="31" t="s">
        <v>21</v>
      </c>
      <c r="S52" s="31" t="s">
        <v>21</v>
      </c>
      <c r="T52" s="31" t="s">
        <v>22</v>
      </c>
      <c r="U52" s="31" t="s">
        <v>22</v>
      </c>
      <c r="V52" s="31" t="s">
        <v>22</v>
      </c>
      <c r="W52" s="115"/>
    </row>
    <row r="53" spans="1:23" ht="15.75" x14ac:dyDescent="0.25">
      <c r="A53" s="5">
        <v>1</v>
      </c>
      <c r="B53" s="21"/>
      <c r="C53" s="20">
        <v>45826</v>
      </c>
      <c r="D53" s="20">
        <v>45838</v>
      </c>
      <c r="E53" s="21">
        <v>2</v>
      </c>
      <c r="F53" s="21">
        <v>0</v>
      </c>
      <c r="G53" s="21">
        <v>143</v>
      </c>
      <c r="H53" s="21">
        <v>155</v>
      </c>
      <c r="I53" s="21"/>
      <c r="J53" s="21"/>
      <c r="K53" s="24"/>
      <c r="L53" s="29"/>
      <c r="M53" s="50">
        <f>AVERAGE(G53:L53)</f>
        <v>149</v>
      </c>
      <c r="N53" s="54">
        <v>45869</v>
      </c>
      <c r="O53" s="21">
        <v>2</v>
      </c>
      <c r="P53" s="21">
        <v>0</v>
      </c>
      <c r="Q53" s="21">
        <v>377</v>
      </c>
      <c r="R53" s="21">
        <v>383</v>
      </c>
      <c r="S53" s="21"/>
      <c r="T53" s="21"/>
      <c r="U53" s="21"/>
      <c r="V53" s="21"/>
      <c r="W53" s="22">
        <f>AVERAGE(Q53:V53)</f>
        <v>380</v>
      </c>
    </row>
    <row r="54" spans="1:23" ht="15.75" x14ac:dyDescent="0.25">
      <c r="A54" s="6">
        <v>2</v>
      </c>
      <c r="B54" s="21"/>
      <c r="C54" s="13">
        <v>45889</v>
      </c>
      <c r="D54" s="8"/>
      <c r="E54" s="8"/>
      <c r="F54" s="8"/>
      <c r="G54" s="8"/>
      <c r="H54" s="8"/>
      <c r="I54" s="8"/>
      <c r="J54" s="8"/>
      <c r="K54" s="25"/>
      <c r="L54" s="30"/>
      <c r="M54" s="50"/>
      <c r="N54" s="26"/>
      <c r="O54" s="8"/>
      <c r="P54" s="8"/>
      <c r="Q54" s="8"/>
      <c r="R54" s="8"/>
      <c r="S54" s="8"/>
      <c r="T54" s="8"/>
      <c r="U54" s="8"/>
      <c r="V54" s="8"/>
      <c r="W54" s="9"/>
    </row>
    <row r="55" spans="1:23" ht="15.75" x14ac:dyDescent="0.25">
      <c r="A55" s="6">
        <v>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27"/>
      <c r="M55" s="51"/>
      <c r="N55" s="8"/>
      <c r="O55" s="8"/>
      <c r="P55" s="8"/>
      <c r="Q55" s="8"/>
      <c r="R55" s="8"/>
      <c r="S55" s="8"/>
      <c r="T55" s="8"/>
      <c r="U55" s="8"/>
      <c r="V55" s="8"/>
      <c r="W55" s="9"/>
    </row>
    <row r="56" spans="1:23" ht="15.75" x14ac:dyDescent="0.25">
      <c r="A56" s="5">
        <v>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52"/>
      <c r="N56" s="8"/>
      <c r="O56" s="8"/>
      <c r="P56" s="8"/>
      <c r="Q56" s="8"/>
      <c r="R56" s="8"/>
      <c r="S56" s="8"/>
      <c r="T56" s="8"/>
      <c r="U56" s="8"/>
      <c r="V56" s="8"/>
      <c r="W56" s="9"/>
    </row>
    <row r="57" spans="1:23" ht="15.75" x14ac:dyDescent="0.25">
      <c r="A57" s="5">
        <v>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52"/>
      <c r="N57" s="8"/>
      <c r="O57" s="8"/>
      <c r="P57" s="8"/>
      <c r="Q57" s="8"/>
      <c r="R57" s="8"/>
      <c r="S57" s="8"/>
      <c r="T57" s="8"/>
      <c r="U57" s="8"/>
      <c r="V57" s="8"/>
      <c r="W57" s="9"/>
    </row>
    <row r="58" spans="1:23" ht="16.5" thickBot="1" x14ac:dyDescent="0.3">
      <c r="A58" s="7">
        <v>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53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60" spans="1:23" ht="15.75" thickBot="1" x14ac:dyDescent="0.3"/>
    <row r="61" spans="1:23" ht="15.75" x14ac:dyDescent="0.25">
      <c r="A61" s="100" t="s">
        <v>262</v>
      </c>
      <c r="B61" s="101"/>
      <c r="C61" s="111" t="s">
        <v>261</v>
      </c>
      <c r="D61" s="112"/>
      <c r="E61" s="111" t="s">
        <v>408</v>
      </c>
      <c r="F61" s="112"/>
      <c r="G61" s="101" t="s">
        <v>4</v>
      </c>
      <c r="H61" s="101"/>
      <c r="I61" s="102" t="s">
        <v>364</v>
      </c>
      <c r="J61" s="102"/>
      <c r="K61" s="102"/>
      <c r="L61" s="102"/>
      <c r="M61" s="102"/>
      <c r="N61" s="102"/>
      <c r="O61" s="101" t="s">
        <v>6</v>
      </c>
      <c r="P61" s="101"/>
      <c r="Q61" s="103"/>
      <c r="R61" s="104"/>
      <c r="S61" s="104"/>
      <c r="T61" s="104"/>
      <c r="U61" s="104"/>
      <c r="V61" s="104"/>
      <c r="W61" s="105"/>
    </row>
    <row r="62" spans="1:23" ht="15.75" x14ac:dyDescent="0.25">
      <c r="A62" s="106" t="s">
        <v>7</v>
      </c>
      <c r="B62" s="107"/>
      <c r="C62" s="116" t="s">
        <v>437</v>
      </c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09"/>
      <c r="P62" s="109"/>
      <c r="Q62" s="107"/>
      <c r="R62" s="107"/>
      <c r="S62" s="107"/>
      <c r="T62" s="107"/>
      <c r="U62" s="107"/>
      <c r="V62" s="107"/>
      <c r="W62" s="110"/>
    </row>
    <row r="63" spans="1:23" x14ac:dyDescent="0.25">
      <c r="A63" s="113" t="s">
        <v>8</v>
      </c>
      <c r="B63" s="114" t="s">
        <v>9</v>
      </c>
      <c r="C63" s="114" t="s">
        <v>10</v>
      </c>
      <c r="D63" s="114" t="s">
        <v>11</v>
      </c>
      <c r="E63" s="114" t="s">
        <v>12</v>
      </c>
      <c r="F63" s="114" t="s">
        <v>13</v>
      </c>
      <c r="G63" s="114" t="s">
        <v>14</v>
      </c>
      <c r="H63" s="114"/>
      <c r="I63" s="114"/>
      <c r="J63" s="114"/>
      <c r="K63" s="114"/>
      <c r="L63" s="114"/>
      <c r="M63" s="114" t="s">
        <v>15</v>
      </c>
      <c r="N63" s="114" t="s">
        <v>16</v>
      </c>
      <c r="O63" s="114" t="s">
        <v>17</v>
      </c>
      <c r="P63" s="114" t="s">
        <v>18</v>
      </c>
      <c r="Q63" s="114" t="s">
        <v>19</v>
      </c>
      <c r="R63" s="114"/>
      <c r="S63" s="114"/>
      <c r="T63" s="114"/>
      <c r="U63" s="114"/>
      <c r="V63" s="114"/>
      <c r="W63" s="115" t="s">
        <v>20</v>
      </c>
    </row>
    <row r="64" spans="1:23" x14ac:dyDescent="0.25">
      <c r="A64" s="113"/>
      <c r="B64" s="114"/>
      <c r="C64" s="114"/>
      <c r="D64" s="114"/>
      <c r="E64" s="114"/>
      <c r="F64" s="114"/>
      <c r="G64" s="31" t="s">
        <v>21</v>
      </c>
      <c r="H64" s="31" t="s">
        <v>21</v>
      </c>
      <c r="I64" s="31" t="s">
        <v>21</v>
      </c>
      <c r="J64" s="31" t="s">
        <v>22</v>
      </c>
      <c r="K64" s="31" t="s">
        <v>22</v>
      </c>
      <c r="L64" s="32" t="s">
        <v>22</v>
      </c>
      <c r="M64" s="138"/>
      <c r="N64" s="114"/>
      <c r="O64" s="114"/>
      <c r="P64" s="114"/>
      <c r="Q64" s="31" t="s">
        <v>21</v>
      </c>
      <c r="R64" s="31" t="s">
        <v>21</v>
      </c>
      <c r="S64" s="31" t="s">
        <v>21</v>
      </c>
      <c r="T64" s="31" t="s">
        <v>22</v>
      </c>
      <c r="U64" s="31" t="s">
        <v>22</v>
      </c>
      <c r="V64" s="31" t="s">
        <v>22</v>
      </c>
      <c r="W64" s="115"/>
    </row>
    <row r="65" spans="1:23" ht="15.75" x14ac:dyDescent="0.25">
      <c r="A65" s="5">
        <v>1</v>
      </c>
      <c r="B65" s="21"/>
      <c r="C65" s="20">
        <v>45826</v>
      </c>
      <c r="D65" s="20">
        <v>45831</v>
      </c>
      <c r="E65" s="21">
        <v>3</v>
      </c>
      <c r="F65" s="21">
        <v>0</v>
      </c>
      <c r="G65" s="21">
        <v>108</v>
      </c>
      <c r="H65" s="21">
        <v>137</v>
      </c>
      <c r="I65" s="21">
        <v>154</v>
      </c>
      <c r="J65" s="21"/>
      <c r="K65" s="24"/>
      <c r="L65" s="29"/>
      <c r="M65" s="50">
        <f>AVERAGE(G65:L65)</f>
        <v>133</v>
      </c>
      <c r="N65" s="54">
        <v>45848</v>
      </c>
      <c r="O65" s="21">
        <v>3</v>
      </c>
      <c r="P65" s="21">
        <v>0</v>
      </c>
      <c r="Q65" s="21">
        <v>263</v>
      </c>
      <c r="R65" s="21">
        <v>255</v>
      </c>
      <c r="S65" s="21">
        <v>218</v>
      </c>
      <c r="T65" s="21"/>
      <c r="U65" s="21"/>
      <c r="V65" s="21"/>
      <c r="W65" s="40">
        <f>AVERAGE(Q65:V65)</f>
        <v>245.33333333333334</v>
      </c>
    </row>
    <row r="66" spans="1:23" ht="15.75" x14ac:dyDescent="0.25">
      <c r="A66" s="6">
        <v>2</v>
      </c>
      <c r="B66" s="21"/>
      <c r="C66" s="13">
        <v>45889</v>
      </c>
      <c r="D66" s="13">
        <v>45973</v>
      </c>
      <c r="E66" s="21">
        <v>1</v>
      </c>
      <c r="F66" s="21">
        <v>0</v>
      </c>
      <c r="G66" s="8">
        <v>192</v>
      </c>
      <c r="H66" s="8"/>
      <c r="I66" s="8"/>
      <c r="J66" s="8"/>
      <c r="K66" s="25"/>
      <c r="L66" s="30"/>
      <c r="M66" s="50">
        <v>192</v>
      </c>
      <c r="N66" s="26">
        <v>46028</v>
      </c>
      <c r="O66" s="21">
        <v>1</v>
      </c>
      <c r="P66" s="8">
        <v>0</v>
      </c>
      <c r="Q66" s="8">
        <v>383</v>
      </c>
      <c r="R66" s="8"/>
      <c r="S66" s="8"/>
      <c r="T66" s="8"/>
      <c r="U66" s="8"/>
      <c r="V66" s="8"/>
      <c r="W66" s="34">
        <v>383</v>
      </c>
    </row>
    <row r="67" spans="1:23" ht="15.75" x14ac:dyDescent="0.25">
      <c r="A67" s="6">
        <v>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27"/>
      <c r="M67" s="51"/>
      <c r="N67" s="8"/>
      <c r="O67" s="8"/>
      <c r="P67" s="8"/>
      <c r="Q67" s="8"/>
      <c r="R67" s="8"/>
      <c r="S67" s="8"/>
      <c r="T67" s="8"/>
      <c r="U67" s="8"/>
      <c r="V67" s="8"/>
      <c r="W67" s="34"/>
    </row>
    <row r="68" spans="1:23" ht="15.75" x14ac:dyDescent="0.25">
      <c r="A68" s="5">
        <v>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52"/>
      <c r="N68" s="8"/>
      <c r="O68" s="8"/>
      <c r="P68" s="8"/>
      <c r="Q68" s="8"/>
      <c r="R68" s="8"/>
      <c r="S68" s="8"/>
      <c r="T68" s="8"/>
      <c r="U68" s="8"/>
      <c r="V68" s="8"/>
      <c r="W68" s="34"/>
    </row>
    <row r="69" spans="1:23" ht="15.75" x14ac:dyDescent="0.25">
      <c r="A69" s="5">
        <v>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52"/>
      <c r="N69" s="8"/>
      <c r="O69" s="8"/>
      <c r="P69" s="8"/>
      <c r="Q69" s="8"/>
      <c r="R69" s="8"/>
      <c r="S69" s="8"/>
      <c r="T69" s="8"/>
      <c r="U69" s="8"/>
      <c r="V69" s="8"/>
      <c r="W69" s="34"/>
    </row>
    <row r="70" spans="1:23" ht="16.5" thickBot="1" x14ac:dyDescent="0.3">
      <c r="A70" s="7">
        <v>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53"/>
      <c r="N70" s="10"/>
      <c r="O70" s="10"/>
      <c r="P70" s="10"/>
      <c r="Q70" s="10"/>
      <c r="R70" s="10"/>
      <c r="S70" s="10"/>
      <c r="T70" s="10"/>
      <c r="U70" s="10"/>
      <c r="V70" s="10"/>
      <c r="W70" s="55"/>
    </row>
    <row r="72" spans="1:23" ht="15.75" thickBot="1" x14ac:dyDescent="0.3"/>
    <row r="73" spans="1:23" ht="15.75" x14ac:dyDescent="0.25">
      <c r="A73" s="100" t="s">
        <v>260</v>
      </c>
      <c r="B73" s="101"/>
      <c r="C73" s="111" t="s">
        <v>263</v>
      </c>
      <c r="D73" s="112"/>
      <c r="E73" s="111" t="s">
        <v>408</v>
      </c>
      <c r="F73" s="112"/>
      <c r="G73" s="101" t="s">
        <v>4</v>
      </c>
      <c r="H73" s="101"/>
      <c r="I73" s="102" t="s">
        <v>364</v>
      </c>
      <c r="J73" s="102"/>
      <c r="K73" s="102"/>
      <c r="L73" s="102"/>
      <c r="M73" s="102"/>
      <c r="N73" s="102"/>
      <c r="O73" s="101" t="s">
        <v>6</v>
      </c>
      <c r="P73" s="101"/>
      <c r="Q73" s="103"/>
      <c r="R73" s="104"/>
      <c r="S73" s="104"/>
      <c r="T73" s="104"/>
      <c r="U73" s="104"/>
      <c r="V73" s="104"/>
      <c r="W73" s="105"/>
    </row>
    <row r="74" spans="1:23" ht="15.75" x14ac:dyDescent="0.25">
      <c r="A74" s="106" t="s">
        <v>7</v>
      </c>
      <c r="B74" s="107"/>
      <c r="C74" s="116" t="s">
        <v>436</v>
      </c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09"/>
      <c r="P74" s="109"/>
      <c r="Q74" s="107"/>
      <c r="R74" s="107"/>
      <c r="S74" s="107"/>
      <c r="T74" s="107"/>
      <c r="U74" s="107"/>
      <c r="V74" s="107"/>
      <c r="W74" s="110"/>
    </row>
    <row r="75" spans="1:23" x14ac:dyDescent="0.25">
      <c r="A75" s="113" t="s">
        <v>8</v>
      </c>
      <c r="B75" s="114" t="s">
        <v>9</v>
      </c>
      <c r="C75" s="114" t="s">
        <v>10</v>
      </c>
      <c r="D75" s="114" t="s">
        <v>11</v>
      </c>
      <c r="E75" s="114" t="s">
        <v>12</v>
      </c>
      <c r="F75" s="114" t="s">
        <v>13</v>
      </c>
      <c r="G75" s="114" t="s">
        <v>14</v>
      </c>
      <c r="H75" s="114"/>
      <c r="I75" s="114"/>
      <c r="J75" s="114"/>
      <c r="K75" s="114"/>
      <c r="L75" s="114"/>
      <c r="M75" s="114" t="s">
        <v>15</v>
      </c>
      <c r="N75" s="114" t="s">
        <v>16</v>
      </c>
      <c r="O75" s="114" t="s">
        <v>17</v>
      </c>
      <c r="P75" s="114" t="s">
        <v>18</v>
      </c>
      <c r="Q75" s="114" t="s">
        <v>19</v>
      </c>
      <c r="R75" s="114"/>
      <c r="S75" s="114"/>
      <c r="T75" s="114"/>
      <c r="U75" s="114"/>
      <c r="V75" s="114"/>
      <c r="W75" s="115" t="s">
        <v>20</v>
      </c>
    </row>
    <row r="76" spans="1:23" x14ac:dyDescent="0.25">
      <c r="A76" s="113"/>
      <c r="B76" s="114"/>
      <c r="C76" s="114"/>
      <c r="D76" s="114"/>
      <c r="E76" s="114"/>
      <c r="F76" s="114"/>
      <c r="G76" s="31" t="s">
        <v>21</v>
      </c>
      <c r="H76" s="31" t="s">
        <v>21</v>
      </c>
      <c r="I76" s="31" t="s">
        <v>21</v>
      </c>
      <c r="J76" s="31" t="s">
        <v>22</v>
      </c>
      <c r="K76" s="31" t="s">
        <v>22</v>
      </c>
      <c r="L76" s="32" t="s">
        <v>22</v>
      </c>
      <c r="M76" s="138"/>
      <c r="N76" s="114"/>
      <c r="O76" s="114"/>
      <c r="P76" s="114"/>
      <c r="Q76" s="31" t="s">
        <v>21</v>
      </c>
      <c r="R76" s="31" t="s">
        <v>21</v>
      </c>
      <c r="S76" s="31" t="s">
        <v>21</v>
      </c>
      <c r="T76" s="31" t="s">
        <v>22</v>
      </c>
      <c r="U76" s="31" t="s">
        <v>22</v>
      </c>
      <c r="V76" s="31" t="s">
        <v>22</v>
      </c>
      <c r="W76" s="115"/>
    </row>
    <row r="77" spans="1:23" ht="15.75" x14ac:dyDescent="0.25">
      <c r="A77" s="5">
        <v>1</v>
      </c>
      <c r="B77" s="21"/>
      <c r="C77" s="20">
        <v>45826</v>
      </c>
      <c r="D77" s="20">
        <v>45853</v>
      </c>
      <c r="E77" s="21">
        <v>4</v>
      </c>
      <c r="F77" s="21">
        <v>0</v>
      </c>
      <c r="G77" s="21">
        <v>91</v>
      </c>
      <c r="H77" s="21"/>
      <c r="I77" s="21"/>
      <c r="J77" s="21">
        <v>147</v>
      </c>
      <c r="K77" s="24">
        <v>116</v>
      </c>
      <c r="L77" s="58">
        <v>131</v>
      </c>
      <c r="M77" s="64">
        <f>AVERAGE(G77:L77)</f>
        <v>121.25</v>
      </c>
      <c r="N77" s="47">
        <v>45869</v>
      </c>
      <c r="O77" s="21">
        <v>4</v>
      </c>
      <c r="P77" s="21">
        <v>0</v>
      </c>
      <c r="Q77" s="21">
        <v>207</v>
      </c>
      <c r="R77" s="21"/>
      <c r="S77" s="21"/>
      <c r="T77" s="21">
        <v>238</v>
      </c>
      <c r="U77" s="21">
        <v>212</v>
      </c>
      <c r="V77" s="21">
        <v>218</v>
      </c>
      <c r="W77" s="40">
        <f>AVERAGE(Q77:V77)</f>
        <v>218.75</v>
      </c>
    </row>
    <row r="78" spans="1:23" ht="15.75" x14ac:dyDescent="0.25">
      <c r="A78" s="6">
        <v>2</v>
      </c>
      <c r="B78" s="21"/>
      <c r="C78" s="13">
        <v>45889</v>
      </c>
      <c r="D78" s="21"/>
      <c r="E78" s="21"/>
      <c r="F78" s="21"/>
      <c r="G78" s="21"/>
      <c r="H78" s="21"/>
      <c r="I78" s="21"/>
      <c r="J78" s="21"/>
      <c r="K78" s="24"/>
      <c r="L78" s="58"/>
      <c r="M78" s="64"/>
      <c r="N78" s="26"/>
      <c r="O78" s="21"/>
      <c r="P78" s="21"/>
      <c r="Q78" s="21"/>
      <c r="R78" s="21"/>
      <c r="S78" s="21"/>
      <c r="T78" s="21"/>
      <c r="U78" s="21"/>
      <c r="V78" s="21"/>
      <c r="W78" s="40"/>
    </row>
    <row r="79" spans="1:23" ht="15.75" x14ac:dyDescent="0.25">
      <c r="A79" s="6">
        <v>3</v>
      </c>
      <c r="B79" s="8"/>
      <c r="C79" s="8"/>
      <c r="D79" s="21"/>
      <c r="E79" s="21"/>
      <c r="F79" s="21"/>
      <c r="G79" s="21"/>
      <c r="H79" s="21"/>
      <c r="I79" s="21"/>
      <c r="J79" s="21"/>
      <c r="K79" s="21"/>
      <c r="L79" s="59"/>
      <c r="M79" s="64"/>
      <c r="N79" s="61"/>
      <c r="O79" s="21"/>
      <c r="P79" s="21"/>
      <c r="Q79" s="21"/>
      <c r="R79" s="21"/>
      <c r="S79" s="21"/>
      <c r="T79" s="21"/>
      <c r="U79" s="21"/>
      <c r="V79" s="21"/>
      <c r="W79" s="40"/>
    </row>
    <row r="80" spans="1:23" ht="15.75" x14ac:dyDescent="0.25">
      <c r="A80" s="5">
        <v>4</v>
      </c>
      <c r="B80" s="8"/>
      <c r="C80" s="8"/>
      <c r="D80" s="21"/>
      <c r="E80" s="21"/>
      <c r="F80" s="21"/>
      <c r="G80" s="21"/>
      <c r="H80" s="21"/>
      <c r="I80" s="21"/>
      <c r="J80" s="21"/>
      <c r="K80" s="21"/>
      <c r="L80" s="24"/>
      <c r="M80" s="64"/>
      <c r="N80" s="61"/>
      <c r="O80" s="21"/>
      <c r="P80" s="21"/>
      <c r="Q80" s="21"/>
      <c r="R80" s="21"/>
      <c r="S80" s="21"/>
      <c r="T80" s="21"/>
      <c r="U80" s="21"/>
      <c r="V80" s="21"/>
      <c r="W80" s="40"/>
    </row>
    <row r="81" spans="1:23" ht="15.75" x14ac:dyDescent="0.25">
      <c r="A81" s="5">
        <v>5</v>
      </c>
      <c r="B81" s="8"/>
      <c r="C81" s="8"/>
      <c r="D81" s="21"/>
      <c r="E81" s="21"/>
      <c r="F81" s="21"/>
      <c r="G81" s="21"/>
      <c r="H81" s="21"/>
      <c r="I81" s="21"/>
      <c r="J81" s="21"/>
      <c r="K81" s="21"/>
      <c r="L81" s="24"/>
      <c r="M81" s="64"/>
      <c r="N81" s="61"/>
      <c r="O81" s="21"/>
      <c r="P81" s="21"/>
      <c r="Q81" s="21"/>
      <c r="R81" s="21"/>
      <c r="S81" s="21"/>
      <c r="T81" s="21"/>
      <c r="U81" s="21"/>
      <c r="V81" s="21"/>
      <c r="W81" s="40"/>
    </row>
    <row r="82" spans="1:23" ht="16.5" thickBot="1" x14ac:dyDescent="0.3">
      <c r="A82" s="7">
        <v>6</v>
      </c>
      <c r="B82" s="10"/>
      <c r="C82" s="10"/>
      <c r="D82" s="37"/>
      <c r="E82" s="37"/>
      <c r="F82" s="37"/>
      <c r="G82" s="37"/>
      <c r="H82" s="37"/>
      <c r="I82" s="37"/>
      <c r="J82" s="37"/>
      <c r="K82" s="37"/>
      <c r="L82" s="60"/>
      <c r="M82" s="64"/>
      <c r="N82" s="62"/>
      <c r="O82" s="37"/>
      <c r="P82" s="37"/>
      <c r="Q82" s="37"/>
      <c r="R82" s="37"/>
      <c r="S82" s="37"/>
      <c r="T82" s="37"/>
      <c r="U82" s="37"/>
      <c r="V82" s="37"/>
      <c r="W82" s="43"/>
    </row>
    <row r="84" spans="1:23" ht="15.75" thickBot="1" x14ac:dyDescent="0.3"/>
    <row r="85" spans="1:23" ht="15.75" x14ac:dyDescent="0.25">
      <c r="A85" s="100" t="s">
        <v>260</v>
      </c>
      <c r="B85" s="101"/>
      <c r="C85" s="111" t="s">
        <v>264</v>
      </c>
      <c r="D85" s="112"/>
      <c r="E85" s="111" t="s">
        <v>408</v>
      </c>
      <c r="F85" s="112"/>
      <c r="G85" s="101" t="s">
        <v>4</v>
      </c>
      <c r="H85" s="101"/>
      <c r="I85" s="102" t="s">
        <v>364</v>
      </c>
      <c r="J85" s="102"/>
      <c r="K85" s="102"/>
      <c r="L85" s="102"/>
      <c r="M85" s="102"/>
      <c r="N85" s="102"/>
      <c r="O85" s="101" t="s">
        <v>6</v>
      </c>
      <c r="P85" s="101"/>
      <c r="Q85" s="103"/>
      <c r="R85" s="104"/>
      <c r="S85" s="104"/>
      <c r="T85" s="104"/>
      <c r="U85" s="104"/>
      <c r="V85" s="104"/>
      <c r="W85" s="105"/>
    </row>
    <row r="86" spans="1:23" ht="15.75" x14ac:dyDescent="0.25">
      <c r="A86" s="106" t="s">
        <v>7</v>
      </c>
      <c r="B86" s="107"/>
      <c r="C86" s="116" t="s">
        <v>436</v>
      </c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09"/>
      <c r="P86" s="109"/>
      <c r="Q86" s="107"/>
      <c r="R86" s="107"/>
      <c r="S86" s="107"/>
      <c r="T86" s="107"/>
      <c r="U86" s="107"/>
      <c r="V86" s="107"/>
      <c r="W86" s="110"/>
    </row>
    <row r="87" spans="1:23" x14ac:dyDescent="0.25">
      <c r="A87" s="113" t="s">
        <v>8</v>
      </c>
      <c r="B87" s="114" t="s">
        <v>9</v>
      </c>
      <c r="C87" s="114" t="s">
        <v>10</v>
      </c>
      <c r="D87" s="114" t="s">
        <v>11</v>
      </c>
      <c r="E87" s="114" t="s">
        <v>12</v>
      </c>
      <c r="F87" s="114" t="s">
        <v>13</v>
      </c>
      <c r="G87" s="114" t="s">
        <v>14</v>
      </c>
      <c r="H87" s="114"/>
      <c r="I87" s="114"/>
      <c r="J87" s="114"/>
      <c r="K87" s="114"/>
      <c r="L87" s="114"/>
      <c r="M87" s="114" t="s">
        <v>15</v>
      </c>
      <c r="N87" s="114" t="s">
        <v>16</v>
      </c>
      <c r="O87" s="114" t="s">
        <v>17</v>
      </c>
      <c r="P87" s="114" t="s">
        <v>18</v>
      </c>
      <c r="Q87" s="114" t="s">
        <v>19</v>
      </c>
      <c r="R87" s="114"/>
      <c r="S87" s="114"/>
      <c r="T87" s="114"/>
      <c r="U87" s="114"/>
      <c r="V87" s="114"/>
      <c r="W87" s="115" t="s">
        <v>20</v>
      </c>
    </row>
    <row r="88" spans="1:23" x14ac:dyDescent="0.25">
      <c r="A88" s="113"/>
      <c r="B88" s="114"/>
      <c r="C88" s="114"/>
      <c r="D88" s="114"/>
      <c r="E88" s="114"/>
      <c r="F88" s="114"/>
      <c r="G88" s="31" t="s">
        <v>21</v>
      </c>
      <c r="H88" s="31" t="s">
        <v>21</v>
      </c>
      <c r="I88" s="31" t="s">
        <v>21</v>
      </c>
      <c r="J88" s="31" t="s">
        <v>22</v>
      </c>
      <c r="K88" s="31" t="s">
        <v>22</v>
      </c>
      <c r="L88" s="32" t="s">
        <v>22</v>
      </c>
      <c r="M88" s="138"/>
      <c r="N88" s="114"/>
      <c r="O88" s="114"/>
      <c r="P88" s="114"/>
      <c r="Q88" s="31" t="s">
        <v>21</v>
      </c>
      <c r="R88" s="31" t="s">
        <v>21</v>
      </c>
      <c r="S88" s="31" t="s">
        <v>21</v>
      </c>
      <c r="T88" s="31" t="s">
        <v>22</v>
      </c>
      <c r="U88" s="31" t="s">
        <v>22</v>
      </c>
      <c r="V88" s="31" t="s">
        <v>22</v>
      </c>
      <c r="W88" s="115"/>
    </row>
    <row r="89" spans="1:23" ht="15.75" x14ac:dyDescent="0.25">
      <c r="A89" s="5">
        <v>1</v>
      </c>
      <c r="B89" s="21"/>
      <c r="C89" s="20">
        <v>45826</v>
      </c>
      <c r="D89" s="20">
        <v>45869</v>
      </c>
      <c r="E89" s="21">
        <v>1</v>
      </c>
      <c r="F89" s="21">
        <v>1</v>
      </c>
      <c r="G89" s="21"/>
      <c r="H89" s="21"/>
      <c r="I89" s="21"/>
      <c r="J89" s="21"/>
      <c r="K89" s="24"/>
      <c r="L89" s="29"/>
      <c r="M89" s="57"/>
      <c r="O89" s="21"/>
      <c r="P89" s="21"/>
      <c r="Q89" s="21"/>
      <c r="R89" s="21"/>
      <c r="S89" s="21"/>
      <c r="T89" s="21"/>
      <c r="U89" s="21"/>
      <c r="V89" s="21"/>
      <c r="W89" s="22"/>
    </row>
    <row r="90" spans="1:23" ht="15.75" x14ac:dyDescent="0.25">
      <c r="A90" s="6">
        <v>2</v>
      </c>
      <c r="B90" s="21"/>
      <c r="C90" s="13">
        <v>45889</v>
      </c>
      <c r="D90" s="13">
        <v>46001</v>
      </c>
      <c r="E90" s="8">
        <v>2</v>
      </c>
      <c r="F90" s="8">
        <v>0</v>
      </c>
      <c r="G90" s="8">
        <v>169</v>
      </c>
      <c r="H90" s="8"/>
      <c r="I90" s="8"/>
      <c r="J90" s="8">
        <v>145</v>
      </c>
      <c r="K90" s="25"/>
      <c r="L90" s="30"/>
      <c r="M90" s="69">
        <f>AVERAGE(G90:L90)</f>
        <v>157</v>
      </c>
      <c r="N90" s="26">
        <v>46028</v>
      </c>
      <c r="O90" s="8">
        <v>1</v>
      </c>
      <c r="P90" s="8">
        <v>1</v>
      </c>
      <c r="Q90" s="8"/>
      <c r="R90" s="8"/>
      <c r="S90" s="8"/>
      <c r="T90" s="8">
        <v>462</v>
      </c>
      <c r="U90" s="8"/>
      <c r="V90" s="8"/>
      <c r="W90" s="22">
        <v>462</v>
      </c>
    </row>
    <row r="91" spans="1:23" ht="15.75" x14ac:dyDescent="0.25">
      <c r="A91" s="6">
        <v>3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27"/>
      <c r="M91" s="27"/>
      <c r="N91" s="8"/>
      <c r="O91" s="8"/>
      <c r="P91" s="8"/>
      <c r="Q91" s="8"/>
      <c r="R91" s="8"/>
      <c r="S91" s="8"/>
      <c r="T91" s="8"/>
      <c r="U91" s="8"/>
      <c r="V91" s="8"/>
      <c r="W91" s="9"/>
    </row>
    <row r="92" spans="1:23" ht="15.75" x14ac:dyDescent="0.25">
      <c r="A92" s="5">
        <v>4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</row>
    <row r="93" spans="1:23" ht="15.75" x14ac:dyDescent="0.25">
      <c r="A93" s="5">
        <v>5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6.5" thickBot="1" x14ac:dyDescent="0.3">
      <c r="A94" s="7">
        <v>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6" spans="1:23" ht="15.75" thickBot="1" x14ac:dyDescent="0.3"/>
    <row r="97" spans="1:23" ht="15.75" x14ac:dyDescent="0.25">
      <c r="A97" s="100" t="s">
        <v>260</v>
      </c>
      <c r="B97" s="101"/>
      <c r="C97" s="111" t="s">
        <v>265</v>
      </c>
      <c r="D97" s="112"/>
      <c r="E97" s="111" t="s">
        <v>408</v>
      </c>
      <c r="F97" s="112"/>
      <c r="G97" s="101" t="s">
        <v>4</v>
      </c>
      <c r="H97" s="101"/>
      <c r="I97" s="102" t="s">
        <v>364</v>
      </c>
      <c r="J97" s="102"/>
      <c r="K97" s="102"/>
      <c r="L97" s="102"/>
      <c r="M97" s="102"/>
      <c r="N97" s="102"/>
      <c r="O97" s="101" t="s">
        <v>6</v>
      </c>
      <c r="P97" s="101"/>
      <c r="Q97" s="103"/>
      <c r="R97" s="104"/>
      <c r="S97" s="104"/>
      <c r="T97" s="104"/>
      <c r="U97" s="104"/>
      <c r="V97" s="104"/>
      <c r="W97" s="105"/>
    </row>
    <row r="98" spans="1:23" ht="15.75" x14ac:dyDescent="0.25">
      <c r="A98" s="106" t="s">
        <v>7</v>
      </c>
      <c r="B98" s="107"/>
      <c r="C98" s="116" t="s">
        <v>436</v>
      </c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09"/>
      <c r="P98" s="109"/>
      <c r="Q98" s="107"/>
      <c r="R98" s="107"/>
      <c r="S98" s="107"/>
      <c r="T98" s="107"/>
      <c r="U98" s="107"/>
      <c r="V98" s="107"/>
      <c r="W98" s="110"/>
    </row>
    <row r="99" spans="1:23" x14ac:dyDescent="0.25">
      <c r="A99" s="113" t="s">
        <v>8</v>
      </c>
      <c r="B99" s="114" t="s">
        <v>9</v>
      </c>
      <c r="C99" s="114" t="s">
        <v>10</v>
      </c>
      <c r="D99" s="114" t="s">
        <v>11</v>
      </c>
      <c r="E99" s="114" t="s">
        <v>12</v>
      </c>
      <c r="F99" s="114" t="s">
        <v>13</v>
      </c>
      <c r="G99" s="114" t="s">
        <v>14</v>
      </c>
      <c r="H99" s="114"/>
      <c r="I99" s="114"/>
      <c r="J99" s="114"/>
      <c r="K99" s="114"/>
      <c r="L99" s="114"/>
      <c r="M99" s="114" t="s">
        <v>15</v>
      </c>
      <c r="N99" s="114" t="s">
        <v>16</v>
      </c>
      <c r="O99" s="114" t="s">
        <v>17</v>
      </c>
      <c r="P99" s="114" t="s">
        <v>18</v>
      </c>
      <c r="Q99" s="114" t="s">
        <v>19</v>
      </c>
      <c r="R99" s="114"/>
      <c r="S99" s="114"/>
      <c r="T99" s="114"/>
      <c r="U99" s="114"/>
      <c r="V99" s="114"/>
      <c r="W99" s="115" t="s">
        <v>20</v>
      </c>
    </row>
    <row r="100" spans="1:23" x14ac:dyDescent="0.25">
      <c r="A100" s="113"/>
      <c r="B100" s="114"/>
      <c r="C100" s="114"/>
      <c r="D100" s="114"/>
      <c r="E100" s="114"/>
      <c r="F100" s="114"/>
      <c r="G100" s="31" t="s">
        <v>21</v>
      </c>
      <c r="H100" s="31" t="s">
        <v>21</v>
      </c>
      <c r="I100" s="31" t="s">
        <v>21</v>
      </c>
      <c r="J100" s="31" t="s">
        <v>22</v>
      </c>
      <c r="K100" s="31" t="s">
        <v>22</v>
      </c>
      <c r="L100" s="32" t="s">
        <v>22</v>
      </c>
      <c r="M100" s="138"/>
      <c r="N100" s="114"/>
      <c r="O100" s="114"/>
      <c r="P100" s="114"/>
      <c r="Q100" s="31" t="s">
        <v>21</v>
      </c>
      <c r="R100" s="31" t="s">
        <v>21</v>
      </c>
      <c r="S100" s="31" t="s">
        <v>21</v>
      </c>
      <c r="T100" s="31" t="s">
        <v>22</v>
      </c>
      <c r="U100" s="31" t="s">
        <v>22</v>
      </c>
      <c r="V100" s="31" t="s">
        <v>22</v>
      </c>
      <c r="W100" s="115"/>
    </row>
    <row r="101" spans="1:23" ht="15.75" x14ac:dyDescent="0.25">
      <c r="A101" s="5">
        <v>1</v>
      </c>
      <c r="B101" s="21"/>
      <c r="C101" s="20">
        <v>45826</v>
      </c>
      <c r="D101" s="20">
        <v>45866</v>
      </c>
      <c r="E101" s="21">
        <v>1</v>
      </c>
      <c r="F101" s="21">
        <v>0</v>
      </c>
      <c r="G101" s="21">
        <v>199</v>
      </c>
      <c r="H101" s="21"/>
      <c r="I101" s="21"/>
      <c r="J101" s="21"/>
      <c r="K101" s="24"/>
      <c r="L101" s="29"/>
      <c r="M101" s="50">
        <v>199</v>
      </c>
      <c r="N101" s="47">
        <v>45851</v>
      </c>
      <c r="O101" s="21">
        <v>1</v>
      </c>
      <c r="P101" s="21">
        <v>0</v>
      </c>
      <c r="Q101" s="21">
        <v>312</v>
      </c>
      <c r="R101" s="21"/>
      <c r="S101" s="21"/>
      <c r="T101" s="21"/>
      <c r="U101" s="21"/>
      <c r="V101" s="21"/>
      <c r="W101" s="22">
        <v>312</v>
      </c>
    </row>
    <row r="102" spans="1:23" ht="15.75" x14ac:dyDescent="0.25">
      <c r="A102" s="6">
        <v>2</v>
      </c>
      <c r="B102" s="21"/>
      <c r="C102" s="13">
        <v>45889</v>
      </c>
      <c r="D102" s="8"/>
      <c r="E102" s="8"/>
      <c r="F102" s="8"/>
      <c r="G102" s="8"/>
      <c r="H102" s="8"/>
      <c r="I102" s="8"/>
      <c r="J102" s="8"/>
      <c r="K102" s="25"/>
      <c r="L102" s="30"/>
      <c r="M102" s="50"/>
      <c r="N102" s="65"/>
      <c r="O102" s="8"/>
      <c r="P102" s="8"/>
      <c r="Q102" s="8"/>
      <c r="R102" s="8"/>
      <c r="S102" s="8"/>
      <c r="T102" s="8"/>
      <c r="U102" s="8"/>
      <c r="V102" s="8"/>
      <c r="W102" s="9"/>
    </row>
    <row r="103" spans="1:23" ht="15.75" x14ac:dyDescent="0.25">
      <c r="A103" s="6">
        <v>3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27"/>
      <c r="M103" s="51"/>
      <c r="N103" s="52"/>
      <c r="O103" s="8"/>
      <c r="P103" s="8"/>
      <c r="Q103" s="8"/>
      <c r="R103" s="8"/>
      <c r="S103" s="8"/>
      <c r="T103" s="8"/>
      <c r="U103" s="8"/>
      <c r="V103" s="8"/>
      <c r="W103" s="9"/>
    </row>
    <row r="104" spans="1:23" ht="15.75" x14ac:dyDescent="0.25">
      <c r="A104" s="5">
        <v>4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52"/>
      <c r="N104" s="52"/>
      <c r="O104" s="8"/>
      <c r="P104" s="8"/>
      <c r="Q104" s="8"/>
      <c r="R104" s="8"/>
      <c r="S104" s="8"/>
      <c r="T104" s="8"/>
      <c r="U104" s="8"/>
      <c r="V104" s="8"/>
      <c r="W104" s="9"/>
    </row>
    <row r="105" spans="1:23" ht="15.75" x14ac:dyDescent="0.25">
      <c r="A105" s="5">
        <v>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52"/>
      <c r="N105" s="52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6.5" thickBot="1" x14ac:dyDescent="0.3">
      <c r="A106" s="7">
        <v>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53"/>
      <c r="N106" s="53"/>
      <c r="O106" s="10"/>
      <c r="P106" s="10"/>
      <c r="Q106" s="10"/>
      <c r="R106" s="10"/>
      <c r="S106" s="10"/>
      <c r="T106" s="10"/>
      <c r="U106" s="10"/>
      <c r="V106" s="10"/>
      <c r="W106" s="11"/>
    </row>
    <row r="108" spans="1:23" ht="15.75" thickBot="1" x14ac:dyDescent="0.3"/>
    <row r="109" spans="1:23" ht="15.75" x14ac:dyDescent="0.25">
      <c r="A109" s="100" t="s">
        <v>260</v>
      </c>
      <c r="B109" s="101"/>
      <c r="C109" s="111" t="s">
        <v>266</v>
      </c>
      <c r="D109" s="112"/>
      <c r="E109" s="111" t="s">
        <v>408</v>
      </c>
      <c r="F109" s="112"/>
      <c r="G109" s="101" t="s">
        <v>4</v>
      </c>
      <c r="H109" s="101"/>
      <c r="I109" s="102" t="s">
        <v>364</v>
      </c>
      <c r="J109" s="102"/>
      <c r="K109" s="102"/>
      <c r="L109" s="102"/>
      <c r="M109" s="102"/>
      <c r="N109" s="102"/>
      <c r="O109" s="101" t="s">
        <v>6</v>
      </c>
      <c r="P109" s="101"/>
      <c r="Q109" s="103"/>
      <c r="R109" s="104"/>
      <c r="S109" s="104"/>
      <c r="T109" s="104"/>
      <c r="U109" s="104"/>
      <c r="V109" s="104"/>
      <c r="W109" s="105"/>
    </row>
    <row r="110" spans="1:23" ht="15.75" x14ac:dyDescent="0.25">
      <c r="A110" s="106" t="s">
        <v>7</v>
      </c>
      <c r="B110" s="107"/>
      <c r="C110" s="116" t="s">
        <v>436</v>
      </c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09"/>
      <c r="P110" s="109"/>
      <c r="Q110" s="107"/>
      <c r="R110" s="107"/>
      <c r="S110" s="107"/>
      <c r="T110" s="107"/>
      <c r="U110" s="107"/>
      <c r="V110" s="107"/>
      <c r="W110" s="110"/>
    </row>
    <row r="111" spans="1:23" x14ac:dyDescent="0.25">
      <c r="A111" s="113" t="s">
        <v>8</v>
      </c>
      <c r="B111" s="114" t="s">
        <v>9</v>
      </c>
      <c r="C111" s="114" t="s">
        <v>10</v>
      </c>
      <c r="D111" s="114" t="s">
        <v>11</v>
      </c>
      <c r="E111" s="114" t="s">
        <v>12</v>
      </c>
      <c r="F111" s="114" t="s">
        <v>13</v>
      </c>
      <c r="G111" s="114" t="s">
        <v>14</v>
      </c>
      <c r="H111" s="114"/>
      <c r="I111" s="114"/>
      <c r="J111" s="114"/>
      <c r="K111" s="114"/>
      <c r="L111" s="114"/>
      <c r="M111" s="114" t="s">
        <v>15</v>
      </c>
      <c r="N111" s="114" t="s">
        <v>16</v>
      </c>
      <c r="O111" s="114" t="s">
        <v>17</v>
      </c>
      <c r="P111" s="114" t="s">
        <v>18</v>
      </c>
      <c r="Q111" s="114" t="s">
        <v>19</v>
      </c>
      <c r="R111" s="114"/>
      <c r="S111" s="114"/>
      <c r="T111" s="114"/>
      <c r="U111" s="114"/>
      <c r="V111" s="114"/>
      <c r="W111" s="115" t="s">
        <v>20</v>
      </c>
    </row>
    <row r="112" spans="1:23" x14ac:dyDescent="0.25">
      <c r="A112" s="113"/>
      <c r="B112" s="114"/>
      <c r="C112" s="114"/>
      <c r="D112" s="114"/>
      <c r="E112" s="114"/>
      <c r="F112" s="114"/>
      <c r="G112" s="31" t="s">
        <v>21</v>
      </c>
      <c r="H112" s="31" t="s">
        <v>21</v>
      </c>
      <c r="I112" s="31" t="s">
        <v>21</v>
      </c>
      <c r="J112" s="31" t="s">
        <v>22</v>
      </c>
      <c r="K112" s="31" t="s">
        <v>22</v>
      </c>
      <c r="L112" s="32" t="s">
        <v>22</v>
      </c>
      <c r="M112" s="138"/>
      <c r="N112" s="114"/>
      <c r="O112" s="114"/>
      <c r="P112" s="114"/>
      <c r="Q112" s="31" t="s">
        <v>21</v>
      </c>
      <c r="R112" s="31" t="s">
        <v>21</v>
      </c>
      <c r="S112" s="31" t="s">
        <v>21</v>
      </c>
      <c r="T112" s="31" t="s">
        <v>22</v>
      </c>
      <c r="U112" s="31" t="s">
        <v>22</v>
      </c>
      <c r="V112" s="31" t="s">
        <v>22</v>
      </c>
      <c r="W112" s="115"/>
    </row>
    <row r="113" spans="1:23" ht="15.75" x14ac:dyDescent="0.25">
      <c r="A113" s="5">
        <v>1</v>
      </c>
      <c r="B113" s="21"/>
      <c r="C113" s="20">
        <v>45826</v>
      </c>
      <c r="D113" s="20">
        <v>2</v>
      </c>
      <c r="E113" s="21">
        <v>2</v>
      </c>
      <c r="F113" s="21">
        <v>0</v>
      </c>
      <c r="G113" s="21"/>
      <c r="H113" s="21"/>
      <c r="I113" s="21"/>
      <c r="J113" s="21">
        <v>160</v>
      </c>
      <c r="K113" s="24">
        <v>159</v>
      </c>
      <c r="L113" s="29"/>
      <c r="M113" s="50">
        <f>AVERAGE(G113:L113)</f>
        <v>159.5</v>
      </c>
      <c r="N113" s="54">
        <v>45882</v>
      </c>
      <c r="O113" s="21">
        <v>2</v>
      </c>
      <c r="P113" s="21">
        <v>0</v>
      </c>
      <c r="Q113" s="21"/>
      <c r="R113" s="21"/>
      <c r="S113" s="21"/>
      <c r="T113" s="21">
        <v>253</v>
      </c>
      <c r="U113" s="21">
        <v>184</v>
      </c>
      <c r="V113" s="21"/>
      <c r="W113" s="22">
        <f>AVERAGE(Q113:V113)</f>
        <v>218.5</v>
      </c>
    </row>
    <row r="114" spans="1:23" ht="15.75" x14ac:dyDescent="0.25">
      <c r="A114" s="6">
        <v>2</v>
      </c>
      <c r="B114" s="21"/>
      <c r="C114" s="13">
        <v>45889</v>
      </c>
      <c r="D114" s="8"/>
      <c r="E114" s="8"/>
      <c r="F114" s="8"/>
      <c r="G114" s="8"/>
      <c r="H114" s="8"/>
      <c r="I114" s="8"/>
      <c r="J114" s="8"/>
      <c r="K114" s="25"/>
      <c r="L114" s="30"/>
      <c r="M114" s="50"/>
      <c r="N114" s="26"/>
      <c r="O114" s="8"/>
      <c r="P114" s="8"/>
      <c r="Q114" s="8"/>
      <c r="R114" s="8"/>
      <c r="S114" s="8"/>
      <c r="T114" s="8"/>
      <c r="U114" s="8"/>
      <c r="V114" s="8"/>
      <c r="W114" s="9"/>
    </row>
    <row r="115" spans="1:23" ht="15.75" x14ac:dyDescent="0.25">
      <c r="A115" s="6">
        <v>3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27"/>
      <c r="M115" s="51"/>
      <c r="N115" s="8"/>
      <c r="O115" s="8"/>
      <c r="P115" s="8"/>
      <c r="Q115" s="8"/>
      <c r="R115" s="8"/>
      <c r="S115" s="8"/>
      <c r="T115" s="8"/>
      <c r="U115" s="8"/>
      <c r="V115" s="8"/>
      <c r="W115" s="9"/>
    </row>
    <row r="116" spans="1:23" ht="15.75" x14ac:dyDescent="0.25">
      <c r="A116" s="5">
        <v>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52"/>
      <c r="N116" s="8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5">
        <v>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52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6.5" thickBot="1" x14ac:dyDescent="0.3">
      <c r="A118" s="7">
        <v>6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53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20" spans="1:23" ht="15.75" thickBot="1" x14ac:dyDescent="0.3"/>
    <row r="121" spans="1:23" ht="15.75" x14ac:dyDescent="0.25">
      <c r="A121" s="100" t="s">
        <v>260</v>
      </c>
      <c r="B121" s="101"/>
      <c r="C121" s="111" t="s">
        <v>267</v>
      </c>
      <c r="D121" s="112"/>
      <c r="E121" s="111" t="s">
        <v>408</v>
      </c>
      <c r="F121" s="112"/>
      <c r="G121" s="101" t="s">
        <v>4</v>
      </c>
      <c r="H121" s="101"/>
      <c r="I121" s="102" t="s">
        <v>364</v>
      </c>
      <c r="J121" s="102"/>
      <c r="K121" s="102"/>
      <c r="L121" s="102"/>
      <c r="M121" s="102"/>
      <c r="N121" s="102"/>
      <c r="O121" s="101" t="s">
        <v>6</v>
      </c>
      <c r="P121" s="101"/>
      <c r="Q121" s="103"/>
      <c r="R121" s="104"/>
      <c r="S121" s="104"/>
      <c r="T121" s="104"/>
      <c r="U121" s="104"/>
      <c r="V121" s="104"/>
      <c r="W121" s="105"/>
    </row>
    <row r="122" spans="1:23" ht="15.75" x14ac:dyDescent="0.25">
      <c r="A122" s="106" t="s">
        <v>7</v>
      </c>
      <c r="B122" s="107"/>
      <c r="C122" s="116" t="s">
        <v>219</v>
      </c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09"/>
      <c r="P122" s="109"/>
      <c r="Q122" s="107"/>
      <c r="R122" s="107"/>
      <c r="S122" s="107"/>
      <c r="T122" s="107"/>
      <c r="U122" s="107"/>
      <c r="V122" s="107"/>
      <c r="W122" s="110"/>
    </row>
    <row r="123" spans="1:23" x14ac:dyDescent="0.25">
      <c r="A123" s="113" t="s">
        <v>8</v>
      </c>
      <c r="B123" s="114" t="s">
        <v>9</v>
      </c>
      <c r="C123" s="114" t="s">
        <v>10</v>
      </c>
      <c r="D123" s="114" t="s">
        <v>11</v>
      </c>
      <c r="E123" s="114" t="s">
        <v>12</v>
      </c>
      <c r="F123" s="114" t="s">
        <v>13</v>
      </c>
      <c r="G123" s="114" t="s">
        <v>14</v>
      </c>
      <c r="H123" s="114"/>
      <c r="I123" s="114"/>
      <c r="J123" s="114"/>
      <c r="K123" s="114"/>
      <c r="L123" s="114"/>
      <c r="M123" s="114" t="s">
        <v>15</v>
      </c>
      <c r="N123" s="114" t="s">
        <v>16</v>
      </c>
      <c r="O123" s="114" t="s">
        <v>17</v>
      </c>
      <c r="P123" s="114" t="s">
        <v>18</v>
      </c>
      <c r="Q123" s="114" t="s">
        <v>19</v>
      </c>
      <c r="R123" s="114"/>
      <c r="S123" s="114"/>
      <c r="T123" s="114"/>
      <c r="U123" s="114"/>
      <c r="V123" s="114"/>
      <c r="W123" s="115" t="s">
        <v>20</v>
      </c>
    </row>
    <row r="124" spans="1:23" x14ac:dyDescent="0.25">
      <c r="A124" s="113"/>
      <c r="B124" s="114"/>
      <c r="C124" s="114"/>
      <c r="D124" s="114"/>
      <c r="E124" s="114"/>
      <c r="F124" s="114"/>
      <c r="G124" s="31" t="s">
        <v>21</v>
      </c>
      <c r="H124" s="31" t="s">
        <v>21</v>
      </c>
      <c r="I124" s="31" t="s">
        <v>21</v>
      </c>
      <c r="J124" s="31" t="s">
        <v>22</v>
      </c>
      <c r="K124" s="31" t="s">
        <v>22</v>
      </c>
      <c r="L124" s="32" t="s">
        <v>22</v>
      </c>
      <c r="M124" s="138"/>
      <c r="N124" s="114"/>
      <c r="O124" s="114"/>
      <c r="P124" s="114"/>
      <c r="Q124" s="31" t="s">
        <v>21</v>
      </c>
      <c r="R124" s="31" t="s">
        <v>21</v>
      </c>
      <c r="S124" s="31" t="s">
        <v>21</v>
      </c>
      <c r="T124" s="31" t="s">
        <v>22</v>
      </c>
      <c r="U124" s="31" t="s">
        <v>22</v>
      </c>
      <c r="V124" s="31" t="s">
        <v>22</v>
      </c>
      <c r="W124" s="115"/>
    </row>
    <row r="125" spans="1:23" ht="15.75" x14ac:dyDescent="0.25">
      <c r="A125" s="5">
        <v>1</v>
      </c>
      <c r="B125" s="21"/>
      <c r="C125" s="20">
        <v>45826</v>
      </c>
      <c r="D125" s="20">
        <v>45828</v>
      </c>
      <c r="E125" s="21">
        <v>2</v>
      </c>
      <c r="F125" s="21">
        <v>0</v>
      </c>
      <c r="G125" s="21">
        <v>149</v>
      </c>
      <c r="H125" s="21"/>
      <c r="I125" s="21"/>
      <c r="J125" s="21">
        <v>112</v>
      </c>
      <c r="K125" s="24"/>
      <c r="L125" s="29"/>
      <c r="M125" s="46">
        <f>AVERAGE(G125:L125)</f>
        <v>130.5</v>
      </c>
      <c r="N125" s="47">
        <v>45848</v>
      </c>
      <c r="O125" s="21">
        <v>2</v>
      </c>
      <c r="P125" s="21">
        <v>0</v>
      </c>
      <c r="Q125" s="21">
        <v>295</v>
      </c>
      <c r="R125" s="21"/>
      <c r="S125" s="21"/>
      <c r="T125" s="21">
        <v>257</v>
      </c>
      <c r="U125" s="21"/>
      <c r="V125" s="21"/>
      <c r="W125" s="22">
        <f>AVERAGE(Q125:V125)</f>
        <v>276</v>
      </c>
    </row>
    <row r="126" spans="1:23" ht="15.75" x14ac:dyDescent="0.25">
      <c r="A126" s="6">
        <v>2</v>
      </c>
      <c r="B126" s="21"/>
      <c r="C126" s="13">
        <v>45889</v>
      </c>
      <c r="D126" s="21"/>
      <c r="E126" s="21"/>
      <c r="F126" s="21"/>
      <c r="G126" s="21"/>
      <c r="H126" s="21"/>
      <c r="I126" s="21"/>
      <c r="J126" s="21"/>
      <c r="K126" s="24"/>
      <c r="L126" s="29"/>
      <c r="M126" s="45"/>
      <c r="N126" s="26"/>
      <c r="O126" s="21"/>
      <c r="P126" s="21"/>
      <c r="Q126" s="21"/>
      <c r="R126" s="21"/>
      <c r="S126" s="21"/>
      <c r="T126" s="21"/>
      <c r="U126" s="21"/>
      <c r="V126" s="21"/>
      <c r="W126" s="22"/>
    </row>
    <row r="127" spans="1:23" ht="15.75" x14ac:dyDescent="0.25">
      <c r="A127" s="6">
        <v>3</v>
      </c>
      <c r="B127" s="8"/>
      <c r="C127" s="8"/>
      <c r="D127" s="21"/>
      <c r="E127" s="21"/>
      <c r="F127" s="21"/>
      <c r="G127" s="21"/>
      <c r="H127" s="21"/>
      <c r="I127" s="21"/>
      <c r="J127" s="21"/>
      <c r="K127" s="21"/>
      <c r="L127" s="44"/>
      <c r="M127" s="44"/>
      <c r="N127" s="21"/>
      <c r="O127" s="21"/>
      <c r="P127" s="21"/>
      <c r="Q127" s="21"/>
      <c r="R127" s="21"/>
      <c r="S127" s="21"/>
      <c r="T127" s="21"/>
      <c r="U127" s="21"/>
      <c r="V127" s="21"/>
      <c r="W127" s="22"/>
    </row>
    <row r="128" spans="1:23" ht="15.75" x14ac:dyDescent="0.25">
      <c r="A128" s="5">
        <v>4</v>
      </c>
      <c r="B128" s="8"/>
      <c r="C128" s="8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2"/>
    </row>
    <row r="129" spans="1:23" ht="15.75" x14ac:dyDescent="0.25">
      <c r="A129" s="5">
        <v>5</v>
      </c>
      <c r="B129" s="8"/>
      <c r="C129" s="8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2"/>
    </row>
    <row r="130" spans="1:23" ht="16.5" thickBot="1" x14ac:dyDescent="0.3">
      <c r="A130" s="7">
        <v>6</v>
      </c>
      <c r="B130" s="10"/>
      <c r="C130" s="10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9"/>
    </row>
  </sheetData>
  <mergeCells count="264">
    <mergeCell ref="W123:W124"/>
    <mergeCell ref="A122:B122"/>
    <mergeCell ref="C122:N122"/>
    <mergeCell ref="O122:P122"/>
    <mergeCell ref="Q122:W122"/>
    <mergeCell ref="A123:A124"/>
    <mergeCell ref="B123:B124"/>
    <mergeCell ref="C123:C124"/>
    <mergeCell ref="D123:D124"/>
    <mergeCell ref="E123:E124"/>
    <mergeCell ref="F123:F124"/>
    <mergeCell ref="G123:L123"/>
    <mergeCell ref="M123:M124"/>
    <mergeCell ref="N123:N124"/>
    <mergeCell ref="O123:O124"/>
    <mergeCell ref="P123:P124"/>
    <mergeCell ref="Q123:V123"/>
    <mergeCell ref="I121:N121"/>
    <mergeCell ref="O121:P121"/>
    <mergeCell ref="Q121:W121"/>
    <mergeCell ref="A110:B110"/>
    <mergeCell ref="C110:N110"/>
    <mergeCell ref="O110:P110"/>
    <mergeCell ref="Q110:W110"/>
    <mergeCell ref="A111:A112"/>
    <mergeCell ref="B111:B112"/>
    <mergeCell ref="C111:C112"/>
    <mergeCell ref="D111:D112"/>
    <mergeCell ref="E111:E112"/>
    <mergeCell ref="F111:F112"/>
    <mergeCell ref="G111:L111"/>
    <mergeCell ref="M111:M112"/>
    <mergeCell ref="N111:N112"/>
    <mergeCell ref="O111:O112"/>
    <mergeCell ref="P111:P112"/>
    <mergeCell ref="Q111:V111"/>
    <mergeCell ref="C121:D121"/>
    <mergeCell ref="E121:F121"/>
    <mergeCell ref="W111:W112"/>
    <mergeCell ref="A121:B121"/>
    <mergeCell ref="G121:H121"/>
    <mergeCell ref="W99:W100"/>
    <mergeCell ref="A109:B109"/>
    <mergeCell ref="G109:H109"/>
    <mergeCell ref="I109:N109"/>
    <mergeCell ref="O109:P109"/>
    <mergeCell ref="Q109:W109"/>
    <mergeCell ref="A98:B98"/>
    <mergeCell ref="C98:N98"/>
    <mergeCell ref="O98:P98"/>
    <mergeCell ref="Q98:W98"/>
    <mergeCell ref="A99:A100"/>
    <mergeCell ref="B99:B100"/>
    <mergeCell ref="C99:C100"/>
    <mergeCell ref="D99:D100"/>
    <mergeCell ref="E99:E100"/>
    <mergeCell ref="F99:F100"/>
    <mergeCell ref="G99:L99"/>
    <mergeCell ref="M99:M100"/>
    <mergeCell ref="N99:N100"/>
    <mergeCell ref="O99:O100"/>
    <mergeCell ref="P99:P100"/>
    <mergeCell ref="Q99:V99"/>
    <mergeCell ref="C109:D109"/>
    <mergeCell ref="E109:F109"/>
    <mergeCell ref="W87:W88"/>
    <mergeCell ref="A97:B97"/>
    <mergeCell ref="G97:H97"/>
    <mergeCell ref="I97:N97"/>
    <mergeCell ref="O97:P97"/>
    <mergeCell ref="Q97:W97"/>
    <mergeCell ref="A86:B86"/>
    <mergeCell ref="C86:N86"/>
    <mergeCell ref="O86:P86"/>
    <mergeCell ref="Q86:W86"/>
    <mergeCell ref="A87:A88"/>
    <mergeCell ref="B87:B88"/>
    <mergeCell ref="C87:C88"/>
    <mergeCell ref="D87:D88"/>
    <mergeCell ref="E87:E88"/>
    <mergeCell ref="F87:F88"/>
    <mergeCell ref="G87:L87"/>
    <mergeCell ref="M87:M88"/>
    <mergeCell ref="N87:N88"/>
    <mergeCell ref="O87:O88"/>
    <mergeCell ref="P87:P88"/>
    <mergeCell ref="Q87:V87"/>
    <mergeCell ref="C97:D97"/>
    <mergeCell ref="E97:F97"/>
    <mergeCell ref="W75:W76"/>
    <mergeCell ref="A85:B85"/>
    <mergeCell ref="G85:H85"/>
    <mergeCell ref="I85:N85"/>
    <mergeCell ref="O85:P85"/>
    <mergeCell ref="Q85:W85"/>
    <mergeCell ref="A74:B74"/>
    <mergeCell ref="C74:N74"/>
    <mergeCell ref="O74:P74"/>
    <mergeCell ref="Q74:W74"/>
    <mergeCell ref="A75:A76"/>
    <mergeCell ref="B75:B76"/>
    <mergeCell ref="C75:C76"/>
    <mergeCell ref="D75:D76"/>
    <mergeCell ref="E75:E76"/>
    <mergeCell ref="F75:F76"/>
    <mergeCell ref="G75:L75"/>
    <mergeCell ref="M75:M76"/>
    <mergeCell ref="N75:N76"/>
    <mergeCell ref="O75:O76"/>
    <mergeCell ref="P75:P76"/>
    <mergeCell ref="Q75:V75"/>
    <mergeCell ref="C85:D85"/>
    <mergeCell ref="E85:F85"/>
    <mergeCell ref="W63:W64"/>
    <mergeCell ref="A73:B73"/>
    <mergeCell ref="G73:H73"/>
    <mergeCell ref="I73:N73"/>
    <mergeCell ref="O73:P73"/>
    <mergeCell ref="Q73:W73"/>
    <mergeCell ref="A62:B62"/>
    <mergeCell ref="C62:N62"/>
    <mergeCell ref="O62:P62"/>
    <mergeCell ref="Q62:W62"/>
    <mergeCell ref="A63:A64"/>
    <mergeCell ref="B63:B64"/>
    <mergeCell ref="C63:C64"/>
    <mergeCell ref="D63:D64"/>
    <mergeCell ref="E63:E64"/>
    <mergeCell ref="F63:F64"/>
    <mergeCell ref="G63:L63"/>
    <mergeCell ref="M63:M64"/>
    <mergeCell ref="N63:N64"/>
    <mergeCell ref="O63:O64"/>
    <mergeCell ref="P63:P64"/>
    <mergeCell ref="Q63:V63"/>
    <mergeCell ref="C73:D73"/>
    <mergeCell ref="E73:F73"/>
    <mergeCell ref="P51:P52"/>
    <mergeCell ref="Q51:V51"/>
    <mergeCell ref="W51:W52"/>
    <mergeCell ref="A61:B61"/>
    <mergeCell ref="G61:H61"/>
    <mergeCell ref="I61:N61"/>
    <mergeCell ref="O61:P61"/>
    <mergeCell ref="Q61:W61"/>
    <mergeCell ref="F51:F52"/>
    <mergeCell ref="G51:L51"/>
    <mergeCell ref="M51:M52"/>
    <mergeCell ref="N51:N52"/>
    <mergeCell ref="O51:O52"/>
    <mergeCell ref="A51:A52"/>
    <mergeCell ref="B51:B52"/>
    <mergeCell ref="C51:C52"/>
    <mergeCell ref="D51:D52"/>
    <mergeCell ref="E51:E52"/>
    <mergeCell ref="C61:D61"/>
    <mergeCell ref="E61:F61"/>
    <mergeCell ref="Q49:W49"/>
    <mergeCell ref="A50:B50"/>
    <mergeCell ref="C50:N50"/>
    <mergeCell ref="O50:P50"/>
    <mergeCell ref="Q50:W50"/>
    <mergeCell ref="A49:B49"/>
    <mergeCell ref="G49:H49"/>
    <mergeCell ref="I49:N49"/>
    <mergeCell ref="O49:P49"/>
    <mergeCell ref="C49:D49"/>
    <mergeCell ref="E49:F49"/>
    <mergeCell ref="Q2:W2"/>
    <mergeCell ref="A2:B2"/>
    <mergeCell ref="G2:H2"/>
    <mergeCell ref="I2:N2"/>
    <mergeCell ref="O2:P2"/>
    <mergeCell ref="O3:P3"/>
    <mergeCell ref="Q3:W3"/>
    <mergeCell ref="A4:A5"/>
    <mergeCell ref="B4:B5"/>
    <mergeCell ref="C4:C5"/>
    <mergeCell ref="D4:D5"/>
    <mergeCell ref="E4:E5"/>
    <mergeCell ref="F4:F5"/>
    <mergeCell ref="W4:W5"/>
    <mergeCell ref="C2:D2"/>
    <mergeCell ref="E2:F2"/>
    <mergeCell ref="A13:B13"/>
    <mergeCell ref="G13:H13"/>
    <mergeCell ref="I13:N13"/>
    <mergeCell ref="A3:B3"/>
    <mergeCell ref="C3:N3"/>
    <mergeCell ref="O13:P13"/>
    <mergeCell ref="Q13:W13"/>
    <mergeCell ref="G4:L4"/>
    <mergeCell ref="M4:M5"/>
    <mergeCell ref="N4:N5"/>
    <mergeCell ref="O4:O5"/>
    <mergeCell ref="P4:P5"/>
    <mergeCell ref="Q4:V4"/>
    <mergeCell ref="C13:D13"/>
    <mergeCell ref="E13:F13"/>
    <mergeCell ref="A25:B25"/>
    <mergeCell ref="G25:H25"/>
    <mergeCell ref="I25:N25"/>
    <mergeCell ref="A14:B14"/>
    <mergeCell ref="C14:N14"/>
    <mergeCell ref="O25:P25"/>
    <mergeCell ref="Q25:W25"/>
    <mergeCell ref="G15:L15"/>
    <mergeCell ref="M15:M16"/>
    <mergeCell ref="N15:N16"/>
    <mergeCell ref="O15:O16"/>
    <mergeCell ref="P15:P16"/>
    <mergeCell ref="Q15:V15"/>
    <mergeCell ref="O14:P14"/>
    <mergeCell ref="Q14:W14"/>
    <mergeCell ref="A15:A16"/>
    <mergeCell ref="B15:B16"/>
    <mergeCell ref="C15:C16"/>
    <mergeCell ref="D15:D16"/>
    <mergeCell ref="E15:E16"/>
    <mergeCell ref="F15:F16"/>
    <mergeCell ref="W15:W16"/>
    <mergeCell ref="C25:D25"/>
    <mergeCell ref="E25:F25"/>
    <mergeCell ref="A37:B37"/>
    <mergeCell ref="G37:H37"/>
    <mergeCell ref="I37:N37"/>
    <mergeCell ref="A26:B26"/>
    <mergeCell ref="C26:N26"/>
    <mergeCell ref="O37:P37"/>
    <mergeCell ref="Q37:W37"/>
    <mergeCell ref="G27:L27"/>
    <mergeCell ref="M27:M28"/>
    <mergeCell ref="N27:N28"/>
    <mergeCell ref="O27:O28"/>
    <mergeCell ref="P27:P28"/>
    <mergeCell ref="Q27:V27"/>
    <mergeCell ref="O26:P26"/>
    <mergeCell ref="Q26:W26"/>
    <mergeCell ref="A27:A28"/>
    <mergeCell ref="B27:B28"/>
    <mergeCell ref="C27:C28"/>
    <mergeCell ref="D27:D28"/>
    <mergeCell ref="E27:E28"/>
    <mergeCell ref="F27:F28"/>
    <mergeCell ref="W27:W28"/>
    <mergeCell ref="C37:D37"/>
    <mergeCell ref="E37:F37"/>
    <mergeCell ref="N39:N40"/>
    <mergeCell ref="O39:O40"/>
    <mergeCell ref="A38:B38"/>
    <mergeCell ref="C38:N38"/>
    <mergeCell ref="O38:P38"/>
    <mergeCell ref="Q38:W38"/>
    <mergeCell ref="A39:A40"/>
    <mergeCell ref="B39:B40"/>
    <mergeCell ref="C39:C40"/>
    <mergeCell ref="D39:D40"/>
    <mergeCell ref="E39:E40"/>
    <mergeCell ref="F39:F40"/>
    <mergeCell ref="W39:W40"/>
    <mergeCell ref="P39:P40"/>
    <mergeCell ref="Q39:V39"/>
    <mergeCell ref="G39:L39"/>
    <mergeCell ref="M39:M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077D-856A-4FEE-8DC1-0D21056FA89D}">
  <dimension ref="A1:W238"/>
  <sheetViews>
    <sheetView topLeftCell="A172" workbookViewId="0">
      <selection activeCell="C229" sqref="C229:D229"/>
    </sheetView>
  </sheetViews>
  <sheetFormatPr baseColWidth="10" defaultRowHeight="15" x14ac:dyDescent="0.25"/>
  <cols>
    <col min="3" max="4" width="12.7109375" bestFit="1" customWidth="1"/>
    <col min="5" max="5" width="9.28515625" customWidth="1"/>
    <col min="7" max="7" width="6.140625" customWidth="1"/>
    <col min="8" max="8" width="5.42578125" customWidth="1"/>
    <col min="9" max="9" width="4.85546875" customWidth="1"/>
    <col min="10" max="10" width="5.28515625" customWidth="1"/>
    <col min="11" max="11" width="4.85546875" customWidth="1"/>
    <col min="12" max="12" width="5.5703125" customWidth="1"/>
    <col min="13" max="13" width="9.7109375" customWidth="1"/>
    <col min="14" max="14" width="12.42578125" customWidth="1"/>
    <col min="15" max="15" width="8.7109375" customWidth="1"/>
    <col min="17" max="17" width="5.7109375" customWidth="1"/>
    <col min="18" max="18" width="5.42578125" customWidth="1"/>
    <col min="19" max="20" width="5.85546875" customWidth="1"/>
    <col min="21" max="22" width="5.28515625" customWidth="1"/>
  </cols>
  <sheetData>
    <row r="1" spans="1:23" ht="15.75" x14ac:dyDescent="0.25">
      <c r="A1" s="100" t="s">
        <v>260</v>
      </c>
      <c r="B1" s="101"/>
      <c r="C1" s="111" t="s">
        <v>268</v>
      </c>
      <c r="D1" s="112"/>
      <c r="E1" s="111" t="s">
        <v>410</v>
      </c>
      <c r="F1" s="112"/>
      <c r="G1" s="101" t="s">
        <v>4</v>
      </c>
      <c r="H1" s="101"/>
      <c r="I1" s="102" t="s">
        <v>135</v>
      </c>
      <c r="J1" s="102"/>
      <c r="K1" s="102"/>
      <c r="L1" s="102"/>
      <c r="M1" s="102"/>
      <c r="N1" s="102"/>
      <c r="O1" s="101" t="s">
        <v>6</v>
      </c>
      <c r="P1" s="101"/>
      <c r="Q1" s="103"/>
      <c r="R1" s="104"/>
      <c r="S1" s="104"/>
      <c r="T1" s="104"/>
      <c r="U1" s="104"/>
      <c r="V1" s="104"/>
      <c r="W1" s="105"/>
    </row>
    <row r="2" spans="1:23" ht="15.75" x14ac:dyDescent="0.25">
      <c r="A2" s="106" t="s">
        <v>7</v>
      </c>
      <c r="B2" s="107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7"/>
      <c r="R2" s="107"/>
      <c r="S2" s="107"/>
      <c r="T2" s="107"/>
      <c r="U2" s="107"/>
      <c r="V2" s="107"/>
      <c r="W2" s="110"/>
    </row>
    <row r="3" spans="1:23" x14ac:dyDescent="0.25">
      <c r="A3" s="113" t="s">
        <v>8</v>
      </c>
      <c r="B3" s="114" t="s">
        <v>9</v>
      </c>
      <c r="C3" s="114" t="s">
        <v>10</v>
      </c>
      <c r="D3" s="114" t="s">
        <v>11</v>
      </c>
      <c r="E3" s="114" t="s">
        <v>12</v>
      </c>
      <c r="F3" s="114" t="s">
        <v>13</v>
      </c>
      <c r="G3" s="114" t="s">
        <v>14</v>
      </c>
      <c r="H3" s="114"/>
      <c r="I3" s="114"/>
      <c r="J3" s="114"/>
      <c r="K3" s="114"/>
      <c r="L3" s="114"/>
      <c r="M3" s="114" t="s">
        <v>15</v>
      </c>
      <c r="N3" s="114" t="s">
        <v>16</v>
      </c>
      <c r="O3" s="114" t="s">
        <v>17</v>
      </c>
      <c r="P3" s="114" t="s">
        <v>18</v>
      </c>
      <c r="Q3" s="114" t="s">
        <v>19</v>
      </c>
      <c r="R3" s="114"/>
      <c r="S3" s="114"/>
      <c r="T3" s="114"/>
      <c r="U3" s="114"/>
      <c r="V3" s="114"/>
      <c r="W3" s="115" t="s">
        <v>20</v>
      </c>
    </row>
    <row r="4" spans="1:23" x14ac:dyDescent="0.25">
      <c r="A4" s="113"/>
      <c r="B4" s="114"/>
      <c r="C4" s="114"/>
      <c r="D4" s="114"/>
      <c r="E4" s="114"/>
      <c r="F4" s="114"/>
      <c r="G4" s="31" t="s">
        <v>21</v>
      </c>
      <c r="H4" s="31" t="s">
        <v>21</v>
      </c>
      <c r="I4" s="31" t="s">
        <v>21</v>
      </c>
      <c r="J4" s="31" t="s">
        <v>22</v>
      </c>
      <c r="K4" s="31" t="s">
        <v>22</v>
      </c>
      <c r="L4" s="32" t="s">
        <v>22</v>
      </c>
      <c r="M4" s="138"/>
      <c r="N4" s="114"/>
      <c r="O4" s="114"/>
      <c r="P4" s="114"/>
      <c r="Q4" s="31" t="s">
        <v>21</v>
      </c>
      <c r="R4" s="31" t="s">
        <v>21</v>
      </c>
      <c r="S4" s="31" t="s">
        <v>21</v>
      </c>
      <c r="T4" s="31" t="s">
        <v>22</v>
      </c>
      <c r="U4" s="31" t="s">
        <v>22</v>
      </c>
      <c r="V4" s="31" t="s">
        <v>22</v>
      </c>
      <c r="W4" s="115"/>
    </row>
    <row r="5" spans="1:23" ht="15.75" x14ac:dyDescent="0.25">
      <c r="A5" s="5">
        <v>1</v>
      </c>
      <c r="B5" s="21" t="s">
        <v>234</v>
      </c>
      <c r="C5" s="20">
        <v>45917</v>
      </c>
      <c r="D5" s="20">
        <v>45986</v>
      </c>
      <c r="E5" s="21">
        <v>2</v>
      </c>
      <c r="F5" s="21">
        <v>0</v>
      </c>
      <c r="G5" s="21">
        <v>168</v>
      </c>
      <c r="H5" s="21">
        <v>141</v>
      </c>
      <c r="I5" s="21"/>
      <c r="J5" s="21"/>
      <c r="K5" s="24"/>
      <c r="L5" s="58"/>
      <c r="M5" s="88">
        <f>AVERAGE(G5:L5)</f>
        <v>154.5</v>
      </c>
      <c r="N5" s="70">
        <v>45663</v>
      </c>
      <c r="O5" s="21">
        <v>1</v>
      </c>
      <c r="P5" s="21">
        <v>0</v>
      </c>
      <c r="Q5" s="21">
        <v>332</v>
      </c>
      <c r="R5" s="21"/>
      <c r="S5" s="21"/>
      <c r="T5" s="21"/>
      <c r="U5" s="21"/>
      <c r="V5" s="21"/>
      <c r="W5" s="22">
        <v>332</v>
      </c>
    </row>
    <row r="6" spans="1:23" ht="15.75" x14ac:dyDescent="0.25">
      <c r="A6" s="6">
        <v>2</v>
      </c>
      <c r="B6" s="21" t="s">
        <v>234</v>
      </c>
      <c r="C6" s="13">
        <v>46039</v>
      </c>
      <c r="D6" s="13">
        <v>46120</v>
      </c>
      <c r="E6" s="21">
        <v>2</v>
      </c>
      <c r="F6" s="21">
        <v>0</v>
      </c>
      <c r="G6" s="21"/>
      <c r="H6" s="21"/>
      <c r="I6" s="21"/>
      <c r="J6" s="21">
        <v>153</v>
      </c>
      <c r="K6" s="24">
        <v>168</v>
      </c>
      <c r="L6" s="58"/>
      <c r="M6" s="88">
        <f>AVERAGE(G6:L6)</f>
        <v>160.5</v>
      </c>
      <c r="N6" s="26">
        <v>46139</v>
      </c>
      <c r="O6" s="21">
        <v>2</v>
      </c>
      <c r="P6" s="21">
        <v>0</v>
      </c>
      <c r="Q6" s="21"/>
      <c r="R6" s="21"/>
      <c r="S6" s="21"/>
      <c r="T6" s="21">
        <v>295</v>
      </c>
      <c r="U6" s="21">
        <v>280</v>
      </c>
      <c r="V6" s="21"/>
      <c r="W6" s="22">
        <f>AVERAGE(Q6:V6)</f>
        <v>287.5</v>
      </c>
    </row>
    <row r="7" spans="1:23" ht="15.75" x14ac:dyDescent="0.25">
      <c r="A7" s="6">
        <v>3</v>
      </c>
      <c r="B7" s="8"/>
      <c r="C7" s="8"/>
      <c r="D7" s="8"/>
      <c r="E7" s="21"/>
      <c r="F7" s="21"/>
      <c r="G7" s="21"/>
      <c r="H7" s="21"/>
      <c r="I7" s="21"/>
      <c r="J7" s="21"/>
      <c r="K7" s="21"/>
      <c r="L7" s="44"/>
      <c r="M7" s="84"/>
      <c r="N7" s="21"/>
      <c r="O7" s="21"/>
      <c r="P7" s="21"/>
      <c r="Q7" s="21"/>
      <c r="R7" s="21"/>
      <c r="S7" s="21"/>
      <c r="T7" s="21"/>
      <c r="U7" s="21"/>
      <c r="V7" s="21"/>
      <c r="W7" s="22"/>
    </row>
    <row r="8" spans="1:23" ht="15.75" x14ac:dyDescent="0.25">
      <c r="A8" s="5">
        <v>4</v>
      </c>
      <c r="B8" s="8"/>
      <c r="C8" s="8"/>
      <c r="D8" s="8"/>
      <c r="E8" s="21"/>
      <c r="F8" s="21"/>
      <c r="G8" s="21"/>
      <c r="H8" s="21"/>
      <c r="I8" s="21"/>
      <c r="J8" s="21"/>
      <c r="K8" s="21"/>
      <c r="L8" s="21"/>
      <c r="M8" s="85"/>
      <c r="N8" s="21"/>
      <c r="O8" s="21"/>
      <c r="P8" s="21"/>
      <c r="Q8" s="21"/>
      <c r="R8" s="21"/>
      <c r="S8" s="21"/>
      <c r="T8" s="21"/>
      <c r="U8" s="21"/>
      <c r="V8" s="21"/>
      <c r="W8" s="22"/>
    </row>
    <row r="9" spans="1:23" ht="15.75" x14ac:dyDescent="0.25">
      <c r="A9" s="5">
        <v>5</v>
      </c>
      <c r="B9" s="8"/>
      <c r="C9" s="8"/>
      <c r="D9" s="8"/>
      <c r="E9" s="21"/>
      <c r="F9" s="21"/>
      <c r="G9" s="21"/>
      <c r="H9" s="21"/>
      <c r="I9" s="21"/>
      <c r="J9" s="21"/>
      <c r="K9" s="21"/>
      <c r="L9" s="21"/>
      <c r="M9" s="85"/>
      <c r="N9" s="21"/>
      <c r="O9" s="21"/>
      <c r="P9" s="21"/>
      <c r="Q9" s="21"/>
      <c r="R9" s="21"/>
      <c r="S9" s="21"/>
      <c r="T9" s="21"/>
      <c r="U9" s="21"/>
      <c r="V9" s="21"/>
      <c r="W9" s="22"/>
    </row>
    <row r="10" spans="1:23" ht="16.5" thickBot="1" x14ac:dyDescent="0.3">
      <c r="A10" s="7">
        <v>6</v>
      </c>
      <c r="B10" s="10"/>
      <c r="C10" s="10"/>
      <c r="D10" s="10"/>
      <c r="E10" s="37"/>
      <c r="F10" s="37"/>
      <c r="G10" s="37"/>
      <c r="H10" s="37"/>
      <c r="I10" s="37"/>
      <c r="J10" s="37"/>
      <c r="K10" s="37"/>
      <c r="L10" s="37"/>
      <c r="M10" s="86"/>
      <c r="N10" s="37"/>
      <c r="O10" s="37"/>
      <c r="P10" s="37"/>
      <c r="Q10" s="37"/>
      <c r="R10" s="37"/>
      <c r="S10" s="37"/>
      <c r="T10" s="37"/>
      <c r="U10" s="37"/>
      <c r="V10" s="37"/>
      <c r="W10" s="39"/>
    </row>
    <row r="11" spans="1:23" x14ac:dyDescent="0.25">
      <c r="M11" s="87"/>
    </row>
    <row r="12" spans="1:23" ht="15.75" thickBot="1" x14ac:dyDescent="0.3"/>
    <row r="13" spans="1:23" ht="15.75" x14ac:dyDescent="0.25">
      <c r="A13" s="100" t="s">
        <v>260</v>
      </c>
      <c r="B13" s="101"/>
      <c r="C13" s="194" t="s">
        <v>269</v>
      </c>
      <c r="D13" s="195"/>
      <c r="E13" s="111" t="s">
        <v>384</v>
      </c>
      <c r="F13" s="112"/>
      <c r="G13" s="101" t="s">
        <v>4</v>
      </c>
      <c r="H13" s="101"/>
      <c r="I13" s="102" t="s">
        <v>135</v>
      </c>
      <c r="J13" s="102"/>
      <c r="K13" s="102"/>
      <c r="L13" s="102"/>
      <c r="M13" s="102"/>
      <c r="N13" s="102"/>
      <c r="O13" s="101" t="s">
        <v>6</v>
      </c>
      <c r="P13" s="101"/>
      <c r="Q13" s="103"/>
      <c r="R13" s="104"/>
      <c r="S13" s="104"/>
      <c r="T13" s="104"/>
      <c r="U13" s="104"/>
      <c r="V13" s="104"/>
      <c r="W13" s="105"/>
    </row>
    <row r="14" spans="1:23" ht="15.75" x14ac:dyDescent="0.25">
      <c r="A14" s="106" t="s">
        <v>7</v>
      </c>
      <c r="B14" s="107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7"/>
      <c r="R14" s="107"/>
      <c r="S14" s="107"/>
      <c r="T14" s="107"/>
      <c r="U14" s="107"/>
      <c r="V14" s="107"/>
      <c r="W14" s="110"/>
    </row>
    <row r="15" spans="1:23" x14ac:dyDescent="0.25">
      <c r="A15" s="113" t="s">
        <v>8</v>
      </c>
      <c r="B15" s="114" t="s">
        <v>9</v>
      </c>
      <c r="C15" s="114" t="s">
        <v>10</v>
      </c>
      <c r="D15" s="114" t="s">
        <v>11</v>
      </c>
      <c r="E15" s="114" t="s">
        <v>12</v>
      </c>
      <c r="F15" s="114" t="s">
        <v>13</v>
      </c>
      <c r="G15" s="114" t="s">
        <v>14</v>
      </c>
      <c r="H15" s="114"/>
      <c r="I15" s="114"/>
      <c r="J15" s="114"/>
      <c r="K15" s="114"/>
      <c r="L15" s="114"/>
      <c r="M15" s="114" t="s">
        <v>15</v>
      </c>
      <c r="N15" s="114" t="s">
        <v>16</v>
      </c>
      <c r="O15" s="114" t="s">
        <v>17</v>
      </c>
      <c r="P15" s="114" t="s">
        <v>18</v>
      </c>
      <c r="Q15" s="114" t="s">
        <v>19</v>
      </c>
      <c r="R15" s="114"/>
      <c r="S15" s="114"/>
      <c r="T15" s="114"/>
      <c r="U15" s="114"/>
      <c r="V15" s="114"/>
      <c r="W15" s="115" t="s">
        <v>20</v>
      </c>
    </row>
    <row r="16" spans="1:23" x14ac:dyDescent="0.25">
      <c r="A16" s="113"/>
      <c r="B16" s="114"/>
      <c r="C16" s="114"/>
      <c r="D16" s="114"/>
      <c r="E16" s="114"/>
      <c r="F16" s="114"/>
      <c r="G16" s="31" t="s">
        <v>21</v>
      </c>
      <c r="H16" s="31" t="s">
        <v>21</v>
      </c>
      <c r="I16" s="31" t="s">
        <v>21</v>
      </c>
      <c r="J16" s="31" t="s">
        <v>22</v>
      </c>
      <c r="K16" s="31" t="s">
        <v>22</v>
      </c>
      <c r="L16" s="32" t="s">
        <v>22</v>
      </c>
      <c r="M16" s="138"/>
      <c r="N16" s="114"/>
      <c r="O16" s="114"/>
      <c r="P16" s="114"/>
      <c r="Q16" s="31" t="s">
        <v>21</v>
      </c>
      <c r="R16" s="31" t="s">
        <v>21</v>
      </c>
      <c r="S16" s="31" t="s">
        <v>21</v>
      </c>
      <c r="T16" s="31" t="s">
        <v>22</v>
      </c>
      <c r="U16" s="31" t="s">
        <v>22</v>
      </c>
      <c r="V16" s="31" t="s">
        <v>22</v>
      </c>
      <c r="W16" s="115"/>
    </row>
    <row r="17" spans="1:23" ht="15.75" x14ac:dyDescent="0.25">
      <c r="A17" s="5">
        <v>1</v>
      </c>
      <c r="B17" s="21" t="s">
        <v>234</v>
      </c>
      <c r="C17" s="20">
        <v>45917</v>
      </c>
      <c r="D17" s="20">
        <v>46015</v>
      </c>
      <c r="E17" s="21">
        <v>3</v>
      </c>
      <c r="F17" s="21">
        <v>0</v>
      </c>
      <c r="G17" s="21">
        <v>109</v>
      </c>
      <c r="H17" s="21">
        <v>115</v>
      </c>
      <c r="I17" s="21"/>
      <c r="J17" s="21">
        <v>118</v>
      </c>
      <c r="K17" s="24"/>
      <c r="L17" s="58"/>
      <c r="M17" s="31">
        <f>AVERAGE(G17:L17)</f>
        <v>114</v>
      </c>
      <c r="N17" s="70">
        <v>46028</v>
      </c>
      <c r="O17" s="21">
        <v>3</v>
      </c>
      <c r="P17" s="21">
        <v>0</v>
      </c>
      <c r="Q17" s="21">
        <v>124</v>
      </c>
      <c r="R17" s="21">
        <v>130</v>
      </c>
      <c r="S17" s="21"/>
      <c r="T17" s="21">
        <v>122</v>
      </c>
      <c r="U17" s="21"/>
      <c r="V17" s="21"/>
      <c r="W17" s="40">
        <f>AVERAGE(Q17:V17)</f>
        <v>125.33333333333333</v>
      </c>
    </row>
    <row r="18" spans="1:23" ht="15.75" x14ac:dyDescent="0.25">
      <c r="A18" s="6">
        <v>2</v>
      </c>
      <c r="B18" s="21" t="s">
        <v>239</v>
      </c>
      <c r="C18" s="13">
        <v>46070</v>
      </c>
      <c r="D18" s="13">
        <v>46108</v>
      </c>
      <c r="E18" s="21">
        <v>3</v>
      </c>
      <c r="F18" s="21">
        <v>0</v>
      </c>
      <c r="G18" s="21">
        <v>109</v>
      </c>
      <c r="H18" s="21"/>
      <c r="I18" s="21"/>
      <c r="J18" s="21">
        <v>115</v>
      </c>
      <c r="K18" s="24">
        <v>120</v>
      </c>
      <c r="L18" s="58"/>
      <c r="M18" s="74">
        <f>AVERAGE(G18:L18)</f>
        <v>114.66666666666667</v>
      </c>
      <c r="N18" s="26">
        <v>46150</v>
      </c>
      <c r="O18" s="21">
        <v>3</v>
      </c>
      <c r="P18" s="21">
        <v>0</v>
      </c>
      <c r="Q18" s="21">
        <v>215</v>
      </c>
      <c r="R18" s="21"/>
      <c r="S18" s="21"/>
      <c r="T18" s="21">
        <v>200</v>
      </c>
      <c r="U18" s="21">
        <v>215</v>
      </c>
      <c r="V18" s="21"/>
      <c r="W18" s="22">
        <f>AVERAGE(Q18:V18)</f>
        <v>210</v>
      </c>
    </row>
    <row r="19" spans="1:23" ht="15.75" x14ac:dyDescent="0.25">
      <c r="A19" s="6">
        <v>3</v>
      </c>
      <c r="B19" s="8"/>
      <c r="C19" s="8"/>
      <c r="D19" s="8"/>
      <c r="E19" s="21"/>
      <c r="F19" s="21"/>
      <c r="G19" s="21"/>
      <c r="H19" s="21"/>
      <c r="I19" s="21"/>
      <c r="J19" s="21"/>
      <c r="K19" s="21"/>
      <c r="L19" s="44"/>
      <c r="M19" s="44"/>
      <c r="N19" s="21"/>
      <c r="O19" s="21"/>
      <c r="P19" s="21"/>
      <c r="Q19" s="21"/>
      <c r="R19" s="21"/>
      <c r="S19" s="21"/>
      <c r="T19" s="21"/>
      <c r="U19" s="21"/>
      <c r="V19" s="21"/>
      <c r="W19" s="22"/>
    </row>
    <row r="20" spans="1:23" ht="15.75" x14ac:dyDescent="0.25">
      <c r="A20" s="5">
        <v>4</v>
      </c>
      <c r="B20" s="8"/>
      <c r="C20" s="8"/>
      <c r="D20" s="8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2"/>
    </row>
    <row r="21" spans="1:23" ht="15.75" x14ac:dyDescent="0.25">
      <c r="A21" s="5">
        <v>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ht="16.5" thickBot="1" x14ac:dyDescent="0.3">
      <c r="A22" s="7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4" spans="1:23" ht="15.75" thickBot="1" x14ac:dyDescent="0.3"/>
    <row r="25" spans="1:23" ht="15.75" x14ac:dyDescent="0.25">
      <c r="A25" s="100" t="s">
        <v>260</v>
      </c>
      <c r="B25" s="101"/>
      <c r="C25" s="178" t="s">
        <v>270</v>
      </c>
      <c r="D25" s="179"/>
      <c r="E25" s="111" t="s">
        <v>414</v>
      </c>
      <c r="F25" s="112"/>
      <c r="G25" s="101" t="s">
        <v>4</v>
      </c>
      <c r="H25" s="101"/>
      <c r="I25" s="102" t="s">
        <v>135</v>
      </c>
      <c r="J25" s="102"/>
      <c r="K25" s="102"/>
      <c r="L25" s="102"/>
      <c r="M25" s="102"/>
      <c r="N25" s="102"/>
      <c r="O25" s="101" t="s">
        <v>6</v>
      </c>
      <c r="P25" s="101"/>
      <c r="Q25" s="103"/>
      <c r="R25" s="104"/>
      <c r="S25" s="104"/>
      <c r="T25" s="104"/>
      <c r="U25" s="104"/>
      <c r="V25" s="104"/>
      <c r="W25" s="105"/>
    </row>
    <row r="26" spans="1:23" ht="15.75" x14ac:dyDescent="0.25">
      <c r="A26" s="106" t="s">
        <v>7</v>
      </c>
      <c r="B26" s="107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7"/>
      <c r="R26" s="107"/>
      <c r="S26" s="107"/>
      <c r="T26" s="107"/>
      <c r="U26" s="107"/>
      <c r="V26" s="107"/>
      <c r="W26" s="110"/>
    </row>
    <row r="27" spans="1:23" x14ac:dyDescent="0.25">
      <c r="A27" s="113" t="s">
        <v>8</v>
      </c>
      <c r="B27" s="114" t="s">
        <v>9</v>
      </c>
      <c r="C27" s="114" t="s">
        <v>10</v>
      </c>
      <c r="D27" s="114" t="s">
        <v>11</v>
      </c>
      <c r="E27" s="114" t="s">
        <v>12</v>
      </c>
      <c r="F27" s="114" t="s">
        <v>13</v>
      </c>
      <c r="G27" s="114" t="s">
        <v>14</v>
      </c>
      <c r="H27" s="114"/>
      <c r="I27" s="114"/>
      <c r="J27" s="114"/>
      <c r="K27" s="114"/>
      <c r="L27" s="114"/>
      <c r="M27" s="114" t="s">
        <v>15</v>
      </c>
      <c r="N27" s="114" t="s">
        <v>16</v>
      </c>
      <c r="O27" s="114" t="s">
        <v>17</v>
      </c>
      <c r="P27" s="114" t="s">
        <v>18</v>
      </c>
      <c r="Q27" s="114" t="s">
        <v>19</v>
      </c>
      <c r="R27" s="114"/>
      <c r="S27" s="114"/>
      <c r="T27" s="114"/>
      <c r="U27" s="114"/>
      <c r="V27" s="114"/>
      <c r="W27" s="115" t="s">
        <v>20</v>
      </c>
    </row>
    <row r="28" spans="1:23" x14ac:dyDescent="0.25">
      <c r="A28" s="113"/>
      <c r="B28" s="114"/>
      <c r="C28" s="114"/>
      <c r="D28" s="114"/>
      <c r="E28" s="114"/>
      <c r="F28" s="114"/>
      <c r="G28" s="31" t="s">
        <v>21</v>
      </c>
      <c r="H28" s="31" t="s">
        <v>21</v>
      </c>
      <c r="I28" s="31" t="s">
        <v>21</v>
      </c>
      <c r="J28" s="31" t="s">
        <v>22</v>
      </c>
      <c r="K28" s="31" t="s">
        <v>22</v>
      </c>
      <c r="L28" s="32" t="s">
        <v>22</v>
      </c>
      <c r="M28" s="138"/>
      <c r="N28" s="114"/>
      <c r="O28" s="114"/>
      <c r="P28" s="114"/>
      <c r="Q28" s="31" t="s">
        <v>21</v>
      </c>
      <c r="R28" s="31" t="s">
        <v>21</v>
      </c>
      <c r="S28" s="31" t="s">
        <v>21</v>
      </c>
      <c r="T28" s="31" t="s">
        <v>22</v>
      </c>
      <c r="U28" s="31" t="s">
        <v>22</v>
      </c>
      <c r="V28" s="31" t="s">
        <v>22</v>
      </c>
      <c r="W28" s="115"/>
    </row>
    <row r="29" spans="1:23" ht="15.75" x14ac:dyDescent="0.25">
      <c r="A29" s="5">
        <v>1</v>
      </c>
      <c r="B29" s="21" t="s">
        <v>234</v>
      </c>
      <c r="C29" s="20">
        <v>45917</v>
      </c>
      <c r="D29" s="20">
        <v>46001</v>
      </c>
      <c r="E29" s="21">
        <v>2</v>
      </c>
      <c r="F29" s="21">
        <v>0</v>
      </c>
      <c r="G29" s="21">
        <v>74</v>
      </c>
      <c r="H29" s="21"/>
      <c r="I29" s="21"/>
      <c r="J29" s="21">
        <v>81</v>
      </c>
      <c r="K29" s="24"/>
      <c r="L29" s="58"/>
      <c r="M29" s="31">
        <f>AVERAGE(G29:L29)</f>
        <v>77.5</v>
      </c>
      <c r="N29" s="70">
        <v>46028</v>
      </c>
      <c r="O29" s="21">
        <v>2</v>
      </c>
      <c r="P29" s="21">
        <v>0</v>
      </c>
      <c r="Q29" s="21">
        <v>178</v>
      </c>
      <c r="R29" s="21"/>
      <c r="S29" s="21"/>
      <c r="T29" s="21">
        <v>241</v>
      </c>
      <c r="U29" s="21"/>
      <c r="V29" s="21"/>
      <c r="W29" s="22">
        <f>AVERAGE(Q29:V29)</f>
        <v>209.5</v>
      </c>
    </row>
    <row r="30" spans="1:23" ht="15.75" x14ac:dyDescent="0.25">
      <c r="A30" s="6">
        <v>2</v>
      </c>
      <c r="B30" s="21" t="s">
        <v>236</v>
      </c>
      <c r="C30" s="13">
        <v>46039</v>
      </c>
      <c r="D30" s="8" t="s">
        <v>428</v>
      </c>
      <c r="E30" s="8"/>
      <c r="F30" s="8"/>
      <c r="G30" s="8"/>
      <c r="H30" s="8"/>
      <c r="I30" s="8"/>
      <c r="J30" s="8"/>
      <c r="K30" s="25"/>
      <c r="L30" s="71"/>
      <c r="M30" s="63"/>
      <c r="N30" s="26"/>
      <c r="O30" s="8"/>
      <c r="P30" s="8"/>
      <c r="Q30" s="8"/>
      <c r="R30" s="8"/>
      <c r="S30" s="8"/>
      <c r="T30" s="8"/>
      <c r="U30" s="8"/>
      <c r="V30" s="8"/>
      <c r="W30" s="9"/>
    </row>
    <row r="31" spans="1:23" ht="15.75" x14ac:dyDescent="0.25">
      <c r="A31" s="6">
        <v>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27"/>
      <c r="M31" s="27"/>
      <c r="N31" s="8"/>
      <c r="O31" s="8"/>
      <c r="P31" s="8"/>
      <c r="Q31" s="8"/>
      <c r="R31" s="8"/>
      <c r="S31" s="8"/>
      <c r="T31" s="8"/>
      <c r="U31" s="8"/>
      <c r="V31" s="8"/>
      <c r="W31" s="9"/>
    </row>
    <row r="32" spans="1:23" ht="15.75" x14ac:dyDescent="0.25">
      <c r="A32" s="5">
        <v>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</row>
    <row r="33" spans="1:23" ht="15.75" x14ac:dyDescent="0.25">
      <c r="A33" s="5">
        <v>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</row>
    <row r="34" spans="1:23" ht="16.5" thickBot="1" x14ac:dyDescent="0.3">
      <c r="A34" s="7">
        <v>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6" spans="1:23" ht="15.75" thickBot="1" x14ac:dyDescent="0.3"/>
    <row r="37" spans="1:23" ht="15.75" x14ac:dyDescent="0.25">
      <c r="A37" s="100" t="s">
        <v>260</v>
      </c>
      <c r="B37" s="101"/>
      <c r="C37" s="178" t="s">
        <v>271</v>
      </c>
      <c r="D37" s="179"/>
      <c r="E37" s="111" t="s">
        <v>384</v>
      </c>
      <c r="F37" s="112"/>
      <c r="G37" s="101" t="s">
        <v>4</v>
      </c>
      <c r="H37" s="101"/>
      <c r="I37" s="102" t="s">
        <v>135</v>
      </c>
      <c r="J37" s="102"/>
      <c r="K37" s="102"/>
      <c r="L37" s="102"/>
      <c r="M37" s="102"/>
      <c r="N37" s="102"/>
      <c r="O37" s="101" t="s">
        <v>6</v>
      </c>
      <c r="P37" s="101"/>
      <c r="Q37" s="103"/>
      <c r="R37" s="104"/>
      <c r="S37" s="104"/>
      <c r="T37" s="104"/>
      <c r="U37" s="104"/>
      <c r="V37" s="104"/>
      <c r="W37" s="105"/>
    </row>
    <row r="38" spans="1:23" ht="15.75" x14ac:dyDescent="0.25">
      <c r="A38" s="106" t="s">
        <v>7</v>
      </c>
      <c r="B38" s="107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7"/>
      <c r="R38" s="107"/>
      <c r="S38" s="107"/>
      <c r="T38" s="107"/>
      <c r="U38" s="107"/>
      <c r="V38" s="107"/>
      <c r="W38" s="110"/>
    </row>
    <row r="39" spans="1:23" x14ac:dyDescent="0.25">
      <c r="A39" s="113" t="s">
        <v>8</v>
      </c>
      <c r="B39" s="114" t="s">
        <v>9</v>
      </c>
      <c r="C39" s="114" t="s">
        <v>10</v>
      </c>
      <c r="D39" s="114" t="s">
        <v>11</v>
      </c>
      <c r="E39" s="114" t="s">
        <v>12</v>
      </c>
      <c r="F39" s="114" t="s">
        <v>13</v>
      </c>
      <c r="G39" s="114" t="s">
        <v>14</v>
      </c>
      <c r="H39" s="114"/>
      <c r="I39" s="114"/>
      <c r="J39" s="114"/>
      <c r="K39" s="114"/>
      <c r="L39" s="114"/>
      <c r="M39" s="114" t="s">
        <v>15</v>
      </c>
      <c r="N39" s="114" t="s">
        <v>16</v>
      </c>
      <c r="O39" s="114" t="s">
        <v>17</v>
      </c>
      <c r="P39" s="114" t="s">
        <v>18</v>
      </c>
      <c r="Q39" s="114" t="s">
        <v>19</v>
      </c>
      <c r="R39" s="114"/>
      <c r="S39" s="114"/>
      <c r="T39" s="114"/>
      <c r="U39" s="114"/>
      <c r="V39" s="114"/>
      <c r="W39" s="115" t="s">
        <v>20</v>
      </c>
    </row>
    <row r="40" spans="1:23" x14ac:dyDescent="0.25">
      <c r="A40" s="113"/>
      <c r="B40" s="114"/>
      <c r="C40" s="114"/>
      <c r="D40" s="114"/>
      <c r="E40" s="114"/>
      <c r="F40" s="114"/>
      <c r="G40" s="31" t="s">
        <v>21</v>
      </c>
      <c r="H40" s="31" t="s">
        <v>21</v>
      </c>
      <c r="I40" s="31" t="s">
        <v>21</v>
      </c>
      <c r="J40" s="31" t="s">
        <v>22</v>
      </c>
      <c r="K40" s="31" t="s">
        <v>22</v>
      </c>
      <c r="L40" s="32" t="s">
        <v>22</v>
      </c>
      <c r="M40" s="138"/>
      <c r="N40" s="114"/>
      <c r="O40" s="114"/>
      <c r="P40" s="114"/>
      <c r="Q40" s="31" t="s">
        <v>21</v>
      </c>
      <c r="R40" s="31" t="s">
        <v>21</v>
      </c>
      <c r="S40" s="31" t="s">
        <v>21</v>
      </c>
      <c r="T40" s="31" t="s">
        <v>22</v>
      </c>
      <c r="U40" s="31" t="s">
        <v>22</v>
      </c>
      <c r="V40" s="31" t="s">
        <v>22</v>
      </c>
      <c r="W40" s="115"/>
    </row>
    <row r="41" spans="1:23" ht="15.75" x14ac:dyDescent="0.25">
      <c r="A41" s="5">
        <v>1</v>
      </c>
      <c r="B41" s="21" t="s">
        <v>234</v>
      </c>
      <c r="C41" s="20">
        <v>45917</v>
      </c>
      <c r="D41" s="20">
        <v>45998</v>
      </c>
      <c r="E41" s="21">
        <v>2</v>
      </c>
      <c r="F41" s="21">
        <v>2</v>
      </c>
      <c r="G41" s="21"/>
      <c r="H41" s="21"/>
      <c r="I41" s="21"/>
      <c r="J41" s="21"/>
      <c r="K41" s="24"/>
      <c r="L41" s="29"/>
      <c r="M41" s="57"/>
      <c r="O41" s="21"/>
      <c r="P41" s="21"/>
      <c r="Q41" s="21"/>
      <c r="R41" s="21"/>
      <c r="S41" s="21"/>
      <c r="T41" s="21"/>
      <c r="U41" s="21"/>
      <c r="V41" s="21"/>
      <c r="W41" s="22"/>
    </row>
    <row r="42" spans="1:23" ht="15.75" x14ac:dyDescent="0.25">
      <c r="A42" s="6">
        <v>2</v>
      </c>
      <c r="B42" s="21" t="s">
        <v>239</v>
      </c>
      <c r="C42" s="13">
        <v>46070</v>
      </c>
      <c r="D42" s="13">
        <v>46143</v>
      </c>
      <c r="E42" s="8">
        <v>1</v>
      </c>
      <c r="F42" s="8">
        <v>0</v>
      </c>
      <c r="G42" s="8">
        <v>142</v>
      </c>
      <c r="H42" s="8"/>
      <c r="I42" s="8"/>
      <c r="J42" s="8"/>
      <c r="K42" s="25"/>
      <c r="L42" s="30"/>
      <c r="M42" s="57">
        <v>142</v>
      </c>
      <c r="N42" s="26">
        <v>46176</v>
      </c>
      <c r="O42" s="8">
        <v>1</v>
      </c>
      <c r="P42" s="8">
        <v>0</v>
      </c>
      <c r="Q42" s="8">
        <v>328</v>
      </c>
      <c r="R42" s="8"/>
      <c r="S42" s="8"/>
      <c r="T42" s="8"/>
      <c r="U42" s="8"/>
      <c r="V42" s="8"/>
      <c r="W42" s="9">
        <v>328</v>
      </c>
    </row>
    <row r="43" spans="1:23" ht="15.75" x14ac:dyDescent="0.25">
      <c r="A43" s="6">
        <v>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27"/>
      <c r="M43" s="27"/>
      <c r="N43" s="8"/>
      <c r="O43" s="8"/>
      <c r="P43" s="8"/>
      <c r="Q43" s="8"/>
      <c r="R43" s="8"/>
      <c r="S43" s="8"/>
      <c r="T43" s="8"/>
      <c r="U43" s="8"/>
      <c r="V43" s="8"/>
      <c r="W43" s="9"/>
    </row>
    <row r="44" spans="1:23" ht="15.75" x14ac:dyDescent="0.25">
      <c r="A44" s="5">
        <v>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9"/>
    </row>
    <row r="45" spans="1:23" ht="15.75" x14ac:dyDescent="0.25">
      <c r="A45" s="5">
        <v>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</row>
    <row r="46" spans="1:23" ht="16.5" thickBot="1" x14ac:dyDescent="0.3">
      <c r="A46" s="7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8" spans="1:23" ht="15.75" thickBot="1" x14ac:dyDescent="0.3"/>
    <row r="49" spans="1:23" ht="15.75" x14ac:dyDescent="0.25">
      <c r="A49" s="100" t="s">
        <v>260</v>
      </c>
      <c r="B49" s="101"/>
      <c r="C49" s="178" t="s">
        <v>272</v>
      </c>
      <c r="D49" s="179"/>
      <c r="E49" s="111" t="s">
        <v>410</v>
      </c>
      <c r="F49" s="112"/>
      <c r="G49" s="101" t="s">
        <v>4</v>
      </c>
      <c r="H49" s="101"/>
      <c r="I49" s="102" t="s">
        <v>135</v>
      </c>
      <c r="J49" s="102"/>
      <c r="K49" s="102"/>
      <c r="L49" s="102"/>
      <c r="M49" s="102"/>
      <c r="N49" s="102"/>
      <c r="O49" s="101" t="s">
        <v>6</v>
      </c>
      <c r="P49" s="101"/>
      <c r="Q49" s="103"/>
      <c r="R49" s="104"/>
      <c r="S49" s="104"/>
      <c r="T49" s="104"/>
      <c r="U49" s="104"/>
      <c r="V49" s="104"/>
      <c r="W49" s="105"/>
    </row>
    <row r="50" spans="1:23" ht="15.75" x14ac:dyDescent="0.25">
      <c r="A50" s="106" t="s">
        <v>7</v>
      </c>
      <c r="B50" s="107"/>
      <c r="C50" s="116" t="s">
        <v>44</v>
      </c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09"/>
      <c r="P50" s="109"/>
      <c r="Q50" s="107"/>
      <c r="R50" s="107"/>
      <c r="S50" s="107"/>
      <c r="T50" s="107"/>
      <c r="U50" s="107"/>
      <c r="V50" s="107"/>
      <c r="W50" s="110"/>
    </row>
    <row r="51" spans="1:23" x14ac:dyDescent="0.25">
      <c r="A51" s="113" t="s">
        <v>8</v>
      </c>
      <c r="B51" s="114" t="s">
        <v>9</v>
      </c>
      <c r="C51" s="114" t="s">
        <v>10</v>
      </c>
      <c r="D51" s="114" t="s">
        <v>11</v>
      </c>
      <c r="E51" s="114" t="s">
        <v>12</v>
      </c>
      <c r="F51" s="114" t="s">
        <v>13</v>
      </c>
      <c r="G51" s="114" t="s">
        <v>14</v>
      </c>
      <c r="H51" s="114"/>
      <c r="I51" s="114"/>
      <c r="J51" s="114"/>
      <c r="K51" s="114"/>
      <c r="L51" s="114"/>
      <c r="M51" s="114" t="s">
        <v>15</v>
      </c>
      <c r="N51" s="114" t="s">
        <v>16</v>
      </c>
      <c r="O51" s="114" t="s">
        <v>17</v>
      </c>
      <c r="P51" s="114" t="s">
        <v>18</v>
      </c>
      <c r="Q51" s="114" t="s">
        <v>19</v>
      </c>
      <c r="R51" s="114"/>
      <c r="S51" s="114"/>
      <c r="T51" s="114"/>
      <c r="U51" s="114"/>
      <c r="V51" s="114"/>
      <c r="W51" s="115" t="s">
        <v>20</v>
      </c>
    </row>
    <row r="52" spans="1:23" x14ac:dyDescent="0.25">
      <c r="A52" s="113"/>
      <c r="B52" s="114"/>
      <c r="C52" s="114"/>
      <c r="D52" s="114"/>
      <c r="E52" s="114"/>
      <c r="F52" s="114"/>
      <c r="G52" s="31" t="s">
        <v>21</v>
      </c>
      <c r="H52" s="31" t="s">
        <v>21</v>
      </c>
      <c r="I52" s="31" t="s">
        <v>21</v>
      </c>
      <c r="J52" s="31" t="s">
        <v>22</v>
      </c>
      <c r="K52" s="31" t="s">
        <v>22</v>
      </c>
      <c r="L52" s="32" t="s">
        <v>22</v>
      </c>
      <c r="M52" s="138"/>
      <c r="N52" s="114"/>
      <c r="O52" s="114"/>
      <c r="P52" s="114"/>
      <c r="Q52" s="31" t="s">
        <v>21</v>
      </c>
      <c r="R52" s="31" t="s">
        <v>21</v>
      </c>
      <c r="S52" s="31" t="s">
        <v>21</v>
      </c>
      <c r="T52" s="31" t="s">
        <v>22</v>
      </c>
      <c r="U52" s="31" t="s">
        <v>22</v>
      </c>
      <c r="V52" s="31" t="s">
        <v>22</v>
      </c>
      <c r="W52" s="115"/>
    </row>
    <row r="53" spans="1:23" ht="15.75" x14ac:dyDescent="0.25">
      <c r="A53" s="5">
        <v>1</v>
      </c>
      <c r="B53" s="21" t="s">
        <v>236</v>
      </c>
      <c r="C53" s="20">
        <v>45939</v>
      </c>
      <c r="D53" s="20"/>
      <c r="E53" s="21"/>
      <c r="F53" s="21"/>
      <c r="G53" s="21"/>
      <c r="H53" s="21"/>
      <c r="I53" s="21"/>
      <c r="J53" s="21"/>
      <c r="K53" s="24"/>
      <c r="L53" s="29"/>
      <c r="M53" s="165"/>
      <c r="O53" s="21"/>
      <c r="P53" s="21"/>
      <c r="Q53" s="21"/>
      <c r="R53" s="21"/>
      <c r="S53" s="21"/>
      <c r="T53" s="21"/>
      <c r="U53" s="21"/>
      <c r="V53" s="21"/>
      <c r="W53" s="22"/>
    </row>
    <row r="54" spans="1:23" ht="15.75" x14ac:dyDescent="0.25">
      <c r="A54" s="6">
        <v>2</v>
      </c>
      <c r="B54" s="21" t="s">
        <v>234</v>
      </c>
      <c r="C54" s="13">
        <v>46039</v>
      </c>
      <c r="D54" s="8"/>
      <c r="E54" s="8"/>
      <c r="F54" s="8"/>
      <c r="G54" s="8"/>
      <c r="H54" s="8"/>
      <c r="I54" s="8"/>
      <c r="J54" s="8"/>
      <c r="K54" s="25"/>
      <c r="L54" s="30"/>
      <c r="M54" s="165"/>
      <c r="N54" s="26"/>
      <c r="O54" s="8"/>
      <c r="P54" s="8"/>
      <c r="Q54" s="8"/>
      <c r="R54" s="8"/>
      <c r="S54" s="8"/>
      <c r="T54" s="8"/>
      <c r="U54" s="8"/>
      <c r="V54" s="8"/>
      <c r="W54" s="9"/>
    </row>
    <row r="55" spans="1:23" ht="15.75" x14ac:dyDescent="0.25">
      <c r="A55" s="6">
        <v>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27"/>
      <c r="M55" s="27"/>
      <c r="N55" s="8"/>
      <c r="O55" s="8"/>
      <c r="P55" s="8"/>
      <c r="Q55" s="8"/>
      <c r="R55" s="8"/>
      <c r="S55" s="8"/>
      <c r="T55" s="8"/>
      <c r="U55" s="8"/>
      <c r="V55" s="8"/>
      <c r="W55" s="9"/>
    </row>
    <row r="56" spans="1:23" ht="15.75" x14ac:dyDescent="0.25">
      <c r="A56" s="5">
        <v>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</row>
    <row r="57" spans="1:23" ht="15.75" x14ac:dyDescent="0.25">
      <c r="A57" s="5">
        <v>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</row>
    <row r="58" spans="1:23" ht="16.5" thickBot="1" x14ac:dyDescent="0.3">
      <c r="A58" s="7">
        <v>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60" spans="1:23" ht="15.75" thickBot="1" x14ac:dyDescent="0.3"/>
    <row r="61" spans="1:23" ht="15.75" x14ac:dyDescent="0.25">
      <c r="A61" s="100" t="s">
        <v>260</v>
      </c>
      <c r="B61" s="101"/>
      <c r="C61" s="194" t="s">
        <v>273</v>
      </c>
      <c r="D61" s="195"/>
      <c r="E61" s="111" t="s">
        <v>411</v>
      </c>
      <c r="F61" s="112"/>
      <c r="G61" s="101" t="s">
        <v>4</v>
      </c>
      <c r="H61" s="101"/>
      <c r="I61" s="102" t="s">
        <v>366</v>
      </c>
      <c r="J61" s="102"/>
      <c r="K61" s="102"/>
      <c r="L61" s="102"/>
      <c r="M61" s="102"/>
      <c r="N61" s="102"/>
      <c r="O61" s="101" t="s">
        <v>6</v>
      </c>
      <c r="P61" s="101"/>
      <c r="Q61" s="103"/>
      <c r="R61" s="104"/>
      <c r="S61" s="104"/>
      <c r="T61" s="104"/>
      <c r="U61" s="104"/>
      <c r="V61" s="104"/>
      <c r="W61" s="105"/>
    </row>
    <row r="62" spans="1:23" ht="15.75" x14ac:dyDescent="0.25">
      <c r="A62" s="106" t="s">
        <v>7</v>
      </c>
      <c r="B62" s="107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7"/>
      <c r="R62" s="107"/>
      <c r="S62" s="107"/>
      <c r="T62" s="107"/>
      <c r="U62" s="107"/>
      <c r="V62" s="107"/>
      <c r="W62" s="110"/>
    </row>
    <row r="63" spans="1:23" x14ac:dyDescent="0.25">
      <c r="A63" s="113" t="s">
        <v>8</v>
      </c>
      <c r="B63" s="114" t="s">
        <v>9</v>
      </c>
      <c r="C63" s="114" t="s">
        <v>10</v>
      </c>
      <c r="D63" s="114" t="s">
        <v>11</v>
      </c>
      <c r="E63" s="114" t="s">
        <v>12</v>
      </c>
      <c r="F63" s="114" t="s">
        <v>13</v>
      </c>
      <c r="G63" s="114" t="s">
        <v>14</v>
      </c>
      <c r="H63" s="114"/>
      <c r="I63" s="114"/>
      <c r="J63" s="114"/>
      <c r="K63" s="114"/>
      <c r="L63" s="114"/>
      <c r="M63" s="114" t="s">
        <v>15</v>
      </c>
      <c r="N63" s="114" t="s">
        <v>16</v>
      </c>
      <c r="O63" s="114" t="s">
        <v>17</v>
      </c>
      <c r="P63" s="114" t="s">
        <v>18</v>
      </c>
      <c r="Q63" s="114" t="s">
        <v>19</v>
      </c>
      <c r="R63" s="114"/>
      <c r="S63" s="114"/>
      <c r="T63" s="114"/>
      <c r="U63" s="114"/>
      <c r="V63" s="114"/>
      <c r="W63" s="115" t="s">
        <v>20</v>
      </c>
    </row>
    <row r="64" spans="1:23" x14ac:dyDescent="0.25">
      <c r="A64" s="113"/>
      <c r="B64" s="114"/>
      <c r="C64" s="114"/>
      <c r="D64" s="114"/>
      <c r="E64" s="114"/>
      <c r="F64" s="114"/>
      <c r="G64" s="31" t="s">
        <v>21</v>
      </c>
      <c r="H64" s="31" t="s">
        <v>21</v>
      </c>
      <c r="I64" s="31" t="s">
        <v>21</v>
      </c>
      <c r="J64" s="31" t="s">
        <v>22</v>
      </c>
      <c r="K64" s="31" t="s">
        <v>22</v>
      </c>
      <c r="L64" s="32" t="s">
        <v>22</v>
      </c>
      <c r="M64" s="138"/>
      <c r="N64" s="114"/>
      <c r="O64" s="114"/>
      <c r="P64" s="114"/>
      <c r="Q64" s="31" t="s">
        <v>21</v>
      </c>
      <c r="R64" s="31" t="s">
        <v>21</v>
      </c>
      <c r="S64" s="31" t="s">
        <v>21</v>
      </c>
      <c r="T64" s="31" t="s">
        <v>22</v>
      </c>
      <c r="U64" s="31" t="s">
        <v>22</v>
      </c>
      <c r="V64" s="31" t="s">
        <v>22</v>
      </c>
      <c r="W64" s="115"/>
    </row>
    <row r="65" spans="1:23" ht="15.75" x14ac:dyDescent="0.25">
      <c r="A65" s="5">
        <v>1</v>
      </c>
      <c r="B65" s="21" t="s">
        <v>244</v>
      </c>
      <c r="C65" s="20">
        <v>45939</v>
      </c>
      <c r="D65" s="20">
        <v>46017</v>
      </c>
      <c r="E65" s="21">
        <v>3</v>
      </c>
      <c r="F65" s="21">
        <v>0</v>
      </c>
      <c r="G65" s="21">
        <v>133</v>
      </c>
      <c r="H65" s="21">
        <v>132</v>
      </c>
      <c r="I65" s="21">
        <v>145</v>
      </c>
      <c r="J65" s="21"/>
      <c r="K65" s="24"/>
      <c r="L65" s="29"/>
      <c r="M65" s="72">
        <f>AVERAGE(G65:L65)</f>
        <v>136.66666666666666</v>
      </c>
      <c r="N65" s="70">
        <v>46039</v>
      </c>
      <c r="O65" s="21">
        <v>3</v>
      </c>
      <c r="P65" s="21">
        <v>0</v>
      </c>
      <c r="Q65" s="21">
        <v>295</v>
      </c>
      <c r="R65" s="21">
        <v>298</v>
      </c>
      <c r="S65" s="21">
        <v>307</v>
      </c>
      <c r="T65" s="21"/>
      <c r="U65" s="21"/>
      <c r="V65" s="21"/>
      <c r="W65" s="22">
        <f>AVERAGE(Q65:V65)</f>
        <v>300</v>
      </c>
    </row>
    <row r="66" spans="1:23" ht="15.75" x14ac:dyDescent="0.25">
      <c r="A66" s="6">
        <v>2</v>
      </c>
      <c r="B66" s="21" t="s">
        <v>244</v>
      </c>
      <c r="C66" s="13">
        <v>46039</v>
      </c>
      <c r="D66" s="13">
        <v>46124</v>
      </c>
      <c r="E66" s="21">
        <v>3</v>
      </c>
      <c r="F66" s="21">
        <v>0</v>
      </c>
      <c r="G66" s="21">
        <v>122</v>
      </c>
      <c r="H66" s="21">
        <v>125</v>
      </c>
      <c r="I66" s="21"/>
      <c r="J66" s="21">
        <v>107</v>
      </c>
      <c r="K66" s="24"/>
      <c r="L66" s="29"/>
      <c r="M66" s="69">
        <f>AVERAGE(G66:L66)</f>
        <v>118</v>
      </c>
      <c r="N66" s="26">
        <v>46139</v>
      </c>
      <c r="O66" s="21">
        <v>33</v>
      </c>
      <c r="P66" s="21">
        <v>0</v>
      </c>
      <c r="Q66" s="21">
        <v>261</v>
      </c>
      <c r="R66" s="21">
        <v>337</v>
      </c>
      <c r="S66" s="21"/>
      <c r="T66" s="21">
        <v>270</v>
      </c>
      <c r="U66" s="21"/>
      <c r="V66" s="21"/>
      <c r="W66" s="40">
        <f>AVERAGE(Q66:V66)</f>
        <v>289.33333333333331</v>
      </c>
    </row>
    <row r="67" spans="1:23" ht="15.75" x14ac:dyDescent="0.25">
      <c r="A67" s="6">
        <v>3</v>
      </c>
      <c r="B67" s="8"/>
      <c r="C67" s="8"/>
      <c r="D67" s="8"/>
      <c r="E67" s="21"/>
      <c r="F67" s="21"/>
      <c r="G67" s="21"/>
      <c r="H67" s="21"/>
      <c r="I67" s="21"/>
      <c r="J67" s="21"/>
      <c r="K67" s="21"/>
      <c r="L67" s="44"/>
      <c r="M67" s="44"/>
      <c r="N67" s="21"/>
      <c r="O67" s="21"/>
      <c r="P67" s="21"/>
      <c r="Q67" s="21"/>
      <c r="R67" s="21"/>
      <c r="S67" s="21"/>
      <c r="T67" s="21"/>
      <c r="U67" s="21"/>
      <c r="V67" s="21"/>
      <c r="W67" s="22"/>
    </row>
    <row r="68" spans="1:23" ht="15.75" x14ac:dyDescent="0.25">
      <c r="A68" s="5">
        <v>4</v>
      </c>
      <c r="B68" s="8"/>
      <c r="C68" s="8"/>
      <c r="D68" s="8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2"/>
    </row>
    <row r="69" spans="1:23" ht="15.75" x14ac:dyDescent="0.25">
      <c r="A69" s="5">
        <v>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</row>
    <row r="70" spans="1:23" ht="16.5" thickBot="1" x14ac:dyDescent="0.3">
      <c r="A70" s="7">
        <v>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2" spans="1:23" ht="15.75" thickBot="1" x14ac:dyDescent="0.3"/>
    <row r="73" spans="1:23" ht="15.75" x14ac:dyDescent="0.25">
      <c r="A73" s="100" t="s">
        <v>260</v>
      </c>
      <c r="B73" s="101"/>
      <c r="C73" s="111" t="s">
        <v>274</v>
      </c>
      <c r="D73" s="112"/>
      <c r="E73" s="111" t="s">
        <v>411</v>
      </c>
      <c r="F73" s="112"/>
      <c r="G73" s="101" t="s">
        <v>4</v>
      </c>
      <c r="H73" s="101"/>
      <c r="I73" s="102" t="s">
        <v>366</v>
      </c>
      <c r="J73" s="102"/>
      <c r="K73" s="102"/>
      <c r="L73" s="102"/>
      <c r="M73" s="102"/>
      <c r="N73" s="102"/>
      <c r="O73" s="101" t="s">
        <v>6</v>
      </c>
      <c r="P73" s="101"/>
      <c r="Q73" s="166">
        <v>45810</v>
      </c>
      <c r="R73" s="167"/>
      <c r="S73" s="167"/>
      <c r="T73" s="167"/>
      <c r="U73" s="167"/>
      <c r="V73" s="167"/>
      <c r="W73" s="168"/>
    </row>
    <row r="74" spans="1:23" ht="15.75" x14ac:dyDescent="0.25">
      <c r="A74" s="106" t="s">
        <v>7</v>
      </c>
      <c r="B74" s="107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7"/>
      <c r="R74" s="107"/>
      <c r="S74" s="107"/>
      <c r="T74" s="107"/>
      <c r="U74" s="107"/>
      <c r="V74" s="107"/>
      <c r="W74" s="110"/>
    </row>
    <row r="75" spans="1:23" x14ac:dyDescent="0.25">
      <c r="A75" s="113" t="s">
        <v>8</v>
      </c>
      <c r="B75" s="114" t="s">
        <v>9</v>
      </c>
      <c r="C75" s="114" t="s">
        <v>10</v>
      </c>
      <c r="D75" s="114" t="s">
        <v>11</v>
      </c>
      <c r="E75" s="114" t="s">
        <v>12</v>
      </c>
      <c r="F75" s="114" t="s">
        <v>13</v>
      </c>
      <c r="G75" s="114" t="s">
        <v>14</v>
      </c>
      <c r="H75" s="114"/>
      <c r="I75" s="114"/>
      <c r="J75" s="114"/>
      <c r="K75" s="114"/>
      <c r="L75" s="114"/>
      <c r="M75" s="114" t="s">
        <v>15</v>
      </c>
      <c r="N75" s="114" t="s">
        <v>16</v>
      </c>
      <c r="O75" s="114" t="s">
        <v>17</v>
      </c>
      <c r="P75" s="114" t="s">
        <v>18</v>
      </c>
      <c r="Q75" s="114" t="s">
        <v>19</v>
      </c>
      <c r="R75" s="114"/>
      <c r="S75" s="114"/>
      <c r="T75" s="114"/>
      <c r="U75" s="114"/>
      <c r="V75" s="114"/>
      <c r="W75" s="115" t="s">
        <v>20</v>
      </c>
    </row>
    <row r="76" spans="1:23" x14ac:dyDescent="0.25">
      <c r="A76" s="113"/>
      <c r="B76" s="114"/>
      <c r="C76" s="114"/>
      <c r="D76" s="114"/>
      <c r="E76" s="114"/>
      <c r="F76" s="114"/>
      <c r="G76" s="31" t="s">
        <v>21</v>
      </c>
      <c r="H76" s="31" t="s">
        <v>21</v>
      </c>
      <c r="I76" s="31" t="s">
        <v>21</v>
      </c>
      <c r="J76" s="31" t="s">
        <v>22</v>
      </c>
      <c r="K76" s="31" t="s">
        <v>22</v>
      </c>
      <c r="L76" s="32" t="s">
        <v>22</v>
      </c>
      <c r="M76" s="138"/>
      <c r="N76" s="114"/>
      <c r="O76" s="114"/>
      <c r="P76" s="114"/>
      <c r="Q76" s="31" t="s">
        <v>21</v>
      </c>
      <c r="R76" s="31" t="s">
        <v>21</v>
      </c>
      <c r="S76" s="31" t="s">
        <v>21</v>
      </c>
      <c r="T76" s="31" t="s">
        <v>22</v>
      </c>
      <c r="U76" s="31" t="s">
        <v>22</v>
      </c>
      <c r="V76" s="31" t="s">
        <v>22</v>
      </c>
      <c r="W76" s="115"/>
    </row>
    <row r="77" spans="1:23" ht="15.75" x14ac:dyDescent="0.25">
      <c r="A77" s="5">
        <v>1</v>
      </c>
      <c r="B77" s="21" t="s">
        <v>244</v>
      </c>
      <c r="C77" s="20">
        <v>45939</v>
      </c>
      <c r="D77" s="20">
        <v>46024</v>
      </c>
      <c r="E77" s="21">
        <v>1</v>
      </c>
      <c r="F77" s="21">
        <v>0</v>
      </c>
      <c r="G77" s="21"/>
      <c r="H77" s="21"/>
      <c r="I77" s="21"/>
      <c r="J77" s="21">
        <v>150</v>
      </c>
      <c r="K77" s="24"/>
      <c r="L77" s="29"/>
      <c r="M77" s="57">
        <v>150</v>
      </c>
      <c r="N77" s="70">
        <v>46039</v>
      </c>
      <c r="O77" s="21">
        <v>1</v>
      </c>
      <c r="P77" s="21">
        <v>0</v>
      </c>
      <c r="Q77" s="21"/>
      <c r="R77" s="21"/>
      <c r="S77" s="21"/>
      <c r="T77" s="21">
        <v>320</v>
      </c>
      <c r="U77" s="21"/>
      <c r="V77" s="21"/>
      <c r="W77" s="22">
        <v>320</v>
      </c>
    </row>
    <row r="78" spans="1:23" ht="15.75" x14ac:dyDescent="0.25">
      <c r="A78" s="6">
        <v>2</v>
      </c>
      <c r="B78" s="21" t="s">
        <v>244</v>
      </c>
      <c r="C78" s="13">
        <v>46039</v>
      </c>
      <c r="D78" s="8" t="s">
        <v>428</v>
      </c>
      <c r="E78" s="8"/>
      <c r="F78" s="8"/>
      <c r="G78" s="8"/>
      <c r="H78" s="8"/>
      <c r="I78" s="8"/>
      <c r="J78" s="8"/>
      <c r="K78" s="25"/>
      <c r="L78" s="30"/>
      <c r="M78" s="57"/>
      <c r="N78" s="26"/>
      <c r="O78" s="8"/>
      <c r="P78" s="8"/>
      <c r="Q78" s="8"/>
      <c r="R78" s="8"/>
      <c r="S78" s="8"/>
      <c r="T78" s="8"/>
      <c r="U78" s="8"/>
      <c r="V78" s="8"/>
      <c r="W78" s="9"/>
    </row>
    <row r="79" spans="1:23" ht="15.75" x14ac:dyDescent="0.25">
      <c r="A79" s="6">
        <v>3</v>
      </c>
      <c r="B79" s="8" t="s">
        <v>244</v>
      </c>
      <c r="C79" s="13">
        <v>46148</v>
      </c>
      <c r="D79" s="8"/>
      <c r="E79" s="8"/>
      <c r="F79" s="8"/>
      <c r="G79" s="8"/>
      <c r="H79" s="8"/>
      <c r="I79" s="8"/>
      <c r="J79" s="8"/>
      <c r="K79" s="8"/>
      <c r="L79" s="27"/>
      <c r="M79" s="27"/>
      <c r="N79" s="8"/>
      <c r="O79" s="8"/>
      <c r="P79" s="8"/>
      <c r="Q79" s="8"/>
      <c r="R79" s="8"/>
      <c r="S79" s="8"/>
      <c r="T79" s="8"/>
      <c r="U79" s="8"/>
      <c r="V79" s="8"/>
      <c r="W79" s="9"/>
    </row>
    <row r="80" spans="1:23" ht="15.75" x14ac:dyDescent="0.25">
      <c r="A80" s="5">
        <v>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</row>
    <row r="81" spans="1:23" ht="15.75" x14ac:dyDescent="0.25">
      <c r="A81" s="5">
        <v>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3" ht="16.5" thickBot="1" x14ac:dyDescent="0.3">
      <c r="A82" s="7">
        <v>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4" spans="1:23" ht="15.75" thickBot="1" x14ac:dyDescent="0.3"/>
    <row r="85" spans="1:23" ht="15.75" x14ac:dyDescent="0.25">
      <c r="A85" s="100" t="s">
        <v>260</v>
      </c>
      <c r="B85" s="101"/>
      <c r="C85" s="111" t="s">
        <v>275</v>
      </c>
      <c r="D85" s="112"/>
      <c r="E85" s="111" t="s">
        <v>411</v>
      </c>
      <c r="F85" s="112"/>
      <c r="G85" s="101" t="s">
        <v>4</v>
      </c>
      <c r="H85" s="101"/>
      <c r="I85" s="102" t="s">
        <v>366</v>
      </c>
      <c r="J85" s="102"/>
      <c r="K85" s="102"/>
      <c r="L85" s="102"/>
      <c r="M85" s="102"/>
      <c r="N85" s="102"/>
      <c r="O85" s="101" t="s">
        <v>6</v>
      </c>
      <c r="P85" s="101"/>
      <c r="Q85" s="166">
        <v>45815</v>
      </c>
      <c r="R85" s="167"/>
      <c r="S85" s="167"/>
      <c r="T85" s="167"/>
      <c r="U85" s="167"/>
      <c r="V85" s="167"/>
      <c r="W85" s="168"/>
    </row>
    <row r="86" spans="1:23" ht="15.75" x14ac:dyDescent="0.25">
      <c r="A86" s="106" t="s">
        <v>7</v>
      </c>
      <c r="B86" s="107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7"/>
      <c r="R86" s="107"/>
      <c r="S86" s="107"/>
      <c r="T86" s="107"/>
      <c r="U86" s="107"/>
      <c r="V86" s="107"/>
      <c r="W86" s="110"/>
    </row>
    <row r="87" spans="1:23" x14ac:dyDescent="0.25">
      <c r="A87" s="113" t="s">
        <v>8</v>
      </c>
      <c r="B87" s="114" t="s">
        <v>9</v>
      </c>
      <c r="C87" s="114" t="s">
        <v>10</v>
      </c>
      <c r="D87" s="114" t="s">
        <v>11</v>
      </c>
      <c r="E87" s="114" t="s">
        <v>12</v>
      </c>
      <c r="F87" s="114" t="s">
        <v>13</v>
      </c>
      <c r="G87" s="114" t="s">
        <v>14</v>
      </c>
      <c r="H87" s="114"/>
      <c r="I87" s="114"/>
      <c r="J87" s="114"/>
      <c r="K87" s="114"/>
      <c r="L87" s="114"/>
      <c r="M87" s="114" t="s">
        <v>15</v>
      </c>
      <c r="N87" s="114" t="s">
        <v>16</v>
      </c>
      <c r="O87" s="114" t="s">
        <v>17</v>
      </c>
      <c r="P87" s="114" t="s">
        <v>18</v>
      </c>
      <c r="Q87" s="114" t="s">
        <v>19</v>
      </c>
      <c r="R87" s="114"/>
      <c r="S87" s="114"/>
      <c r="T87" s="114"/>
      <c r="U87" s="114"/>
      <c r="V87" s="114"/>
      <c r="W87" s="115" t="s">
        <v>20</v>
      </c>
    </row>
    <row r="88" spans="1:23" x14ac:dyDescent="0.25">
      <c r="A88" s="113"/>
      <c r="B88" s="114"/>
      <c r="C88" s="114"/>
      <c r="D88" s="114"/>
      <c r="E88" s="114"/>
      <c r="F88" s="114"/>
      <c r="G88" s="31" t="s">
        <v>21</v>
      </c>
      <c r="H88" s="31" t="s">
        <v>21</v>
      </c>
      <c r="I88" s="31" t="s">
        <v>21</v>
      </c>
      <c r="J88" s="31" t="s">
        <v>22</v>
      </c>
      <c r="K88" s="31" t="s">
        <v>22</v>
      </c>
      <c r="L88" s="32" t="s">
        <v>22</v>
      </c>
      <c r="M88" s="138"/>
      <c r="N88" s="114"/>
      <c r="O88" s="114"/>
      <c r="P88" s="114"/>
      <c r="Q88" s="31" t="s">
        <v>21</v>
      </c>
      <c r="R88" s="31" t="s">
        <v>21</v>
      </c>
      <c r="S88" s="31" t="s">
        <v>21</v>
      </c>
      <c r="T88" s="31" t="s">
        <v>22</v>
      </c>
      <c r="U88" s="31" t="s">
        <v>22</v>
      </c>
      <c r="V88" s="31" t="s">
        <v>22</v>
      </c>
      <c r="W88" s="115"/>
    </row>
    <row r="89" spans="1:23" ht="15.75" x14ac:dyDescent="0.25">
      <c r="A89" s="5">
        <v>1</v>
      </c>
      <c r="B89" s="21" t="s">
        <v>244</v>
      </c>
      <c r="C89" s="20">
        <v>45939</v>
      </c>
      <c r="D89" s="20" t="s">
        <v>429</v>
      </c>
      <c r="E89" s="21">
        <v>2</v>
      </c>
      <c r="F89" s="21">
        <v>0</v>
      </c>
      <c r="G89" s="21">
        <v>121</v>
      </c>
      <c r="H89" s="21"/>
      <c r="I89" s="21"/>
      <c r="J89" s="21">
        <v>115</v>
      </c>
      <c r="K89" s="24"/>
      <c r="L89" s="29"/>
      <c r="M89" s="69">
        <f>AVERAGE(G89:L89)</f>
        <v>118</v>
      </c>
      <c r="N89" s="70">
        <v>46039</v>
      </c>
      <c r="O89" s="21">
        <v>2</v>
      </c>
      <c r="P89" s="21">
        <v>0</v>
      </c>
      <c r="Q89" s="21">
        <v>298</v>
      </c>
      <c r="R89" s="21"/>
      <c r="S89" s="21"/>
      <c r="T89" s="21">
        <v>336</v>
      </c>
      <c r="U89" s="21"/>
      <c r="V89" s="21"/>
      <c r="W89" s="22">
        <f>AVERAGE(Q89:V89)</f>
        <v>317</v>
      </c>
    </row>
    <row r="90" spans="1:23" ht="15.75" x14ac:dyDescent="0.25">
      <c r="A90" s="6">
        <v>2</v>
      </c>
      <c r="B90" s="21" t="s">
        <v>244</v>
      </c>
      <c r="C90" s="13">
        <v>46039</v>
      </c>
      <c r="D90" s="8" t="s">
        <v>428</v>
      </c>
      <c r="E90" s="8"/>
      <c r="F90" s="8"/>
      <c r="G90" s="8"/>
      <c r="H90" s="8"/>
      <c r="I90" s="8"/>
      <c r="J90" s="8"/>
      <c r="K90" s="25"/>
      <c r="L90" s="30"/>
      <c r="M90" s="57"/>
      <c r="N90" s="26"/>
      <c r="O90" s="8"/>
      <c r="P90" s="8"/>
      <c r="Q90" s="8"/>
      <c r="R90" s="8"/>
      <c r="S90" s="8"/>
      <c r="T90" s="8"/>
      <c r="U90" s="8"/>
      <c r="V90" s="8"/>
      <c r="W90" s="9"/>
    </row>
    <row r="91" spans="1:23" ht="15.75" x14ac:dyDescent="0.25">
      <c r="A91" s="6">
        <v>3</v>
      </c>
      <c r="B91" s="8" t="s">
        <v>244</v>
      </c>
      <c r="C91" s="13">
        <v>46148</v>
      </c>
      <c r="D91" s="8"/>
      <c r="E91" s="8"/>
      <c r="F91" s="8"/>
      <c r="G91" s="8"/>
      <c r="H91" s="8"/>
      <c r="I91" s="8"/>
      <c r="J91" s="8"/>
      <c r="K91" s="8"/>
      <c r="L91" s="27"/>
      <c r="M91" s="27"/>
      <c r="N91" s="8"/>
      <c r="O91" s="8"/>
      <c r="P91" s="8"/>
      <c r="Q91" s="8"/>
      <c r="R91" s="8"/>
      <c r="S91" s="8"/>
      <c r="T91" s="8"/>
      <c r="U91" s="8"/>
      <c r="V91" s="8"/>
      <c r="W91" s="9"/>
    </row>
    <row r="92" spans="1:23" ht="15.75" x14ac:dyDescent="0.25">
      <c r="A92" s="5">
        <v>4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</row>
    <row r="93" spans="1:23" ht="15.75" x14ac:dyDescent="0.25">
      <c r="A93" s="5">
        <v>5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6.5" thickBot="1" x14ac:dyDescent="0.3">
      <c r="A94" s="7">
        <v>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6" spans="1:23" ht="15.75" thickBot="1" x14ac:dyDescent="0.3"/>
    <row r="97" spans="1:23" ht="15.75" x14ac:dyDescent="0.25">
      <c r="A97" s="100" t="s">
        <v>260</v>
      </c>
      <c r="B97" s="101"/>
      <c r="C97" s="111" t="s">
        <v>276</v>
      </c>
      <c r="D97" s="112"/>
      <c r="E97" s="111" t="s">
        <v>411</v>
      </c>
      <c r="F97" s="112"/>
      <c r="G97" s="101" t="s">
        <v>4</v>
      </c>
      <c r="H97" s="101"/>
      <c r="I97" s="102" t="s">
        <v>366</v>
      </c>
      <c r="J97" s="102"/>
      <c r="K97" s="102"/>
      <c r="L97" s="102"/>
      <c r="M97" s="102"/>
      <c r="N97" s="102"/>
      <c r="O97" s="101" t="s">
        <v>6</v>
      </c>
      <c r="P97" s="101"/>
      <c r="Q97" s="166">
        <v>45814</v>
      </c>
      <c r="R97" s="167"/>
      <c r="S97" s="167"/>
      <c r="T97" s="167"/>
      <c r="U97" s="167"/>
      <c r="V97" s="167"/>
      <c r="W97" s="168"/>
    </row>
    <row r="98" spans="1:23" ht="15.75" x14ac:dyDescent="0.25">
      <c r="A98" s="106" t="s">
        <v>7</v>
      </c>
      <c r="B98" s="107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7"/>
      <c r="R98" s="107"/>
      <c r="S98" s="107"/>
      <c r="T98" s="107"/>
      <c r="U98" s="107"/>
      <c r="V98" s="107"/>
      <c r="W98" s="110"/>
    </row>
    <row r="99" spans="1:23" x14ac:dyDescent="0.25">
      <c r="A99" s="113" t="s">
        <v>8</v>
      </c>
      <c r="B99" s="114" t="s">
        <v>9</v>
      </c>
      <c r="C99" s="114" t="s">
        <v>10</v>
      </c>
      <c r="D99" s="114" t="s">
        <v>11</v>
      </c>
      <c r="E99" s="114" t="s">
        <v>12</v>
      </c>
      <c r="F99" s="114" t="s">
        <v>13</v>
      </c>
      <c r="G99" s="114" t="s">
        <v>14</v>
      </c>
      <c r="H99" s="114"/>
      <c r="I99" s="114"/>
      <c r="J99" s="114"/>
      <c r="K99" s="114"/>
      <c r="L99" s="114"/>
      <c r="M99" s="114" t="s">
        <v>15</v>
      </c>
      <c r="N99" s="114" t="s">
        <v>16</v>
      </c>
      <c r="O99" s="114" t="s">
        <v>17</v>
      </c>
      <c r="P99" s="114" t="s">
        <v>18</v>
      </c>
      <c r="Q99" s="114" t="s">
        <v>19</v>
      </c>
      <c r="R99" s="114"/>
      <c r="S99" s="114"/>
      <c r="T99" s="114"/>
      <c r="U99" s="114"/>
      <c r="V99" s="114"/>
      <c r="W99" s="115" t="s">
        <v>20</v>
      </c>
    </row>
    <row r="100" spans="1:23" x14ac:dyDescent="0.25">
      <c r="A100" s="113"/>
      <c r="B100" s="114"/>
      <c r="C100" s="114"/>
      <c r="D100" s="114"/>
      <c r="E100" s="114"/>
      <c r="F100" s="114"/>
      <c r="G100" s="31" t="s">
        <v>21</v>
      </c>
      <c r="H100" s="31" t="s">
        <v>21</v>
      </c>
      <c r="I100" s="31" t="s">
        <v>21</v>
      </c>
      <c r="J100" s="31" t="s">
        <v>22</v>
      </c>
      <c r="K100" s="31" t="s">
        <v>22</v>
      </c>
      <c r="L100" s="32" t="s">
        <v>22</v>
      </c>
      <c r="M100" s="138"/>
      <c r="N100" s="114"/>
      <c r="O100" s="114"/>
      <c r="P100" s="114"/>
      <c r="Q100" s="31" t="s">
        <v>21</v>
      </c>
      <c r="R100" s="31" t="s">
        <v>21</v>
      </c>
      <c r="S100" s="31" t="s">
        <v>21</v>
      </c>
      <c r="T100" s="31" t="s">
        <v>22</v>
      </c>
      <c r="U100" s="31" t="s">
        <v>22</v>
      </c>
      <c r="V100" s="31" t="s">
        <v>22</v>
      </c>
      <c r="W100" s="115"/>
    </row>
    <row r="101" spans="1:23" ht="15.75" x14ac:dyDescent="0.25">
      <c r="A101" s="5">
        <v>1</v>
      </c>
      <c r="B101" s="21" t="s">
        <v>244</v>
      </c>
      <c r="C101" s="20" t="s">
        <v>277</v>
      </c>
      <c r="D101" s="20">
        <v>46015</v>
      </c>
      <c r="E101" s="21">
        <v>1</v>
      </c>
      <c r="F101" s="21">
        <v>0</v>
      </c>
      <c r="G101" s="21">
        <v>160</v>
      </c>
      <c r="H101" s="21"/>
      <c r="I101" s="21"/>
      <c r="J101" s="21"/>
      <c r="K101" s="24"/>
      <c r="L101" s="58"/>
      <c r="M101" s="31">
        <v>160</v>
      </c>
      <c r="N101" s="70">
        <v>46028</v>
      </c>
      <c r="O101" s="21">
        <v>1</v>
      </c>
      <c r="P101" s="21">
        <v>0</v>
      </c>
      <c r="Q101" s="21">
        <v>318</v>
      </c>
      <c r="R101" s="21"/>
      <c r="S101" s="21"/>
      <c r="T101" s="21"/>
      <c r="U101" s="21"/>
      <c r="V101" s="21"/>
      <c r="W101" s="22">
        <v>318</v>
      </c>
    </row>
    <row r="102" spans="1:23" ht="15.75" x14ac:dyDescent="0.25">
      <c r="A102" s="6">
        <v>2</v>
      </c>
      <c r="B102" s="21" t="s">
        <v>244</v>
      </c>
      <c r="C102" s="13">
        <v>46039</v>
      </c>
      <c r="D102" s="8" t="s">
        <v>428</v>
      </c>
      <c r="E102" s="8"/>
      <c r="F102" s="8"/>
      <c r="G102" s="8"/>
      <c r="H102" s="8"/>
      <c r="I102" s="8"/>
      <c r="J102" s="8"/>
      <c r="K102" s="25"/>
      <c r="L102" s="71"/>
      <c r="M102" s="63"/>
      <c r="N102" s="26"/>
      <c r="O102" s="8"/>
      <c r="P102" s="8"/>
      <c r="Q102" s="8"/>
      <c r="R102" s="8"/>
      <c r="S102" s="8"/>
      <c r="T102" s="8"/>
      <c r="U102" s="8"/>
      <c r="V102" s="8"/>
      <c r="W102" s="9"/>
    </row>
    <row r="103" spans="1:23" ht="15.75" x14ac:dyDescent="0.25">
      <c r="A103" s="6">
        <v>3</v>
      </c>
      <c r="B103" s="8" t="s">
        <v>244</v>
      </c>
      <c r="C103" s="13">
        <v>46148</v>
      </c>
      <c r="D103" s="8"/>
      <c r="E103" s="8"/>
      <c r="F103" s="8"/>
      <c r="G103" s="8"/>
      <c r="H103" s="8"/>
      <c r="I103" s="8"/>
      <c r="J103" s="8"/>
      <c r="K103" s="8"/>
      <c r="L103" s="27"/>
      <c r="M103" s="27"/>
      <c r="N103" s="8"/>
      <c r="O103" s="8"/>
      <c r="P103" s="8"/>
      <c r="Q103" s="8"/>
      <c r="R103" s="8"/>
      <c r="S103" s="8"/>
      <c r="T103" s="8"/>
      <c r="U103" s="8"/>
      <c r="V103" s="8"/>
      <c r="W103" s="9"/>
    </row>
    <row r="104" spans="1:23" ht="15.75" x14ac:dyDescent="0.25">
      <c r="A104" s="5">
        <v>4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</row>
    <row r="105" spans="1:23" ht="15.75" x14ac:dyDescent="0.25">
      <c r="A105" s="5">
        <v>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6.5" thickBot="1" x14ac:dyDescent="0.3">
      <c r="A106" s="7">
        <v>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8" spans="1:23" ht="15.75" thickBot="1" x14ac:dyDescent="0.3"/>
    <row r="109" spans="1:23" ht="15.75" x14ac:dyDescent="0.25">
      <c r="A109" s="100" t="s">
        <v>260</v>
      </c>
      <c r="B109" s="101"/>
      <c r="C109" s="178" t="s">
        <v>278</v>
      </c>
      <c r="D109" s="179"/>
      <c r="E109" s="111" t="s">
        <v>411</v>
      </c>
      <c r="F109" s="112"/>
      <c r="G109" s="101" t="s">
        <v>4</v>
      </c>
      <c r="H109" s="101"/>
      <c r="I109" s="102" t="s">
        <v>366</v>
      </c>
      <c r="J109" s="102"/>
      <c r="K109" s="102"/>
      <c r="L109" s="102"/>
      <c r="M109" s="102"/>
      <c r="N109" s="102"/>
      <c r="O109" s="101" t="s">
        <v>6</v>
      </c>
      <c r="P109" s="101"/>
      <c r="Q109" s="103"/>
      <c r="R109" s="104"/>
      <c r="S109" s="104"/>
      <c r="T109" s="104"/>
      <c r="U109" s="104"/>
      <c r="V109" s="104"/>
      <c r="W109" s="105"/>
    </row>
    <row r="110" spans="1:23" ht="15.75" x14ac:dyDescent="0.25">
      <c r="A110" s="106" t="s">
        <v>7</v>
      </c>
      <c r="B110" s="107"/>
      <c r="C110" s="108" t="s">
        <v>44</v>
      </c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9"/>
      <c r="P110" s="109"/>
      <c r="Q110" s="107"/>
      <c r="R110" s="107"/>
      <c r="S110" s="107"/>
      <c r="T110" s="107"/>
      <c r="U110" s="107"/>
      <c r="V110" s="107"/>
      <c r="W110" s="110"/>
    </row>
    <row r="111" spans="1:23" x14ac:dyDescent="0.25">
      <c r="A111" s="113" t="s">
        <v>8</v>
      </c>
      <c r="B111" s="114" t="s">
        <v>9</v>
      </c>
      <c r="C111" s="114" t="s">
        <v>10</v>
      </c>
      <c r="D111" s="114" t="s">
        <v>11</v>
      </c>
      <c r="E111" s="114" t="s">
        <v>12</v>
      </c>
      <c r="F111" s="114" t="s">
        <v>13</v>
      </c>
      <c r="G111" s="114" t="s">
        <v>14</v>
      </c>
      <c r="H111" s="114"/>
      <c r="I111" s="114"/>
      <c r="J111" s="114"/>
      <c r="K111" s="114"/>
      <c r="L111" s="114"/>
      <c r="M111" s="114" t="s">
        <v>15</v>
      </c>
      <c r="N111" s="114" t="s">
        <v>16</v>
      </c>
      <c r="O111" s="114" t="s">
        <v>17</v>
      </c>
      <c r="P111" s="114" t="s">
        <v>18</v>
      </c>
      <c r="Q111" s="114" t="s">
        <v>19</v>
      </c>
      <c r="R111" s="114"/>
      <c r="S111" s="114"/>
      <c r="T111" s="114"/>
      <c r="U111" s="114"/>
      <c r="V111" s="114"/>
      <c r="W111" s="115" t="s">
        <v>20</v>
      </c>
    </row>
    <row r="112" spans="1:23" x14ac:dyDescent="0.25">
      <c r="A112" s="113"/>
      <c r="B112" s="114"/>
      <c r="C112" s="114"/>
      <c r="D112" s="114"/>
      <c r="E112" s="114"/>
      <c r="F112" s="114"/>
      <c r="G112" s="31" t="s">
        <v>21</v>
      </c>
      <c r="H112" s="31" t="s">
        <v>21</v>
      </c>
      <c r="I112" s="31" t="s">
        <v>21</v>
      </c>
      <c r="J112" s="31" t="s">
        <v>22</v>
      </c>
      <c r="K112" s="31" t="s">
        <v>22</v>
      </c>
      <c r="L112" s="32" t="s">
        <v>22</v>
      </c>
      <c r="M112" s="138"/>
      <c r="N112" s="114"/>
      <c r="O112" s="114"/>
      <c r="P112" s="114"/>
      <c r="Q112" s="31" t="s">
        <v>21</v>
      </c>
      <c r="R112" s="31" t="s">
        <v>21</v>
      </c>
      <c r="S112" s="31" t="s">
        <v>21</v>
      </c>
      <c r="T112" s="31" t="s">
        <v>22</v>
      </c>
      <c r="U112" s="31" t="s">
        <v>22</v>
      </c>
      <c r="V112" s="31" t="s">
        <v>22</v>
      </c>
      <c r="W112" s="115"/>
    </row>
    <row r="113" spans="1:23" ht="15.75" x14ac:dyDescent="0.25">
      <c r="A113" s="5">
        <v>1</v>
      </c>
      <c r="B113" s="21" t="s">
        <v>244</v>
      </c>
      <c r="C113" s="20">
        <v>45939</v>
      </c>
      <c r="D113" s="20"/>
      <c r="E113" s="21"/>
      <c r="F113" s="21"/>
      <c r="G113" s="21"/>
      <c r="H113" s="21"/>
      <c r="I113" s="21"/>
      <c r="J113" s="21"/>
      <c r="K113" s="24"/>
      <c r="L113" s="29"/>
      <c r="M113" s="165"/>
      <c r="O113" s="21"/>
      <c r="P113" s="21"/>
      <c r="Q113" s="21"/>
      <c r="R113" s="21"/>
      <c r="S113" s="21"/>
      <c r="T113" s="21"/>
      <c r="U113" s="21"/>
      <c r="V113" s="21"/>
      <c r="W113" s="22"/>
    </row>
    <row r="114" spans="1:23" ht="15.75" x14ac:dyDescent="0.25">
      <c r="A114" s="6">
        <v>2</v>
      </c>
      <c r="B114" s="21"/>
      <c r="C114" s="8"/>
      <c r="D114" s="8"/>
      <c r="E114" s="8"/>
      <c r="F114" s="8"/>
      <c r="G114" s="8"/>
      <c r="H114" s="8"/>
      <c r="I114" s="8"/>
      <c r="J114" s="8"/>
      <c r="K114" s="25"/>
      <c r="L114" s="30"/>
      <c r="M114" s="165"/>
      <c r="N114" s="26"/>
      <c r="O114" s="8"/>
      <c r="P114" s="8"/>
      <c r="Q114" s="8"/>
      <c r="R114" s="8"/>
      <c r="S114" s="8"/>
      <c r="T114" s="8"/>
      <c r="U114" s="8"/>
      <c r="V114" s="8"/>
      <c r="W114" s="9"/>
    </row>
    <row r="115" spans="1:23" ht="15.75" x14ac:dyDescent="0.25">
      <c r="A115" s="6">
        <v>3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27"/>
      <c r="M115" s="27"/>
      <c r="N115" s="8"/>
      <c r="O115" s="8"/>
      <c r="P115" s="8"/>
      <c r="Q115" s="8"/>
      <c r="R115" s="8"/>
      <c r="S115" s="8"/>
      <c r="T115" s="8"/>
      <c r="U115" s="8"/>
      <c r="V115" s="8"/>
      <c r="W115" s="9"/>
    </row>
    <row r="116" spans="1:23" ht="15.75" x14ac:dyDescent="0.25">
      <c r="A116" s="5">
        <v>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5">
        <v>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6.5" thickBot="1" x14ac:dyDescent="0.3">
      <c r="A118" s="7">
        <v>6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20" spans="1:23" ht="15.75" thickBot="1" x14ac:dyDescent="0.3"/>
    <row r="121" spans="1:23" ht="15.75" x14ac:dyDescent="0.25">
      <c r="A121" s="100" t="s">
        <v>260</v>
      </c>
      <c r="B121" s="101"/>
      <c r="C121" s="111" t="s">
        <v>279</v>
      </c>
      <c r="D121" s="112"/>
      <c r="E121" s="111" t="s">
        <v>411</v>
      </c>
      <c r="F121" s="112"/>
      <c r="G121" s="101" t="s">
        <v>4</v>
      </c>
      <c r="H121" s="101"/>
      <c r="I121" s="102" t="s">
        <v>366</v>
      </c>
      <c r="J121" s="102"/>
      <c r="K121" s="102"/>
      <c r="L121" s="102"/>
      <c r="M121" s="102"/>
      <c r="N121" s="102"/>
      <c r="O121" s="101" t="s">
        <v>6</v>
      </c>
      <c r="P121" s="101"/>
      <c r="Q121" s="166">
        <v>45813</v>
      </c>
      <c r="R121" s="167"/>
      <c r="S121" s="167"/>
      <c r="T121" s="167"/>
      <c r="U121" s="167"/>
      <c r="V121" s="167"/>
      <c r="W121" s="168"/>
    </row>
    <row r="122" spans="1:23" ht="15.75" x14ac:dyDescent="0.25">
      <c r="A122" s="106" t="s">
        <v>7</v>
      </c>
      <c r="B122" s="107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7"/>
      <c r="R122" s="107"/>
      <c r="S122" s="107"/>
      <c r="T122" s="107"/>
      <c r="U122" s="107"/>
      <c r="V122" s="107"/>
      <c r="W122" s="110"/>
    </row>
    <row r="123" spans="1:23" x14ac:dyDescent="0.25">
      <c r="A123" s="113" t="s">
        <v>8</v>
      </c>
      <c r="B123" s="114" t="s">
        <v>9</v>
      </c>
      <c r="C123" s="114" t="s">
        <v>10</v>
      </c>
      <c r="D123" s="114" t="s">
        <v>11</v>
      </c>
      <c r="E123" s="114" t="s">
        <v>12</v>
      </c>
      <c r="F123" s="114" t="s">
        <v>13</v>
      </c>
      <c r="G123" s="114" t="s">
        <v>14</v>
      </c>
      <c r="H123" s="114"/>
      <c r="I123" s="114"/>
      <c r="J123" s="114"/>
      <c r="K123" s="114"/>
      <c r="L123" s="114"/>
      <c r="M123" s="114" t="s">
        <v>15</v>
      </c>
      <c r="N123" s="114" t="s">
        <v>16</v>
      </c>
      <c r="O123" s="114" t="s">
        <v>17</v>
      </c>
      <c r="P123" s="114" t="s">
        <v>18</v>
      </c>
      <c r="Q123" s="114" t="s">
        <v>19</v>
      </c>
      <c r="R123" s="114"/>
      <c r="S123" s="114"/>
      <c r="T123" s="114"/>
      <c r="U123" s="114"/>
      <c r="V123" s="114"/>
      <c r="W123" s="115" t="s">
        <v>20</v>
      </c>
    </row>
    <row r="124" spans="1:23" x14ac:dyDescent="0.25">
      <c r="A124" s="113"/>
      <c r="B124" s="114"/>
      <c r="C124" s="114"/>
      <c r="D124" s="114"/>
      <c r="E124" s="114"/>
      <c r="F124" s="114"/>
      <c r="G124" s="31" t="s">
        <v>21</v>
      </c>
      <c r="H124" s="31" t="s">
        <v>21</v>
      </c>
      <c r="I124" s="31" t="s">
        <v>21</v>
      </c>
      <c r="J124" s="31" t="s">
        <v>22</v>
      </c>
      <c r="K124" s="31" t="s">
        <v>22</v>
      </c>
      <c r="L124" s="32" t="s">
        <v>22</v>
      </c>
      <c r="M124" s="138"/>
      <c r="N124" s="114"/>
      <c r="O124" s="114"/>
      <c r="P124" s="114"/>
      <c r="Q124" s="31" t="s">
        <v>21</v>
      </c>
      <c r="R124" s="31" t="s">
        <v>21</v>
      </c>
      <c r="S124" s="31" t="s">
        <v>21</v>
      </c>
      <c r="T124" s="31" t="s">
        <v>22</v>
      </c>
      <c r="U124" s="31" t="s">
        <v>22</v>
      </c>
      <c r="V124" s="31" t="s">
        <v>22</v>
      </c>
      <c r="W124" s="115"/>
    </row>
    <row r="125" spans="1:23" ht="15.75" x14ac:dyDescent="0.25">
      <c r="A125" s="5">
        <v>1</v>
      </c>
      <c r="B125" s="21" t="s">
        <v>244</v>
      </c>
      <c r="C125" s="20">
        <v>45826</v>
      </c>
      <c r="D125" s="20">
        <v>46022</v>
      </c>
      <c r="E125" s="21">
        <v>2</v>
      </c>
      <c r="F125" s="21">
        <v>0</v>
      </c>
      <c r="G125" s="21">
        <v>122</v>
      </c>
      <c r="H125" s="21"/>
      <c r="I125" s="21"/>
      <c r="J125" s="21">
        <v>125</v>
      </c>
      <c r="K125" s="24"/>
      <c r="L125" s="29"/>
      <c r="M125" s="75">
        <f>AVERAGE(G125:L125)</f>
        <v>123.5</v>
      </c>
      <c r="N125" s="70">
        <v>46039</v>
      </c>
      <c r="O125" s="21">
        <v>2</v>
      </c>
      <c r="P125" s="21">
        <v>0</v>
      </c>
      <c r="Q125" s="21">
        <v>293</v>
      </c>
      <c r="R125" s="21"/>
      <c r="S125" s="21"/>
      <c r="T125" s="21">
        <v>289</v>
      </c>
      <c r="U125" s="21"/>
      <c r="V125" s="21"/>
      <c r="W125" s="22">
        <f>AVERAGE(Q125:V125)</f>
        <v>291</v>
      </c>
    </row>
    <row r="126" spans="1:23" ht="15.75" x14ac:dyDescent="0.25">
      <c r="A126" s="6">
        <v>2</v>
      </c>
      <c r="B126" s="21" t="s">
        <v>244</v>
      </c>
      <c r="C126" s="13">
        <v>46039</v>
      </c>
      <c r="D126" s="8" t="s">
        <v>428</v>
      </c>
      <c r="E126" s="8"/>
      <c r="F126" s="8"/>
      <c r="G126" s="8"/>
      <c r="H126" s="8"/>
      <c r="I126" s="8"/>
      <c r="J126" s="8"/>
      <c r="K126" s="25"/>
      <c r="L126" s="30"/>
      <c r="M126" s="57"/>
      <c r="N126" s="26"/>
      <c r="O126" s="8"/>
      <c r="P126" s="8"/>
      <c r="Q126" s="8"/>
      <c r="R126" s="8"/>
      <c r="S126" s="8"/>
      <c r="T126" s="8"/>
      <c r="U126" s="8"/>
      <c r="V126" s="8"/>
      <c r="W126" s="9"/>
    </row>
    <row r="127" spans="1:23" ht="15.75" x14ac:dyDescent="0.25">
      <c r="A127" s="6">
        <v>3</v>
      </c>
      <c r="B127" s="8" t="s">
        <v>493</v>
      </c>
      <c r="C127" s="13">
        <v>46148</v>
      </c>
      <c r="D127" s="8"/>
      <c r="E127" s="8"/>
      <c r="F127" s="8"/>
      <c r="G127" s="8"/>
      <c r="H127" s="8"/>
      <c r="I127" s="8"/>
      <c r="J127" s="8"/>
      <c r="K127" s="8"/>
      <c r="L127" s="27"/>
      <c r="M127" s="27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spans="1:23" ht="15.75" x14ac:dyDescent="0.25">
      <c r="A128" s="5">
        <v>4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spans="1:23" ht="15.75" x14ac:dyDescent="0.25">
      <c r="A129" s="5">
        <v>5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</row>
    <row r="130" spans="1:23" ht="16.5" thickBot="1" x14ac:dyDescent="0.3">
      <c r="A130" s="7">
        <v>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2" spans="1:23" ht="15.75" thickBot="1" x14ac:dyDescent="0.3"/>
    <row r="133" spans="1:23" ht="15.75" x14ac:dyDescent="0.25">
      <c r="A133" s="100" t="s">
        <v>260</v>
      </c>
      <c r="B133" s="101"/>
      <c r="C133" s="178" t="s">
        <v>280</v>
      </c>
      <c r="D133" s="179"/>
      <c r="E133" s="111" t="s">
        <v>412</v>
      </c>
      <c r="F133" s="112"/>
      <c r="G133" s="101" t="s">
        <v>4</v>
      </c>
      <c r="H133" s="101"/>
      <c r="I133" s="102" t="s">
        <v>366</v>
      </c>
      <c r="J133" s="102"/>
      <c r="K133" s="102"/>
      <c r="L133" s="102"/>
      <c r="M133" s="102"/>
      <c r="N133" s="102"/>
      <c r="O133" s="101" t="s">
        <v>6</v>
      </c>
      <c r="P133" s="101"/>
      <c r="Q133" s="166">
        <v>45823</v>
      </c>
      <c r="R133" s="167"/>
      <c r="S133" s="167"/>
      <c r="T133" s="167"/>
      <c r="U133" s="167"/>
      <c r="V133" s="167"/>
      <c r="W133" s="168"/>
    </row>
    <row r="134" spans="1:23" ht="15.75" x14ac:dyDescent="0.25">
      <c r="A134" s="106" t="s">
        <v>7</v>
      </c>
      <c r="B134" s="107"/>
      <c r="C134" s="116" t="s">
        <v>44</v>
      </c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09"/>
      <c r="P134" s="109"/>
      <c r="Q134" s="107"/>
      <c r="R134" s="107"/>
      <c r="S134" s="107"/>
      <c r="T134" s="107"/>
      <c r="U134" s="107"/>
      <c r="V134" s="107"/>
      <c r="W134" s="110"/>
    </row>
    <row r="135" spans="1:23" x14ac:dyDescent="0.25">
      <c r="A135" s="113" t="s">
        <v>8</v>
      </c>
      <c r="B135" s="114" t="s">
        <v>9</v>
      </c>
      <c r="C135" s="114" t="s">
        <v>10</v>
      </c>
      <c r="D135" s="114" t="s">
        <v>11</v>
      </c>
      <c r="E135" s="114" t="s">
        <v>12</v>
      </c>
      <c r="F135" s="114" t="s">
        <v>13</v>
      </c>
      <c r="G135" s="114" t="s">
        <v>14</v>
      </c>
      <c r="H135" s="114"/>
      <c r="I135" s="114"/>
      <c r="J135" s="114"/>
      <c r="K135" s="114"/>
      <c r="L135" s="114"/>
      <c r="M135" s="114" t="s">
        <v>15</v>
      </c>
      <c r="N135" s="114" t="s">
        <v>16</v>
      </c>
      <c r="O135" s="114" t="s">
        <v>17</v>
      </c>
      <c r="P135" s="114" t="s">
        <v>18</v>
      </c>
      <c r="Q135" s="114" t="s">
        <v>19</v>
      </c>
      <c r="R135" s="114"/>
      <c r="S135" s="114"/>
      <c r="T135" s="114"/>
      <c r="U135" s="114"/>
      <c r="V135" s="114"/>
      <c r="W135" s="115" t="s">
        <v>20</v>
      </c>
    </row>
    <row r="136" spans="1:23" x14ac:dyDescent="0.25">
      <c r="A136" s="113"/>
      <c r="B136" s="114"/>
      <c r="C136" s="114"/>
      <c r="D136" s="114"/>
      <c r="E136" s="114"/>
      <c r="F136" s="114"/>
      <c r="G136" s="31" t="s">
        <v>21</v>
      </c>
      <c r="H136" s="31" t="s">
        <v>21</v>
      </c>
      <c r="I136" s="31" t="s">
        <v>21</v>
      </c>
      <c r="J136" s="31" t="s">
        <v>22</v>
      </c>
      <c r="K136" s="31" t="s">
        <v>22</v>
      </c>
      <c r="L136" s="32" t="s">
        <v>22</v>
      </c>
      <c r="M136" s="138"/>
      <c r="N136" s="114"/>
      <c r="O136" s="114"/>
      <c r="P136" s="114"/>
      <c r="Q136" s="31" t="s">
        <v>21</v>
      </c>
      <c r="R136" s="31" t="s">
        <v>21</v>
      </c>
      <c r="S136" s="31" t="s">
        <v>21</v>
      </c>
      <c r="T136" s="31" t="s">
        <v>22</v>
      </c>
      <c r="U136" s="31" t="s">
        <v>22</v>
      </c>
      <c r="V136" s="31" t="s">
        <v>22</v>
      </c>
      <c r="W136" s="115"/>
    </row>
    <row r="137" spans="1:23" ht="15.75" x14ac:dyDescent="0.25">
      <c r="A137" s="5">
        <v>1</v>
      </c>
      <c r="B137" s="21" t="s">
        <v>241</v>
      </c>
      <c r="C137" s="20">
        <v>45917</v>
      </c>
      <c r="D137" s="20">
        <v>46001</v>
      </c>
      <c r="E137" s="21">
        <v>3</v>
      </c>
      <c r="F137" s="21">
        <v>2</v>
      </c>
      <c r="G137" s="21"/>
      <c r="H137" s="21"/>
      <c r="I137" s="21"/>
      <c r="J137" s="21">
        <v>148</v>
      </c>
      <c r="K137" s="24"/>
      <c r="L137" s="29"/>
      <c r="M137" s="69">
        <v>148</v>
      </c>
      <c r="N137" s="70">
        <v>46028</v>
      </c>
      <c r="O137" s="21">
        <v>1</v>
      </c>
      <c r="P137" s="21">
        <v>0</v>
      </c>
      <c r="Q137" s="21"/>
      <c r="R137" s="21"/>
      <c r="S137" s="21"/>
      <c r="T137" s="21">
        <v>194</v>
      </c>
      <c r="U137" s="21"/>
      <c r="V137" s="21"/>
      <c r="W137" s="22">
        <v>194</v>
      </c>
    </row>
    <row r="138" spans="1:23" ht="15.75" x14ac:dyDescent="0.25">
      <c r="A138" s="6">
        <v>2</v>
      </c>
      <c r="B138" s="21" t="s">
        <v>241</v>
      </c>
      <c r="C138" s="13">
        <v>46039</v>
      </c>
      <c r="D138" s="13">
        <v>46133</v>
      </c>
      <c r="E138" s="21">
        <v>3</v>
      </c>
      <c r="F138" s="21">
        <v>0</v>
      </c>
      <c r="G138" s="21">
        <v>100</v>
      </c>
      <c r="H138" s="21">
        <v>105</v>
      </c>
      <c r="I138" s="21"/>
      <c r="J138" s="21">
        <v>98</v>
      </c>
      <c r="K138" s="24"/>
      <c r="L138" s="29"/>
      <c r="M138" s="69">
        <f>AVERAGE(G138:L138)</f>
        <v>101</v>
      </c>
      <c r="N138" s="26">
        <v>46176</v>
      </c>
      <c r="O138" s="21">
        <v>2</v>
      </c>
      <c r="P138" s="21">
        <v>1</v>
      </c>
      <c r="Q138" s="21">
        <v>230</v>
      </c>
      <c r="R138" s="21">
        <v>228</v>
      </c>
      <c r="S138" s="21"/>
      <c r="T138" s="21"/>
      <c r="U138" s="21"/>
      <c r="V138" s="21"/>
      <c r="W138" s="22">
        <f>AVERAGE(Q138:V138)</f>
        <v>229</v>
      </c>
    </row>
    <row r="139" spans="1:23" ht="15.75" x14ac:dyDescent="0.25">
      <c r="A139" s="6">
        <v>3</v>
      </c>
      <c r="B139" s="8"/>
      <c r="C139" s="8"/>
      <c r="D139" s="8"/>
      <c r="E139" s="21"/>
      <c r="F139" s="21"/>
      <c r="G139" s="21"/>
      <c r="H139" s="21"/>
      <c r="I139" s="21"/>
      <c r="J139" s="21"/>
      <c r="K139" s="21"/>
      <c r="L139" s="44"/>
      <c r="M139" s="44"/>
      <c r="N139" s="21"/>
      <c r="O139" s="21"/>
      <c r="P139" s="21"/>
      <c r="Q139" s="21"/>
      <c r="R139" s="21"/>
      <c r="S139" s="21"/>
      <c r="T139" s="21"/>
      <c r="U139" s="21"/>
      <c r="V139" s="21"/>
      <c r="W139" s="22"/>
    </row>
    <row r="140" spans="1:23" ht="15.75" x14ac:dyDescent="0.25">
      <c r="A140" s="5">
        <v>4</v>
      </c>
      <c r="B140" s="8"/>
      <c r="C140" s="8"/>
      <c r="D140" s="8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2"/>
    </row>
    <row r="141" spans="1:23" ht="15.75" x14ac:dyDescent="0.25">
      <c r="A141" s="5">
        <v>5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spans="1:23" ht="16.5" thickBot="1" x14ac:dyDescent="0.3">
      <c r="A142" s="7">
        <v>6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4" spans="1:23" ht="15.75" thickBot="1" x14ac:dyDescent="0.3"/>
    <row r="145" spans="1:23" ht="15.75" x14ac:dyDescent="0.25">
      <c r="A145" s="100" t="s">
        <v>260</v>
      </c>
      <c r="B145" s="101"/>
      <c r="C145" s="194" t="s">
        <v>281</v>
      </c>
      <c r="D145" s="195"/>
      <c r="E145" s="111" t="s">
        <v>412</v>
      </c>
      <c r="F145" s="112"/>
      <c r="G145" s="101" t="s">
        <v>4</v>
      </c>
      <c r="H145" s="101"/>
      <c r="I145" s="102" t="s">
        <v>366</v>
      </c>
      <c r="J145" s="102"/>
      <c r="K145" s="102"/>
      <c r="L145" s="102"/>
      <c r="M145" s="102"/>
      <c r="N145" s="102"/>
      <c r="O145" s="101" t="s">
        <v>6</v>
      </c>
      <c r="P145" s="101"/>
      <c r="Q145" s="166">
        <v>45815</v>
      </c>
      <c r="R145" s="167"/>
      <c r="S145" s="167"/>
      <c r="T145" s="167"/>
      <c r="U145" s="167"/>
      <c r="V145" s="167"/>
      <c r="W145" s="168"/>
    </row>
    <row r="146" spans="1:23" ht="15.75" x14ac:dyDescent="0.25">
      <c r="A146" s="106" t="s">
        <v>7</v>
      </c>
      <c r="B146" s="107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7"/>
      <c r="R146" s="107"/>
      <c r="S146" s="107"/>
      <c r="T146" s="107"/>
      <c r="U146" s="107"/>
      <c r="V146" s="107"/>
      <c r="W146" s="110"/>
    </row>
    <row r="147" spans="1:23" x14ac:dyDescent="0.25">
      <c r="A147" s="113" t="s">
        <v>8</v>
      </c>
      <c r="B147" s="114" t="s">
        <v>9</v>
      </c>
      <c r="C147" s="114" t="s">
        <v>10</v>
      </c>
      <c r="D147" s="114" t="s">
        <v>11</v>
      </c>
      <c r="E147" s="114" t="s">
        <v>12</v>
      </c>
      <c r="F147" s="114" t="s">
        <v>13</v>
      </c>
      <c r="G147" s="114" t="s">
        <v>14</v>
      </c>
      <c r="H147" s="114"/>
      <c r="I147" s="114"/>
      <c r="J147" s="114"/>
      <c r="K147" s="114"/>
      <c r="L147" s="114"/>
      <c r="M147" s="114" t="s">
        <v>15</v>
      </c>
      <c r="N147" s="114" t="s">
        <v>16</v>
      </c>
      <c r="O147" s="114" t="s">
        <v>17</v>
      </c>
      <c r="P147" s="114" t="s">
        <v>18</v>
      </c>
      <c r="Q147" s="114" t="s">
        <v>19</v>
      </c>
      <c r="R147" s="114"/>
      <c r="S147" s="114"/>
      <c r="T147" s="114"/>
      <c r="U147" s="114"/>
      <c r="V147" s="114"/>
      <c r="W147" s="115" t="s">
        <v>20</v>
      </c>
    </row>
    <row r="148" spans="1:23" x14ac:dyDescent="0.25">
      <c r="A148" s="113"/>
      <c r="B148" s="114"/>
      <c r="C148" s="114"/>
      <c r="D148" s="114"/>
      <c r="E148" s="114"/>
      <c r="F148" s="114"/>
      <c r="G148" s="31" t="s">
        <v>21</v>
      </c>
      <c r="H148" s="31" t="s">
        <v>21</v>
      </c>
      <c r="I148" s="31" t="s">
        <v>21</v>
      </c>
      <c r="J148" s="31" t="s">
        <v>22</v>
      </c>
      <c r="K148" s="31" t="s">
        <v>22</v>
      </c>
      <c r="L148" s="32" t="s">
        <v>22</v>
      </c>
      <c r="M148" s="138"/>
      <c r="N148" s="114"/>
      <c r="O148" s="114"/>
      <c r="P148" s="114"/>
      <c r="Q148" s="31" t="s">
        <v>21</v>
      </c>
      <c r="R148" s="31" t="s">
        <v>21</v>
      </c>
      <c r="S148" s="31" t="s">
        <v>21</v>
      </c>
      <c r="T148" s="31" t="s">
        <v>22</v>
      </c>
      <c r="U148" s="31" t="s">
        <v>22</v>
      </c>
      <c r="V148" s="31" t="s">
        <v>22</v>
      </c>
      <c r="W148" s="115"/>
    </row>
    <row r="149" spans="1:23" ht="15.75" x14ac:dyDescent="0.25">
      <c r="A149" s="5">
        <v>1</v>
      </c>
      <c r="B149" s="21" t="s">
        <v>241</v>
      </c>
      <c r="C149" s="20">
        <v>45917</v>
      </c>
      <c r="D149" s="20">
        <v>46002</v>
      </c>
      <c r="E149" s="21">
        <v>3</v>
      </c>
      <c r="F149" s="21">
        <v>0</v>
      </c>
      <c r="G149" s="21">
        <v>104</v>
      </c>
      <c r="H149" s="21">
        <v>111</v>
      </c>
      <c r="I149" s="21"/>
      <c r="J149" s="21">
        <v>107</v>
      </c>
      <c r="K149" s="24"/>
      <c r="L149" s="29"/>
      <c r="M149" s="72">
        <f>AVERAGE(G149:L149)</f>
        <v>107.33333333333333</v>
      </c>
      <c r="N149" s="70">
        <v>46028</v>
      </c>
      <c r="O149" s="21">
        <v>3</v>
      </c>
      <c r="P149" s="21">
        <v>0</v>
      </c>
      <c r="Q149" s="21">
        <v>169</v>
      </c>
      <c r="R149" s="21">
        <v>208</v>
      </c>
      <c r="S149" s="21"/>
      <c r="T149" s="21">
        <v>174</v>
      </c>
      <c r="U149" s="21"/>
      <c r="V149" s="21"/>
      <c r="W149" s="40">
        <f>AVERAGE(Q149:V149)</f>
        <v>183.66666666666666</v>
      </c>
    </row>
    <row r="150" spans="1:23" ht="15.75" x14ac:dyDescent="0.25">
      <c r="A150" s="6">
        <v>2</v>
      </c>
      <c r="B150" s="21" t="s">
        <v>241</v>
      </c>
      <c r="C150" s="13">
        <v>46039</v>
      </c>
      <c r="D150" s="20">
        <v>46118</v>
      </c>
      <c r="E150" s="21">
        <v>2</v>
      </c>
      <c r="F150" s="21">
        <v>0</v>
      </c>
      <c r="G150" s="21">
        <v>128</v>
      </c>
      <c r="H150" s="21"/>
      <c r="I150" s="21"/>
      <c r="J150" s="21">
        <v>126</v>
      </c>
      <c r="K150" s="24"/>
      <c r="L150" s="29"/>
      <c r="M150" s="69">
        <f>AVERAGE(G150:L150)</f>
        <v>127</v>
      </c>
      <c r="N150" s="26">
        <v>46139</v>
      </c>
      <c r="O150" s="21">
        <v>2</v>
      </c>
      <c r="P150" s="21">
        <v>0</v>
      </c>
      <c r="Q150" s="21">
        <v>215</v>
      </c>
      <c r="R150" s="21"/>
      <c r="S150" s="21"/>
      <c r="T150" s="21">
        <v>202</v>
      </c>
      <c r="U150" s="21"/>
      <c r="V150" s="21"/>
      <c r="W150" s="22">
        <f>AVERAGE(Q150:V150)</f>
        <v>208.5</v>
      </c>
    </row>
    <row r="151" spans="1:23" ht="15.75" x14ac:dyDescent="0.25">
      <c r="A151" s="6">
        <v>3</v>
      </c>
      <c r="B151" s="8"/>
      <c r="C151" s="8"/>
      <c r="D151" s="21"/>
      <c r="E151" s="21"/>
      <c r="F151" s="21"/>
      <c r="G151" s="21"/>
      <c r="H151" s="21"/>
      <c r="I151" s="21"/>
      <c r="J151" s="21"/>
      <c r="K151" s="21"/>
      <c r="L151" s="44"/>
      <c r="M151" s="44"/>
      <c r="N151" s="21"/>
      <c r="O151" s="21"/>
      <c r="P151" s="21"/>
      <c r="Q151" s="21"/>
      <c r="R151" s="21"/>
      <c r="S151" s="21"/>
      <c r="T151" s="21"/>
      <c r="U151" s="21"/>
      <c r="V151" s="21"/>
      <c r="W151" s="22"/>
    </row>
    <row r="152" spans="1:23" ht="15.75" x14ac:dyDescent="0.25">
      <c r="A152" s="5">
        <v>4</v>
      </c>
      <c r="B152" s="8"/>
      <c r="C152" s="8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2"/>
    </row>
    <row r="153" spans="1:23" ht="15.75" x14ac:dyDescent="0.25">
      <c r="A153" s="5">
        <v>5</v>
      </c>
      <c r="B153" s="8"/>
      <c r="C153" s="8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2"/>
    </row>
    <row r="154" spans="1:23" ht="16.5" thickBot="1" x14ac:dyDescent="0.3">
      <c r="A154" s="7">
        <v>6</v>
      </c>
      <c r="B154" s="10"/>
      <c r="C154" s="10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9"/>
    </row>
    <row r="156" spans="1:23" ht="15.75" thickBot="1" x14ac:dyDescent="0.3"/>
    <row r="157" spans="1:23" ht="15.75" x14ac:dyDescent="0.25">
      <c r="A157" s="100" t="s">
        <v>260</v>
      </c>
      <c r="B157" s="101"/>
      <c r="C157" s="194" t="s">
        <v>282</v>
      </c>
      <c r="D157" s="195"/>
      <c r="E157" s="111" t="s">
        <v>412</v>
      </c>
      <c r="F157" s="112"/>
      <c r="G157" s="101" t="s">
        <v>4</v>
      </c>
      <c r="H157" s="101"/>
      <c r="I157" s="102" t="s">
        <v>366</v>
      </c>
      <c r="J157" s="102"/>
      <c r="K157" s="102"/>
      <c r="L157" s="102"/>
      <c r="M157" s="102"/>
      <c r="N157" s="102"/>
      <c r="O157" s="101" t="s">
        <v>6</v>
      </c>
      <c r="P157" s="101"/>
      <c r="Q157" s="166">
        <v>45814</v>
      </c>
      <c r="R157" s="167"/>
      <c r="S157" s="167"/>
      <c r="T157" s="167"/>
      <c r="U157" s="167"/>
      <c r="V157" s="167"/>
      <c r="W157" s="168"/>
    </row>
    <row r="158" spans="1:23" ht="15.75" x14ac:dyDescent="0.25">
      <c r="A158" s="106" t="s">
        <v>7</v>
      </c>
      <c r="B158" s="107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7"/>
      <c r="R158" s="107"/>
      <c r="S158" s="107"/>
      <c r="T158" s="107"/>
      <c r="U158" s="107"/>
      <c r="V158" s="107"/>
      <c r="W158" s="110"/>
    </row>
    <row r="159" spans="1:23" x14ac:dyDescent="0.25">
      <c r="A159" s="113" t="s">
        <v>8</v>
      </c>
      <c r="B159" s="114" t="s">
        <v>9</v>
      </c>
      <c r="C159" s="114" t="s">
        <v>10</v>
      </c>
      <c r="D159" s="114" t="s">
        <v>11</v>
      </c>
      <c r="E159" s="114" t="s">
        <v>12</v>
      </c>
      <c r="F159" s="114" t="s">
        <v>13</v>
      </c>
      <c r="G159" s="114" t="s">
        <v>14</v>
      </c>
      <c r="H159" s="114"/>
      <c r="I159" s="114"/>
      <c r="J159" s="114"/>
      <c r="K159" s="114"/>
      <c r="L159" s="114"/>
      <c r="M159" s="114" t="s">
        <v>15</v>
      </c>
      <c r="N159" s="114" t="s">
        <v>16</v>
      </c>
      <c r="O159" s="114" t="s">
        <v>17</v>
      </c>
      <c r="P159" s="114" t="s">
        <v>18</v>
      </c>
      <c r="Q159" s="114" t="s">
        <v>19</v>
      </c>
      <c r="R159" s="114"/>
      <c r="S159" s="114"/>
      <c r="T159" s="114"/>
      <c r="U159" s="114"/>
      <c r="V159" s="114"/>
      <c r="W159" s="115" t="s">
        <v>20</v>
      </c>
    </row>
    <row r="160" spans="1:23" x14ac:dyDescent="0.25">
      <c r="A160" s="113"/>
      <c r="B160" s="114"/>
      <c r="C160" s="114"/>
      <c r="D160" s="114"/>
      <c r="E160" s="114"/>
      <c r="F160" s="114"/>
      <c r="G160" s="31" t="s">
        <v>21</v>
      </c>
      <c r="H160" s="31" t="s">
        <v>21</v>
      </c>
      <c r="I160" s="31" t="s">
        <v>21</v>
      </c>
      <c r="J160" s="31" t="s">
        <v>22</v>
      </c>
      <c r="K160" s="31" t="s">
        <v>22</v>
      </c>
      <c r="L160" s="32" t="s">
        <v>22</v>
      </c>
      <c r="M160" s="138"/>
      <c r="N160" s="114"/>
      <c r="O160" s="114"/>
      <c r="P160" s="114"/>
      <c r="Q160" s="31" t="s">
        <v>21</v>
      </c>
      <c r="R160" s="31" t="s">
        <v>21</v>
      </c>
      <c r="S160" s="31" t="s">
        <v>21</v>
      </c>
      <c r="T160" s="31" t="s">
        <v>22</v>
      </c>
      <c r="U160" s="31" t="s">
        <v>22</v>
      </c>
      <c r="V160" s="31" t="s">
        <v>22</v>
      </c>
      <c r="W160" s="115"/>
    </row>
    <row r="161" spans="1:23" ht="15.75" x14ac:dyDescent="0.25">
      <c r="A161" s="5">
        <v>1</v>
      </c>
      <c r="B161" s="21" t="s">
        <v>241</v>
      </c>
      <c r="C161" s="20"/>
      <c r="D161" s="20">
        <v>46030</v>
      </c>
      <c r="E161" s="21">
        <v>2</v>
      </c>
      <c r="F161" s="21">
        <v>2</v>
      </c>
      <c r="G161" s="21"/>
      <c r="H161" s="21"/>
      <c r="I161" s="21"/>
      <c r="J161" s="21"/>
      <c r="K161" s="24"/>
      <c r="L161" s="29"/>
      <c r="M161" s="57"/>
      <c r="O161" s="21"/>
      <c r="P161" s="21"/>
      <c r="Q161" s="21"/>
      <c r="R161" s="21"/>
      <c r="S161" s="21"/>
      <c r="T161" s="21"/>
      <c r="U161" s="21"/>
      <c r="V161" s="21"/>
      <c r="W161" s="22"/>
    </row>
    <row r="162" spans="1:23" ht="15.75" x14ac:dyDescent="0.25">
      <c r="A162" s="6">
        <v>2</v>
      </c>
      <c r="B162" s="21" t="s">
        <v>241</v>
      </c>
      <c r="C162" s="13">
        <v>46039</v>
      </c>
      <c r="D162" s="13">
        <v>46112</v>
      </c>
      <c r="E162" s="21">
        <v>4</v>
      </c>
      <c r="F162" s="21">
        <v>0</v>
      </c>
      <c r="G162" s="21">
        <v>91</v>
      </c>
      <c r="H162" s="21"/>
      <c r="I162" s="21"/>
      <c r="J162" s="21">
        <v>129</v>
      </c>
      <c r="K162" s="24">
        <v>106</v>
      </c>
      <c r="L162" s="29">
        <v>115</v>
      </c>
      <c r="M162" s="72">
        <f>AVERAGE(G162:L162)</f>
        <v>110.25</v>
      </c>
      <c r="N162" s="26">
        <v>46133</v>
      </c>
      <c r="O162" s="21">
        <v>4</v>
      </c>
      <c r="P162" s="21">
        <v>0</v>
      </c>
      <c r="Q162" s="21">
        <v>191</v>
      </c>
      <c r="R162" s="21"/>
      <c r="S162" s="21"/>
      <c r="T162" s="21">
        <v>204</v>
      </c>
      <c r="U162" s="21">
        <v>271</v>
      </c>
      <c r="V162" s="21">
        <v>217</v>
      </c>
      <c r="W162" s="40">
        <f>AVERAGE(Q162:V162)</f>
        <v>220.75</v>
      </c>
    </row>
    <row r="163" spans="1:23" ht="15.75" x14ac:dyDescent="0.25">
      <c r="A163" s="6">
        <v>3</v>
      </c>
      <c r="B163" s="8"/>
      <c r="C163" s="8"/>
      <c r="D163" s="8"/>
      <c r="E163" s="21"/>
      <c r="F163" s="21"/>
      <c r="G163" s="21"/>
      <c r="H163" s="21"/>
      <c r="I163" s="21"/>
      <c r="J163" s="21"/>
      <c r="K163" s="21"/>
      <c r="L163" s="44"/>
      <c r="M163" s="44"/>
      <c r="N163" s="20"/>
      <c r="O163" s="21"/>
      <c r="P163" s="21"/>
      <c r="Q163" s="21"/>
      <c r="R163" s="21"/>
      <c r="S163" s="21"/>
      <c r="T163" s="21"/>
      <c r="U163" s="21"/>
      <c r="V163" s="21"/>
      <c r="W163" s="22"/>
    </row>
    <row r="164" spans="1:23" ht="15.75" x14ac:dyDescent="0.25">
      <c r="A164" s="5">
        <v>4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</row>
    <row r="165" spans="1:23" ht="15.75" x14ac:dyDescent="0.25">
      <c r="A165" s="5">
        <v>5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spans="1:23" ht="16.5" thickBot="1" x14ac:dyDescent="0.3">
      <c r="A166" s="7">
        <v>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8" spans="1:23" ht="15.75" thickBot="1" x14ac:dyDescent="0.3"/>
    <row r="169" spans="1:23" ht="15.75" x14ac:dyDescent="0.25">
      <c r="A169" s="100" t="s">
        <v>260</v>
      </c>
      <c r="B169" s="101"/>
      <c r="C169" s="194" t="s">
        <v>284</v>
      </c>
      <c r="D169" s="195"/>
      <c r="E169" s="111" t="s">
        <v>412</v>
      </c>
      <c r="F169" s="112"/>
      <c r="G169" s="101" t="s">
        <v>4</v>
      </c>
      <c r="H169" s="101"/>
      <c r="I169" s="102" t="s">
        <v>366</v>
      </c>
      <c r="J169" s="102"/>
      <c r="K169" s="102"/>
      <c r="L169" s="102"/>
      <c r="M169" s="102"/>
      <c r="N169" s="102"/>
      <c r="O169" s="101" t="s">
        <v>6</v>
      </c>
      <c r="P169" s="101"/>
      <c r="Q169" s="166">
        <v>45810</v>
      </c>
      <c r="R169" s="167"/>
      <c r="S169" s="167"/>
      <c r="T169" s="167"/>
      <c r="U169" s="167"/>
      <c r="V169" s="167"/>
      <c r="W169" s="168"/>
    </row>
    <row r="170" spans="1:23" ht="15.75" x14ac:dyDescent="0.25">
      <c r="A170" s="106" t="s">
        <v>7</v>
      </c>
      <c r="B170" s="107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7"/>
      <c r="R170" s="107"/>
      <c r="S170" s="107"/>
      <c r="T170" s="107"/>
      <c r="U170" s="107"/>
      <c r="V170" s="107"/>
      <c r="W170" s="110"/>
    </row>
    <row r="171" spans="1:23" x14ac:dyDescent="0.25">
      <c r="A171" s="113" t="s">
        <v>8</v>
      </c>
      <c r="B171" s="114" t="s">
        <v>9</v>
      </c>
      <c r="C171" s="114" t="s">
        <v>10</v>
      </c>
      <c r="D171" s="114" t="s">
        <v>11</v>
      </c>
      <c r="E171" s="114" t="s">
        <v>12</v>
      </c>
      <c r="F171" s="114" t="s">
        <v>13</v>
      </c>
      <c r="G171" s="114" t="s">
        <v>14</v>
      </c>
      <c r="H171" s="114"/>
      <c r="I171" s="114"/>
      <c r="J171" s="114"/>
      <c r="K171" s="114"/>
      <c r="L171" s="114"/>
      <c r="M171" s="114" t="s">
        <v>15</v>
      </c>
      <c r="N171" s="114" t="s">
        <v>16</v>
      </c>
      <c r="O171" s="114" t="s">
        <v>17</v>
      </c>
      <c r="P171" s="114" t="s">
        <v>18</v>
      </c>
      <c r="Q171" s="114" t="s">
        <v>19</v>
      </c>
      <c r="R171" s="114"/>
      <c r="S171" s="114"/>
      <c r="T171" s="114"/>
      <c r="U171" s="114"/>
      <c r="V171" s="114"/>
      <c r="W171" s="115" t="s">
        <v>20</v>
      </c>
    </row>
    <row r="172" spans="1:23" x14ac:dyDescent="0.25">
      <c r="A172" s="113"/>
      <c r="B172" s="114"/>
      <c r="C172" s="114"/>
      <c r="D172" s="114"/>
      <c r="E172" s="114"/>
      <c r="F172" s="114"/>
      <c r="G172" s="31" t="s">
        <v>21</v>
      </c>
      <c r="H172" s="31" t="s">
        <v>21</v>
      </c>
      <c r="I172" s="31" t="s">
        <v>21</v>
      </c>
      <c r="J172" s="31" t="s">
        <v>22</v>
      </c>
      <c r="K172" s="31" t="s">
        <v>22</v>
      </c>
      <c r="L172" s="32" t="s">
        <v>22</v>
      </c>
      <c r="M172" s="138"/>
      <c r="N172" s="114"/>
      <c r="O172" s="114"/>
      <c r="P172" s="114"/>
      <c r="Q172" s="31" t="s">
        <v>21</v>
      </c>
      <c r="R172" s="31" t="s">
        <v>21</v>
      </c>
      <c r="S172" s="31" t="s">
        <v>21</v>
      </c>
      <c r="T172" s="31" t="s">
        <v>22</v>
      </c>
      <c r="U172" s="31" t="s">
        <v>22</v>
      </c>
      <c r="V172" s="31" t="s">
        <v>22</v>
      </c>
      <c r="W172" s="115"/>
    </row>
    <row r="173" spans="1:23" ht="15.75" x14ac:dyDescent="0.25">
      <c r="A173" s="5">
        <v>1</v>
      </c>
      <c r="B173" s="21" t="s">
        <v>241</v>
      </c>
      <c r="C173" s="20">
        <v>45917</v>
      </c>
      <c r="D173" s="36">
        <v>45998</v>
      </c>
      <c r="E173" s="21">
        <v>4</v>
      </c>
      <c r="F173" s="21">
        <v>0</v>
      </c>
      <c r="G173" s="21">
        <v>113</v>
      </c>
      <c r="H173" s="21">
        <v>96</v>
      </c>
      <c r="I173" s="21">
        <v>108</v>
      </c>
      <c r="J173" s="21">
        <v>99</v>
      </c>
      <c r="K173" s="24"/>
      <c r="L173" s="58"/>
      <c r="M173" s="31">
        <f>AVERAGE(G173:L173)</f>
        <v>104</v>
      </c>
      <c r="N173" s="70">
        <v>46028</v>
      </c>
      <c r="O173" s="21">
        <v>3</v>
      </c>
      <c r="P173" s="21">
        <v>1</v>
      </c>
      <c r="Q173" s="21">
        <v>298</v>
      </c>
      <c r="R173" s="21">
        <v>202</v>
      </c>
      <c r="S173" s="21">
        <v>203</v>
      </c>
      <c r="T173" s="21"/>
      <c r="U173" s="21"/>
      <c r="V173" s="21"/>
      <c r="W173" s="40">
        <f>AVERAGE(Q173:V173)</f>
        <v>234.33333333333334</v>
      </c>
    </row>
    <row r="174" spans="1:23" ht="15.75" x14ac:dyDescent="0.25">
      <c r="A174" s="6">
        <v>2</v>
      </c>
      <c r="B174" s="21" t="s">
        <v>241</v>
      </c>
      <c r="C174" s="13">
        <v>46039</v>
      </c>
      <c r="D174" s="13">
        <v>46118</v>
      </c>
      <c r="E174" s="21">
        <v>3</v>
      </c>
      <c r="F174" s="21">
        <v>0</v>
      </c>
      <c r="G174" s="21">
        <v>120</v>
      </c>
      <c r="H174" s="21"/>
      <c r="I174" s="21"/>
      <c r="J174" s="21">
        <v>125</v>
      </c>
      <c r="K174" s="24">
        <v>128</v>
      </c>
      <c r="L174" s="58"/>
      <c r="M174" s="74">
        <f>AVERAGE(G174:L174)</f>
        <v>124.33333333333333</v>
      </c>
      <c r="N174" s="26">
        <v>46139</v>
      </c>
      <c r="O174" s="21">
        <v>3</v>
      </c>
      <c r="P174" s="21">
        <v>0</v>
      </c>
      <c r="Q174" s="21">
        <v>323</v>
      </c>
      <c r="R174" s="21"/>
      <c r="S174" s="21"/>
      <c r="T174" s="21">
        <v>209</v>
      </c>
      <c r="U174" s="21">
        <v>228</v>
      </c>
      <c r="V174" s="21"/>
      <c r="W174" s="68">
        <f>AVERAGE(Q174:V174)</f>
        <v>253.33333333333334</v>
      </c>
    </row>
    <row r="175" spans="1:23" ht="15.75" x14ac:dyDescent="0.25">
      <c r="A175" s="6">
        <v>3</v>
      </c>
      <c r="B175" s="8" t="s">
        <v>241</v>
      </c>
      <c r="C175" s="13">
        <v>46148</v>
      </c>
      <c r="D175" s="8"/>
      <c r="E175" s="21"/>
      <c r="F175" s="21"/>
      <c r="G175" s="21"/>
      <c r="H175" s="21"/>
      <c r="I175" s="21"/>
      <c r="J175" s="21"/>
      <c r="K175" s="21"/>
      <c r="L175" s="44"/>
      <c r="M175" s="44"/>
      <c r="N175" s="21"/>
      <c r="O175" s="21"/>
      <c r="P175" s="21"/>
      <c r="Q175" s="21"/>
      <c r="R175" s="21"/>
      <c r="S175" s="21"/>
      <c r="T175" s="21"/>
      <c r="U175" s="21"/>
      <c r="V175" s="21"/>
      <c r="W175" s="22"/>
    </row>
    <row r="176" spans="1:23" ht="15.75" x14ac:dyDescent="0.25">
      <c r="A176" s="5">
        <v>4</v>
      </c>
      <c r="B176" s="8"/>
      <c r="C176" s="8"/>
      <c r="D176" s="8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2"/>
    </row>
    <row r="177" spans="1:23" ht="15.75" x14ac:dyDescent="0.25">
      <c r="A177" s="5">
        <v>5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</row>
    <row r="178" spans="1:23" ht="16.5" thickBot="1" x14ac:dyDescent="0.3">
      <c r="A178" s="7">
        <v>6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80" spans="1:23" ht="15.75" thickBot="1" x14ac:dyDescent="0.3"/>
    <row r="181" spans="1:23" ht="15.75" x14ac:dyDescent="0.25">
      <c r="A181" s="100" t="s">
        <v>260</v>
      </c>
      <c r="B181" s="101"/>
      <c r="C181" s="194" t="s">
        <v>285</v>
      </c>
      <c r="D181" s="195"/>
      <c r="E181" s="111" t="s">
        <v>412</v>
      </c>
      <c r="F181" s="112"/>
      <c r="G181" s="101" t="s">
        <v>4</v>
      </c>
      <c r="H181" s="101"/>
      <c r="I181" s="102" t="s">
        <v>366</v>
      </c>
      <c r="J181" s="102"/>
      <c r="K181" s="102"/>
      <c r="L181" s="102"/>
      <c r="M181" s="102"/>
      <c r="N181" s="102"/>
      <c r="O181" s="101" t="s">
        <v>6</v>
      </c>
      <c r="P181" s="101"/>
      <c r="Q181" s="166">
        <v>45810</v>
      </c>
      <c r="R181" s="167"/>
      <c r="S181" s="167"/>
      <c r="T181" s="167"/>
      <c r="U181" s="167"/>
      <c r="V181" s="167"/>
      <c r="W181" s="168"/>
    </row>
    <row r="182" spans="1:23" ht="15.75" x14ac:dyDescent="0.25">
      <c r="A182" s="106" t="s">
        <v>7</v>
      </c>
      <c r="B182" s="107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7"/>
      <c r="R182" s="107"/>
      <c r="S182" s="107"/>
      <c r="T182" s="107"/>
      <c r="U182" s="107"/>
      <c r="V182" s="107"/>
      <c r="W182" s="110"/>
    </row>
    <row r="183" spans="1:23" x14ac:dyDescent="0.25">
      <c r="A183" s="113" t="s">
        <v>8</v>
      </c>
      <c r="B183" s="114" t="s">
        <v>9</v>
      </c>
      <c r="C183" s="114" t="s">
        <v>10</v>
      </c>
      <c r="D183" s="114" t="s">
        <v>11</v>
      </c>
      <c r="E183" s="114" t="s">
        <v>12</v>
      </c>
      <c r="F183" s="114" t="s">
        <v>13</v>
      </c>
      <c r="G183" s="114" t="s">
        <v>14</v>
      </c>
      <c r="H183" s="114"/>
      <c r="I183" s="114"/>
      <c r="J183" s="114"/>
      <c r="K183" s="114"/>
      <c r="L183" s="114"/>
      <c r="M183" s="114" t="s">
        <v>15</v>
      </c>
      <c r="N183" s="114" t="s">
        <v>16</v>
      </c>
      <c r="O183" s="114" t="s">
        <v>17</v>
      </c>
      <c r="P183" s="114" t="s">
        <v>18</v>
      </c>
      <c r="Q183" s="114" t="s">
        <v>19</v>
      </c>
      <c r="R183" s="114"/>
      <c r="S183" s="114"/>
      <c r="T183" s="114"/>
      <c r="U183" s="114"/>
      <c r="V183" s="114"/>
      <c r="W183" s="115" t="s">
        <v>20</v>
      </c>
    </row>
    <row r="184" spans="1:23" x14ac:dyDescent="0.25">
      <c r="A184" s="113"/>
      <c r="B184" s="114"/>
      <c r="C184" s="114"/>
      <c r="D184" s="114"/>
      <c r="E184" s="114"/>
      <c r="F184" s="114"/>
      <c r="G184" s="31" t="s">
        <v>21</v>
      </c>
      <c r="H184" s="31" t="s">
        <v>21</v>
      </c>
      <c r="I184" s="31" t="s">
        <v>21</v>
      </c>
      <c r="J184" s="31" t="s">
        <v>22</v>
      </c>
      <c r="K184" s="31" t="s">
        <v>22</v>
      </c>
      <c r="L184" s="32" t="s">
        <v>22</v>
      </c>
      <c r="M184" s="138"/>
      <c r="N184" s="114"/>
      <c r="O184" s="114"/>
      <c r="P184" s="114"/>
      <c r="Q184" s="31" t="s">
        <v>21</v>
      </c>
      <c r="R184" s="31" t="s">
        <v>21</v>
      </c>
      <c r="S184" s="31" t="s">
        <v>21</v>
      </c>
      <c r="T184" s="31" t="s">
        <v>22</v>
      </c>
      <c r="U184" s="31" t="s">
        <v>22</v>
      </c>
      <c r="V184" s="31" t="s">
        <v>22</v>
      </c>
      <c r="W184" s="115"/>
    </row>
    <row r="185" spans="1:23" ht="15.75" x14ac:dyDescent="0.25">
      <c r="A185" s="5">
        <v>1</v>
      </c>
      <c r="B185" s="21" t="s">
        <v>241</v>
      </c>
      <c r="C185" s="20">
        <v>45917</v>
      </c>
      <c r="D185" s="36">
        <v>46001</v>
      </c>
      <c r="E185" s="21">
        <v>1</v>
      </c>
      <c r="F185" s="21">
        <v>0</v>
      </c>
      <c r="G185" s="21">
        <v>130</v>
      </c>
      <c r="H185" s="21"/>
      <c r="I185" s="21"/>
      <c r="J185" s="21"/>
      <c r="K185" s="24"/>
      <c r="L185" s="58"/>
      <c r="M185" s="31">
        <v>130</v>
      </c>
      <c r="N185" s="70">
        <v>46028</v>
      </c>
      <c r="O185" s="21">
        <v>1</v>
      </c>
      <c r="P185" s="21">
        <v>0</v>
      </c>
      <c r="Q185" s="21">
        <v>205</v>
      </c>
      <c r="R185" s="21"/>
      <c r="S185" s="21"/>
      <c r="T185" s="21"/>
      <c r="U185" s="21"/>
      <c r="V185" s="21"/>
      <c r="W185" s="22">
        <v>205</v>
      </c>
    </row>
    <row r="186" spans="1:23" ht="15.75" x14ac:dyDescent="0.25">
      <c r="A186" s="6">
        <v>2</v>
      </c>
      <c r="B186" s="21" t="s">
        <v>241</v>
      </c>
      <c r="C186" s="13">
        <v>46039</v>
      </c>
      <c r="D186" s="13">
        <v>46119</v>
      </c>
      <c r="E186" s="21">
        <v>3</v>
      </c>
      <c r="F186" s="21">
        <v>0</v>
      </c>
      <c r="G186" s="21">
        <v>122</v>
      </c>
      <c r="H186" s="21">
        <v>118</v>
      </c>
      <c r="I186" s="21"/>
      <c r="J186" s="21">
        <v>115</v>
      </c>
      <c r="K186" s="24"/>
      <c r="L186" s="58"/>
      <c r="M186" s="90">
        <f>AVERAGE(G186:L186)</f>
        <v>118.33333333333333</v>
      </c>
      <c r="N186" s="26">
        <v>46139</v>
      </c>
      <c r="O186" s="21">
        <v>3</v>
      </c>
      <c r="P186" s="21">
        <v>0</v>
      </c>
      <c r="Q186" s="21">
        <v>235</v>
      </c>
      <c r="R186" s="21"/>
      <c r="S186" s="21"/>
      <c r="T186" s="21">
        <v>201</v>
      </c>
      <c r="U186" s="21">
        <v>199</v>
      </c>
      <c r="V186" s="21"/>
      <c r="W186" s="68">
        <f>AVERAGE(Q186:V186)</f>
        <v>211.66666666666666</v>
      </c>
    </row>
    <row r="187" spans="1:23" ht="15.75" x14ac:dyDescent="0.25">
      <c r="A187" s="6">
        <v>3</v>
      </c>
      <c r="B187" s="8"/>
      <c r="C187" s="8"/>
      <c r="D187" s="8"/>
      <c r="E187" s="21"/>
      <c r="F187" s="21"/>
      <c r="G187" s="21"/>
      <c r="H187" s="21"/>
      <c r="I187" s="21"/>
      <c r="J187" s="21"/>
      <c r="K187" s="21"/>
      <c r="L187" s="44"/>
      <c r="M187" s="44"/>
      <c r="N187" s="21"/>
      <c r="O187" s="21"/>
      <c r="P187" s="21"/>
      <c r="Q187" s="21"/>
      <c r="R187" s="21"/>
      <c r="S187" s="21"/>
      <c r="T187" s="21"/>
      <c r="U187" s="21"/>
      <c r="V187" s="21"/>
      <c r="W187" s="22"/>
    </row>
    <row r="188" spans="1:23" ht="15.75" x14ac:dyDescent="0.25">
      <c r="A188" s="5">
        <v>4</v>
      </c>
      <c r="B188" s="8"/>
      <c r="C188" s="8"/>
      <c r="D188" s="8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2"/>
    </row>
    <row r="189" spans="1:23" ht="15.75" x14ac:dyDescent="0.25">
      <c r="A189" s="5">
        <v>5</v>
      </c>
      <c r="B189" s="8"/>
      <c r="C189" s="8"/>
      <c r="D189" s="8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2"/>
    </row>
    <row r="190" spans="1:23" ht="16.5" thickBot="1" x14ac:dyDescent="0.3">
      <c r="A190" s="7">
        <v>6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2" spans="1:23" ht="15.75" thickBot="1" x14ac:dyDescent="0.3"/>
    <row r="193" spans="1:23" ht="15.75" x14ac:dyDescent="0.25">
      <c r="A193" s="100" t="s">
        <v>260</v>
      </c>
      <c r="B193" s="101"/>
      <c r="C193" s="194" t="s">
        <v>286</v>
      </c>
      <c r="D193" s="195"/>
      <c r="E193" s="111" t="s">
        <v>494</v>
      </c>
      <c r="F193" s="112"/>
      <c r="G193" s="101" t="s">
        <v>4</v>
      </c>
      <c r="H193" s="101"/>
      <c r="I193" s="102" t="s">
        <v>366</v>
      </c>
      <c r="J193" s="102"/>
      <c r="K193" s="102"/>
      <c r="L193" s="102"/>
      <c r="M193" s="102"/>
      <c r="N193" s="102"/>
      <c r="O193" s="101" t="s">
        <v>6</v>
      </c>
      <c r="P193" s="101"/>
      <c r="Q193" s="166">
        <v>45844</v>
      </c>
      <c r="R193" s="167"/>
      <c r="S193" s="167"/>
      <c r="T193" s="167"/>
      <c r="U193" s="167"/>
      <c r="V193" s="167"/>
      <c r="W193" s="168"/>
    </row>
    <row r="194" spans="1:23" ht="15.75" x14ac:dyDescent="0.25">
      <c r="A194" s="106" t="s">
        <v>7</v>
      </c>
      <c r="B194" s="107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7"/>
      <c r="R194" s="107"/>
      <c r="S194" s="107"/>
      <c r="T194" s="107"/>
      <c r="U194" s="107"/>
      <c r="V194" s="107"/>
      <c r="W194" s="110"/>
    </row>
    <row r="195" spans="1:23" x14ac:dyDescent="0.25">
      <c r="A195" s="113" t="s">
        <v>8</v>
      </c>
      <c r="B195" s="114" t="s">
        <v>9</v>
      </c>
      <c r="C195" s="114" t="s">
        <v>10</v>
      </c>
      <c r="D195" s="114" t="s">
        <v>11</v>
      </c>
      <c r="E195" s="114" t="s">
        <v>12</v>
      </c>
      <c r="F195" s="114" t="s">
        <v>13</v>
      </c>
      <c r="G195" s="114" t="s">
        <v>14</v>
      </c>
      <c r="H195" s="114"/>
      <c r="I195" s="114"/>
      <c r="J195" s="114"/>
      <c r="K195" s="114"/>
      <c r="L195" s="114"/>
      <c r="M195" s="114" t="s">
        <v>15</v>
      </c>
      <c r="N195" s="114" t="s">
        <v>16</v>
      </c>
      <c r="O195" s="114" t="s">
        <v>17</v>
      </c>
      <c r="P195" s="114" t="s">
        <v>18</v>
      </c>
      <c r="Q195" s="114" t="s">
        <v>19</v>
      </c>
      <c r="R195" s="114"/>
      <c r="S195" s="114"/>
      <c r="T195" s="114"/>
      <c r="U195" s="114"/>
      <c r="V195" s="114"/>
      <c r="W195" s="115" t="s">
        <v>20</v>
      </c>
    </row>
    <row r="196" spans="1:23" x14ac:dyDescent="0.25">
      <c r="A196" s="113"/>
      <c r="B196" s="114"/>
      <c r="C196" s="114"/>
      <c r="D196" s="114"/>
      <c r="E196" s="114"/>
      <c r="F196" s="114"/>
      <c r="G196" s="31" t="s">
        <v>21</v>
      </c>
      <c r="H196" s="31" t="s">
        <v>21</v>
      </c>
      <c r="I196" s="31" t="s">
        <v>21</v>
      </c>
      <c r="J196" s="31" t="s">
        <v>22</v>
      </c>
      <c r="K196" s="31" t="s">
        <v>22</v>
      </c>
      <c r="L196" s="32" t="s">
        <v>22</v>
      </c>
      <c r="M196" s="138"/>
      <c r="N196" s="114"/>
      <c r="O196" s="114"/>
      <c r="P196" s="114"/>
      <c r="Q196" s="31" t="s">
        <v>21</v>
      </c>
      <c r="R196" s="31" t="s">
        <v>21</v>
      </c>
      <c r="S196" s="31" t="s">
        <v>21</v>
      </c>
      <c r="T196" s="31" t="s">
        <v>22</v>
      </c>
      <c r="U196" s="31" t="s">
        <v>22</v>
      </c>
      <c r="V196" s="31" t="s">
        <v>22</v>
      </c>
      <c r="W196" s="115"/>
    </row>
    <row r="197" spans="1:23" ht="15.75" x14ac:dyDescent="0.25">
      <c r="A197" s="5">
        <v>1</v>
      </c>
      <c r="B197" s="21" t="s">
        <v>251</v>
      </c>
      <c r="C197" s="20">
        <v>45939</v>
      </c>
      <c r="D197" s="36">
        <v>46009</v>
      </c>
      <c r="E197" s="21">
        <v>4</v>
      </c>
      <c r="F197" s="21">
        <v>1</v>
      </c>
      <c r="G197" s="21"/>
      <c r="H197" s="21"/>
      <c r="I197" s="21"/>
      <c r="J197" s="21">
        <v>109</v>
      </c>
      <c r="K197" s="24">
        <v>125</v>
      </c>
      <c r="L197" s="29">
        <v>130</v>
      </c>
      <c r="M197" s="73">
        <f>AVERAGE(G197:L197)</f>
        <v>121.33333333333333</v>
      </c>
      <c r="N197" s="70">
        <v>46028</v>
      </c>
      <c r="O197" s="21">
        <v>3</v>
      </c>
      <c r="P197" s="21">
        <v>1</v>
      </c>
      <c r="Q197" s="21"/>
      <c r="R197" s="21"/>
      <c r="S197" s="21"/>
      <c r="T197" s="21">
        <v>166</v>
      </c>
      <c r="U197" s="21">
        <v>191</v>
      </c>
      <c r="V197" s="21">
        <v>192</v>
      </c>
      <c r="W197" s="22">
        <f>AVERAGE(Q197:V197)</f>
        <v>183</v>
      </c>
    </row>
    <row r="198" spans="1:23" ht="15.75" x14ac:dyDescent="0.25">
      <c r="A198" s="6">
        <v>2</v>
      </c>
      <c r="B198" s="21" t="s">
        <v>447</v>
      </c>
      <c r="C198" s="13">
        <v>46039</v>
      </c>
      <c r="D198" s="13">
        <v>46109</v>
      </c>
      <c r="E198" s="21">
        <v>3</v>
      </c>
      <c r="F198" s="21">
        <v>0</v>
      </c>
      <c r="G198" s="21">
        <v>180</v>
      </c>
      <c r="H198" s="21">
        <v>117</v>
      </c>
      <c r="I198" s="21"/>
      <c r="J198" s="21">
        <v>129</v>
      </c>
      <c r="K198" s="24"/>
      <c r="L198" s="29"/>
      <c r="M198" s="69">
        <f>AVERAGE(G198:L198)</f>
        <v>142</v>
      </c>
      <c r="N198" s="26">
        <v>46133</v>
      </c>
      <c r="O198" s="21">
        <v>3</v>
      </c>
      <c r="P198" s="21">
        <v>0</v>
      </c>
      <c r="Q198" s="21">
        <v>374</v>
      </c>
      <c r="R198" s="21">
        <v>317</v>
      </c>
      <c r="S198" s="21"/>
      <c r="T198" s="21">
        <v>337</v>
      </c>
      <c r="U198" s="21"/>
      <c r="V198" s="21"/>
      <c r="W198" s="68">
        <f>AVERAGE(Q198:V198)</f>
        <v>342.66666666666669</v>
      </c>
    </row>
    <row r="199" spans="1:23" ht="15.75" x14ac:dyDescent="0.25">
      <c r="A199" s="6">
        <v>3</v>
      </c>
      <c r="B199" s="8"/>
      <c r="C199" s="8"/>
      <c r="D199" s="8"/>
      <c r="E199" s="21"/>
      <c r="F199" s="21"/>
      <c r="G199" s="21"/>
      <c r="H199" s="21"/>
      <c r="I199" s="21"/>
      <c r="J199" s="21"/>
      <c r="K199" s="21"/>
      <c r="L199" s="44"/>
      <c r="M199" s="44"/>
      <c r="N199" s="21"/>
      <c r="O199" s="21"/>
      <c r="P199" s="21"/>
      <c r="Q199" s="21"/>
      <c r="R199" s="21"/>
      <c r="S199" s="21"/>
      <c r="T199" s="21"/>
      <c r="U199" s="21"/>
      <c r="V199" s="21"/>
      <c r="W199" s="22"/>
    </row>
    <row r="200" spans="1:23" ht="15.75" x14ac:dyDescent="0.25">
      <c r="A200" s="5">
        <v>4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</row>
    <row r="201" spans="1:23" ht="15.75" x14ac:dyDescent="0.25">
      <c r="A201" s="5">
        <v>5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</row>
    <row r="202" spans="1:23" ht="16.5" thickBot="1" x14ac:dyDescent="0.3">
      <c r="A202" s="7">
        <v>6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4" spans="1:23" ht="15.75" thickBot="1" x14ac:dyDescent="0.3"/>
    <row r="205" spans="1:23" ht="15.75" x14ac:dyDescent="0.25">
      <c r="A205" s="100" t="s">
        <v>260</v>
      </c>
      <c r="B205" s="101"/>
      <c r="C205" s="111" t="s">
        <v>287</v>
      </c>
      <c r="D205" s="112"/>
      <c r="E205" s="111" t="s">
        <v>494</v>
      </c>
      <c r="F205" s="112"/>
      <c r="G205" s="101" t="s">
        <v>4</v>
      </c>
      <c r="H205" s="101"/>
      <c r="I205" s="102" t="s">
        <v>366</v>
      </c>
      <c r="J205" s="102"/>
      <c r="K205" s="102"/>
      <c r="L205" s="102"/>
      <c r="M205" s="102"/>
      <c r="N205" s="102"/>
      <c r="O205" s="101" t="s">
        <v>6</v>
      </c>
      <c r="P205" s="101"/>
      <c r="Q205" s="166">
        <v>45843</v>
      </c>
      <c r="R205" s="167"/>
      <c r="S205" s="167"/>
      <c r="T205" s="167"/>
      <c r="U205" s="167"/>
      <c r="V205" s="167"/>
      <c r="W205" s="168"/>
    </row>
    <row r="206" spans="1:23" ht="15.75" x14ac:dyDescent="0.25">
      <c r="A206" s="106" t="s">
        <v>7</v>
      </c>
      <c r="B206" s="107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7"/>
      <c r="R206" s="107"/>
      <c r="S206" s="107"/>
      <c r="T206" s="107"/>
      <c r="U206" s="107"/>
      <c r="V206" s="107"/>
      <c r="W206" s="110"/>
    </row>
    <row r="207" spans="1:23" x14ac:dyDescent="0.25">
      <c r="A207" s="113" t="s">
        <v>8</v>
      </c>
      <c r="B207" s="114" t="s">
        <v>9</v>
      </c>
      <c r="C207" s="114" t="s">
        <v>10</v>
      </c>
      <c r="D207" s="114" t="s">
        <v>11</v>
      </c>
      <c r="E207" s="114" t="s">
        <v>12</v>
      </c>
      <c r="F207" s="114" t="s">
        <v>13</v>
      </c>
      <c r="G207" s="114" t="s">
        <v>14</v>
      </c>
      <c r="H207" s="114"/>
      <c r="I207" s="114"/>
      <c r="J207" s="114"/>
      <c r="K207" s="114"/>
      <c r="L207" s="114"/>
      <c r="M207" s="114" t="s">
        <v>15</v>
      </c>
      <c r="N207" s="114" t="s">
        <v>16</v>
      </c>
      <c r="O207" s="114" t="s">
        <v>17</v>
      </c>
      <c r="P207" s="114" t="s">
        <v>18</v>
      </c>
      <c r="Q207" s="114" t="s">
        <v>19</v>
      </c>
      <c r="R207" s="114"/>
      <c r="S207" s="114"/>
      <c r="T207" s="114"/>
      <c r="U207" s="114"/>
      <c r="V207" s="114"/>
      <c r="W207" s="115" t="s">
        <v>20</v>
      </c>
    </row>
    <row r="208" spans="1:23" x14ac:dyDescent="0.25">
      <c r="A208" s="113"/>
      <c r="B208" s="114"/>
      <c r="C208" s="114"/>
      <c r="D208" s="114"/>
      <c r="E208" s="114"/>
      <c r="F208" s="114"/>
      <c r="G208" s="31" t="s">
        <v>21</v>
      </c>
      <c r="H208" s="31" t="s">
        <v>21</v>
      </c>
      <c r="I208" s="31" t="s">
        <v>21</v>
      </c>
      <c r="J208" s="31" t="s">
        <v>22</v>
      </c>
      <c r="K208" s="31" t="s">
        <v>22</v>
      </c>
      <c r="L208" s="32" t="s">
        <v>22</v>
      </c>
      <c r="M208" s="138"/>
      <c r="N208" s="114"/>
      <c r="O208" s="114"/>
      <c r="P208" s="114"/>
      <c r="Q208" s="31" t="s">
        <v>21</v>
      </c>
      <c r="R208" s="31" t="s">
        <v>21</v>
      </c>
      <c r="S208" s="31" t="s">
        <v>21</v>
      </c>
      <c r="T208" s="31" t="s">
        <v>22</v>
      </c>
      <c r="U208" s="31" t="s">
        <v>22</v>
      </c>
      <c r="V208" s="31" t="s">
        <v>22</v>
      </c>
      <c r="W208" s="115"/>
    </row>
    <row r="209" spans="1:23" ht="15.75" x14ac:dyDescent="0.25">
      <c r="A209" s="5">
        <v>1</v>
      </c>
      <c r="B209" s="21" t="s">
        <v>251</v>
      </c>
      <c r="C209" s="20">
        <v>45939</v>
      </c>
      <c r="D209" s="36">
        <v>46012</v>
      </c>
      <c r="E209" s="21">
        <v>2</v>
      </c>
      <c r="F209" s="21">
        <v>0</v>
      </c>
      <c r="G209" s="21">
        <v>120</v>
      </c>
      <c r="H209" s="21">
        <v>132</v>
      </c>
      <c r="I209" s="21"/>
      <c r="J209" s="21"/>
      <c r="K209" s="24"/>
      <c r="L209" s="29"/>
      <c r="M209" s="69">
        <f>AVERAGE(G209:L209)</f>
        <v>126</v>
      </c>
      <c r="N209" s="70">
        <v>46028</v>
      </c>
      <c r="O209" s="21">
        <v>2</v>
      </c>
      <c r="P209" s="21">
        <v>0</v>
      </c>
      <c r="Q209" s="21">
        <v>157</v>
      </c>
      <c r="R209" s="21">
        <v>162</v>
      </c>
      <c r="S209" s="21"/>
      <c r="T209" s="21"/>
      <c r="U209" s="21"/>
      <c r="V209" s="21"/>
      <c r="W209" s="22">
        <f>AVERAGE(Q209:V209)</f>
        <v>159.5</v>
      </c>
    </row>
    <row r="210" spans="1:23" ht="15.75" x14ac:dyDescent="0.25">
      <c r="A210" s="6">
        <v>2</v>
      </c>
      <c r="B210" s="21" t="s">
        <v>447</v>
      </c>
      <c r="C210" s="13">
        <v>46039</v>
      </c>
      <c r="D210" s="8" t="s">
        <v>428</v>
      </c>
      <c r="E210" s="8"/>
      <c r="F210" s="8"/>
      <c r="G210" s="8"/>
      <c r="H210" s="8"/>
      <c r="I210" s="8"/>
      <c r="J210" s="8"/>
      <c r="K210" s="25"/>
      <c r="L210" s="30"/>
      <c r="M210" s="57"/>
      <c r="N210" s="26"/>
      <c r="O210" s="8"/>
      <c r="P210" s="8"/>
      <c r="Q210" s="8"/>
      <c r="R210" s="8"/>
      <c r="S210" s="8"/>
      <c r="T210" s="8"/>
      <c r="U210" s="8"/>
      <c r="V210" s="8"/>
      <c r="W210" s="9"/>
    </row>
    <row r="211" spans="1:23" ht="15.75" x14ac:dyDescent="0.25">
      <c r="A211" s="6">
        <v>3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27"/>
      <c r="M211" s="27"/>
      <c r="N211" s="8"/>
      <c r="O211" s="8"/>
      <c r="P211" s="8"/>
      <c r="Q211" s="8"/>
      <c r="R211" s="8"/>
      <c r="S211" s="8"/>
      <c r="T211" s="8"/>
      <c r="U211" s="8"/>
      <c r="V211" s="8"/>
      <c r="W211" s="9"/>
    </row>
    <row r="212" spans="1:23" ht="15.75" x14ac:dyDescent="0.25">
      <c r="A212" s="5">
        <v>4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</row>
    <row r="213" spans="1:23" ht="15.75" x14ac:dyDescent="0.25">
      <c r="A213" s="5">
        <v>5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</row>
    <row r="214" spans="1:23" ht="16.5" thickBot="1" x14ac:dyDescent="0.3">
      <c r="A214" s="7">
        <v>6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6" spans="1:23" ht="15.75" thickBot="1" x14ac:dyDescent="0.3"/>
    <row r="217" spans="1:23" ht="15.75" x14ac:dyDescent="0.25">
      <c r="A217" s="100" t="s">
        <v>260</v>
      </c>
      <c r="B217" s="101"/>
      <c r="C217" s="194" t="s">
        <v>288</v>
      </c>
      <c r="D217" s="195"/>
      <c r="E217" s="111" t="s">
        <v>494</v>
      </c>
      <c r="F217" s="112"/>
      <c r="G217" s="101" t="s">
        <v>4</v>
      </c>
      <c r="H217" s="101"/>
      <c r="I217" s="102" t="s">
        <v>135</v>
      </c>
      <c r="J217" s="102"/>
      <c r="K217" s="102"/>
      <c r="L217" s="102"/>
      <c r="M217" s="102"/>
      <c r="N217" s="102"/>
      <c r="O217" s="101" t="s">
        <v>6</v>
      </c>
      <c r="P217" s="101"/>
      <c r="Q217" s="166">
        <v>45840</v>
      </c>
      <c r="R217" s="167"/>
      <c r="S217" s="167"/>
      <c r="T217" s="167"/>
      <c r="U217" s="167"/>
      <c r="V217" s="167"/>
      <c r="W217" s="168"/>
    </row>
    <row r="218" spans="1:23" ht="15.75" x14ac:dyDescent="0.25">
      <c r="A218" s="106" t="s">
        <v>7</v>
      </c>
      <c r="B218" s="107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7"/>
      <c r="R218" s="107"/>
      <c r="S218" s="107"/>
      <c r="T218" s="107"/>
      <c r="U218" s="107"/>
      <c r="V218" s="107"/>
      <c r="W218" s="110"/>
    </row>
    <row r="219" spans="1:23" x14ac:dyDescent="0.25">
      <c r="A219" s="113" t="s">
        <v>8</v>
      </c>
      <c r="B219" s="114" t="s">
        <v>9</v>
      </c>
      <c r="C219" s="114" t="s">
        <v>10</v>
      </c>
      <c r="D219" s="114" t="s">
        <v>11</v>
      </c>
      <c r="E219" s="114" t="s">
        <v>12</v>
      </c>
      <c r="F219" s="114" t="s">
        <v>13</v>
      </c>
      <c r="G219" s="114" t="s">
        <v>14</v>
      </c>
      <c r="H219" s="114"/>
      <c r="I219" s="114"/>
      <c r="J219" s="114"/>
      <c r="K219" s="114"/>
      <c r="L219" s="114"/>
      <c r="M219" s="114" t="s">
        <v>15</v>
      </c>
      <c r="N219" s="114" t="s">
        <v>16</v>
      </c>
      <c r="O219" s="114" t="s">
        <v>17</v>
      </c>
      <c r="P219" s="114" t="s">
        <v>18</v>
      </c>
      <c r="Q219" s="114" t="s">
        <v>19</v>
      </c>
      <c r="R219" s="114"/>
      <c r="S219" s="114"/>
      <c r="T219" s="114"/>
      <c r="U219" s="114"/>
      <c r="V219" s="114"/>
      <c r="W219" s="115" t="s">
        <v>20</v>
      </c>
    </row>
    <row r="220" spans="1:23" x14ac:dyDescent="0.25">
      <c r="A220" s="113"/>
      <c r="B220" s="114"/>
      <c r="C220" s="114"/>
      <c r="D220" s="114"/>
      <c r="E220" s="114"/>
      <c r="F220" s="114"/>
      <c r="G220" s="31" t="s">
        <v>21</v>
      </c>
      <c r="H220" s="31" t="s">
        <v>21</v>
      </c>
      <c r="I220" s="31" t="s">
        <v>21</v>
      </c>
      <c r="J220" s="31" t="s">
        <v>22</v>
      </c>
      <c r="K220" s="31" t="s">
        <v>22</v>
      </c>
      <c r="L220" s="32" t="s">
        <v>22</v>
      </c>
      <c r="M220" s="138"/>
      <c r="N220" s="114"/>
      <c r="O220" s="114"/>
      <c r="P220" s="114"/>
      <c r="Q220" s="31" t="s">
        <v>21</v>
      </c>
      <c r="R220" s="31" t="s">
        <v>21</v>
      </c>
      <c r="S220" s="31" t="s">
        <v>21</v>
      </c>
      <c r="T220" s="31" t="s">
        <v>22</v>
      </c>
      <c r="U220" s="31" t="s">
        <v>22</v>
      </c>
      <c r="V220" s="31" t="s">
        <v>22</v>
      </c>
      <c r="W220" s="115"/>
    </row>
    <row r="221" spans="1:23" ht="15.75" x14ac:dyDescent="0.25">
      <c r="A221" s="5">
        <v>1</v>
      </c>
      <c r="B221" s="21" t="s">
        <v>251</v>
      </c>
      <c r="C221" s="20">
        <v>45939</v>
      </c>
      <c r="D221" s="36">
        <v>46008</v>
      </c>
      <c r="E221" s="21">
        <v>3</v>
      </c>
      <c r="F221" s="21">
        <v>0</v>
      </c>
      <c r="G221" s="21">
        <v>124</v>
      </c>
      <c r="H221" s="21"/>
      <c r="I221" s="21"/>
      <c r="J221" s="21">
        <v>126</v>
      </c>
      <c r="K221" s="24">
        <v>108</v>
      </c>
      <c r="L221" s="29"/>
      <c r="M221" s="92">
        <f>AVERAGE(G221:L221)</f>
        <v>119.33333333333333</v>
      </c>
      <c r="N221" s="93">
        <v>46028</v>
      </c>
      <c r="O221" s="21">
        <v>2</v>
      </c>
      <c r="P221" s="21">
        <v>1</v>
      </c>
      <c r="Q221" s="21"/>
      <c r="R221" s="21"/>
      <c r="S221" s="21"/>
      <c r="T221" s="21">
        <v>203</v>
      </c>
      <c r="U221" s="21">
        <v>164</v>
      </c>
      <c r="V221" s="21"/>
      <c r="W221" s="68">
        <f>AVERAGE(Q221:V221)</f>
        <v>183.5</v>
      </c>
    </row>
    <row r="222" spans="1:23" ht="15.75" x14ac:dyDescent="0.25">
      <c r="A222" s="6">
        <v>2</v>
      </c>
      <c r="B222" s="21" t="s">
        <v>447</v>
      </c>
      <c r="C222" s="13">
        <v>46039</v>
      </c>
      <c r="D222" s="13">
        <v>46142</v>
      </c>
      <c r="E222" s="21">
        <v>3</v>
      </c>
      <c r="F222" s="21">
        <v>0</v>
      </c>
      <c r="G222" s="21">
        <v>146</v>
      </c>
      <c r="H222" s="21">
        <v>124</v>
      </c>
      <c r="I222" s="21">
        <v>146</v>
      </c>
      <c r="J222" s="21"/>
      <c r="K222" s="24"/>
      <c r="L222" s="29"/>
      <c r="M222" s="92">
        <f>AVERAGE(G222:L222)</f>
        <v>138.66666666666666</v>
      </c>
      <c r="N222" s="26">
        <v>46176</v>
      </c>
      <c r="O222" s="21">
        <v>3</v>
      </c>
      <c r="P222" s="21">
        <v>0</v>
      </c>
      <c r="Q222" s="21">
        <v>258</v>
      </c>
      <c r="R222" s="21">
        <v>320</v>
      </c>
      <c r="S222" s="21">
        <v>300</v>
      </c>
      <c r="T222" s="21"/>
      <c r="U222" s="21"/>
      <c r="V222" s="21"/>
      <c r="W222" s="68">
        <f>AVERAGE(Q222:V222)</f>
        <v>292.66666666666669</v>
      </c>
    </row>
    <row r="223" spans="1:23" ht="15.75" x14ac:dyDescent="0.25">
      <c r="A223" s="6">
        <v>3</v>
      </c>
      <c r="B223" s="8"/>
      <c r="C223" s="8"/>
      <c r="D223" s="8"/>
      <c r="E223" s="21"/>
      <c r="F223" s="21"/>
      <c r="G223" s="21"/>
      <c r="H223" s="21"/>
      <c r="I223" s="21"/>
      <c r="J223" s="21"/>
      <c r="K223" s="21"/>
      <c r="L223" s="44"/>
      <c r="M223" s="44"/>
      <c r="N223" s="21"/>
      <c r="O223" s="21"/>
      <c r="P223" s="21"/>
      <c r="Q223" s="21"/>
      <c r="R223" s="21"/>
      <c r="S223" s="21"/>
      <c r="T223" s="21"/>
      <c r="U223" s="21"/>
      <c r="V223" s="21"/>
      <c r="W223" s="22"/>
    </row>
    <row r="224" spans="1:23" ht="15.75" x14ac:dyDescent="0.25">
      <c r="A224" s="5">
        <v>4</v>
      </c>
      <c r="B224" s="8"/>
      <c r="C224" s="8"/>
      <c r="D224" s="8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2"/>
    </row>
    <row r="225" spans="1:23" ht="15.75" x14ac:dyDescent="0.25">
      <c r="A225" s="5">
        <v>5</v>
      </c>
      <c r="B225" s="8"/>
      <c r="C225" s="8"/>
      <c r="D225" s="8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2"/>
    </row>
    <row r="226" spans="1:23" ht="16.5" thickBot="1" x14ac:dyDescent="0.3">
      <c r="A226" s="7">
        <v>6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8" spans="1:23" ht="15.75" thickBot="1" x14ac:dyDescent="0.3"/>
    <row r="229" spans="1:23" ht="15.75" x14ac:dyDescent="0.25">
      <c r="A229" s="100" t="s">
        <v>260</v>
      </c>
      <c r="B229" s="101"/>
      <c r="C229" s="111" t="s">
        <v>289</v>
      </c>
      <c r="D229" s="112"/>
      <c r="E229" s="111" t="s">
        <v>494</v>
      </c>
      <c r="F229" s="112"/>
      <c r="G229" s="101" t="s">
        <v>4</v>
      </c>
      <c r="H229" s="101"/>
      <c r="I229" s="102" t="s">
        <v>139</v>
      </c>
      <c r="J229" s="102"/>
      <c r="K229" s="102"/>
      <c r="L229" s="102"/>
      <c r="M229" s="102"/>
      <c r="N229" s="102"/>
      <c r="O229" s="101" t="s">
        <v>6</v>
      </c>
      <c r="P229" s="101"/>
      <c r="Q229" s="166">
        <v>45852</v>
      </c>
      <c r="R229" s="167"/>
      <c r="S229" s="167"/>
      <c r="T229" s="167"/>
      <c r="U229" s="167"/>
      <c r="V229" s="167"/>
      <c r="W229" s="168"/>
    </row>
    <row r="230" spans="1:23" ht="15.75" x14ac:dyDescent="0.25">
      <c r="A230" s="106" t="s">
        <v>7</v>
      </c>
      <c r="B230" s="107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7"/>
      <c r="R230" s="107"/>
      <c r="S230" s="107"/>
      <c r="T230" s="107"/>
      <c r="U230" s="107"/>
      <c r="V230" s="107"/>
      <c r="W230" s="110"/>
    </row>
    <row r="231" spans="1:23" x14ac:dyDescent="0.25">
      <c r="A231" s="113" t="s">
        <v>8</v>
      </c>
      <c r="B231" s="114" t="s">
        <v>9</v>
      </c>
      <c r="C231" s="114" t="s">
        <v>10</v>
      </c>
      <c r="D231" s="114" t="s">
        <v>11</v>
      </c>
      <c r="E231" s="114" t="s">
        <v>12</v>
      </c>
      <c r="F231" s="114" t="s">
        <v>13</v>
      </c>
      <c r="G231" s="114" t="s">
        <v>14</v>
      </c>
      <c r="H231" s="114"/>
      <c r="I231" s="114"/>
      <c r="J231" s="114"/>
      <c r="K231" s="114"/>
      <c r="L231" s="114"/>
      <c r="M231" s="114" t="s">
        <v>15</v>
      </c>
      <c r="N231" s="114" t="s">
        <v>16</v>
      </c>
      <c r="O231" s="114" t="s">
        <v>17</v>
      </c>
      <c r="P231" s="114" t="s">
        <v>18</v>
      </c>
      <c r="Q231" s="114" t="s">
        <v>19</v>
      </c>
      <c r="R231" s="114"/>
      <c r="S231" s="114"/>
      <c r="T231" s="114"/>
      <c r="U231" s="114"/>
      <c r="V231" s="114"/>
      <c r="W231" s="115" t="s">
        <v>20</v>
      </c>
    </row>
    <row r="232" spans="1:23" x14ac:dyDescent="0.25">
      <c r="A232" s="113"/>
      <c r="B232" s="114"/>
      <c r="C232" s="114"/>
      <c r="D232" s="114"/>
      <c r="E232" s="114"/>
      <c r="F232" s="114"/>
      <c r="G232" s="31" t="s">
        <v>21</v>
      </c>
      <c r="H232" s="31" t="s">
        <v>21</v>
      </c>
      <c r="I232" s="31" t="s">
        <v>21</v>
      </c>
      <c r="J232" s="31" t="s">
        <v>22</v>
      </c>
      <c r="K232" s="31" t="s">
        <v>22</v>
      </c>
      <c r="L232" s="32" t="s">
        <v>22</v>
      </c>
      <c r="M232" s="138"/>
      <c r="N232" s="114"/>
      <c r="O232" s="114"/>
      <c r="P232" s="114"/>
      <c r="Q232" s="31" t="s">
        <v>21</v>
      </c>
      <c r="R232" s="31" t="s">
        <v>21</v>
      </c>
      <c r="S232" s="31" t="s">
        <v>21</v>
      </c>
      <c r="T232" s="31" t="s">
        <v>22</v>
      </c>
      <c r="U232" s="31" t="s">
        <v>22</v>
      </c>
      <c r="V232" s="31" t="s">
        <v>22</v>
      </c>
      <c r="W232" s="115"/>
    </row>
    <row r="233" spans="1:23" ht="15.75" x14ac:dyDescent="0.25">
      <c r="A233" s="5">
        <v>1</v>
      </c>
      <c r="B233" s="21" t="s">
        <v>251</v>
      </c>
      <c r="C233" s="20">
        <v>45939</v>
      </c>
      <c r="D233" s="36" t="s">
        <v>428</v>
      </c>
      <c r="E233" s="21"/>
      <c r="F233" s="21"/>
      <c r="G233" s="21"/>
      <c r="H233" s="21"/>
      <c r="I233" s="21"/>
      <c r="J233" s="21"/>
      <c r="K233" s="24"/>
      <c r="L233" s="29"/>
      <c r="M233" s="57"/>
      <c r="O233" s="21"/>
      <c r="P233" s="21"/>
      <c r="Q233" s="21"/>
      <c r="R233" s="21"/>
      <c r="S233" s="21"/>
      <c r="T233" s="21"/>
      <c r="U233" s="21"/>
      <c r="V233" s="21"/>
      <c r="W233" s="22"/>
    </row>
    <row r="234" spans="1:23" ht="15.75" x14ac:dyDescent="0.25">
      <c r="A234" s="6">
        <v>2</v>
      </c>
      <c r="B234" s="21" t="s">
        <v>447</v>
      </c>
      <c r="C234" s="13">
        <v>46039</v>
      </c>
      <c r="D234" s="13">
        <v>46122</v>
      </c>
      <c r="E234" s="21">
        <v>3</v>
      </c>
      <c r="F234" s="21">
        <v>0</v>
      </c>
      <c r="G234" s="21"/>
      <c r="H234" s="21"/>
      <c r="I234" s="21"/>
      <c r="J234" s="21">
        <v>115</v>
      </c>
      <c r="K234" s="24">
        <v>120</v>
      </c>
      <c r="L234" s="29">
        <v>122</v>
      </c>
      <c r="M234" s="69">
        <f>AVERAGE(G234:L234)</f>
        <v>119</v>
      </c>
      <c r="N234" s="26">
        <v>46139</v>
      </c>
      <c r="O234" s="21">
        <v>3</v>
      </c>
      <c r="P234" s="21">
        <v>0</v>
      </c>
      <c r="Q234" s="21"/>
      <c r="R234" s="21"/>
      <c r="S234" s="21"/>
      <c r="T234" s="21">
        <v>238</v>
      </c>
      <c r="U234" s="21">
        <v>270</v>
      </c>
      <c r="V234" s="21">
        <v>200</v>
      </c>
      <c r="W234" s="22">
        <f>AVERAGE(Q234:V234)</f>
        <v>236</v>
      </c>
    </row>
    <row r="235" spans="1:23" ht="15.75" x14ac:dyDescent="0.25">
      <c r="A235" s="6">
        <v>3</v>
      </c>
      <c r="B235" s="8"/>
      <c r="C235" s="8"/>
      <c r="D235" s="8"/>
      <c r="E235" s="21"/>
      <c r="F235" s="21"/>
      <c r="G235" s="21"/>
      <c r="H235" s="21"/>
      <c r="I235" s="21"/>
      <c r="J235" s="21"/>
      <c r="K235" s="21"/>
      <c r="L235" s="44"/>
      <c r="M235" s="44"/>
      <c r="N235" s="21"/>
      <c r="O235" s="21"/>
      <c r="P235" s="21"/>
      <c r="Q235" s="21"/>
      <c r="R235" s="21"/>
      <c r="S235" s="21"/>
      <c r="T235" s="21"/>
      <c r="U235" s="21"/>
      <c r="V235" s="21"/>
      <c r="W235" s="22"/>
    </row>
    <row r="236" spans="1:23" ht="15.75" x14ac:dyDescent="0.25">
      <c r="A236" s="5">
        <v>4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</row>
    <row r="237" spans="1:23" ht="15.75" x14ac:dyDescent="0.25">
      <c r="A237" s="5">
        <v>5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</row>
    <row r="238" spans="1:23" ht="16.5" thickBot="1" x14ac:dyDescent="0.3">
      <c r="A238" s="7">
        <v>6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</sheetData>
  <mergeCells count="482">
    <mergeCell ref="W231:W232"/>
    <mergeCell ref="G231:L231"/>
    <mergeCell ref="M231:M232"/>
    <mergeCell ref="N231:N232"/>
    <mergeCell ref="O231:O232"/>
    <mergeCell ref="P231:P232"/>
    <mergeCell ref="Q231:V231"/>
    <mergeCell ref="A230:B230"/>
    <mergeCell ref="C230:N230"/>
    <mergeCell ref="O230:P230"/>
    <mergeCell ref="Q230:W230"/>
    <mergeCell ref="A231:A232"/>
    <mergeCell ref="B231:B232"/>
    <mergeCell ref="C231:C232"/>
    <mergeCell ref="D231:D232"/>
    <mergeCell ref="E231:E232"/>
    <mergeCell ref="F231:F232"/>
    <mergeCell ref="A229:B229"/>
    <mergeCell ref="G229:H229"/>
    <mergeCell ref="I229:N229"/>
    <mergeCell ref="O229:P229"/>
    <mergeCell ref="Q229:W229"/>
    <mergeCell ref="G219:L219"/>
    <mergeCell ref="M219:M220"/>
    <mergeCell ref="N219:N220"/>
    <mergeCell ref="O219:O220"/>
    <mergeCell ref="P219:P220"/>
    <mergeCell ref="Q219:V219"/>
    <mergeCell ref="E229:F229"/>
    <mergeCell ref="C229:D229"/>
    <mergeCell ref="A218:B218"/>
    <mergeCell ref="C218:N218"/>
    <mergeCell ref="O218:P218"/>
    <mergeCell ref="Q218:W218"/>
    <mergeCell ref="A219:A220"/>
    <mergeCell ref="B219:B220"/>
    <mergeCell ref="C219:C220"/>
    <mergeCell ref="D219:D220"/>
    <mergeCell ref="E219:E220"/>
    <mergeCell ref="F219:F220"/>
    <mergeCell ref="W219:W220"/>
    <mergeCell ref="A217:B217"/>
    <mergeCell ref="G217:H217"/>
    <mergeCell ref="I217:N217"/>
    <mergeCell ref="O217:P217"/>
    <mergeCell ref="Q217:W217"/>
    <mergeCell ref="G207:L207"/>
    <mergeCell ref="M207:M208"/>
    <mergeCell ref="N207:N208"/>
    <mergeCell ref="O207:O208"/>
    <mergeCell ref="P207:P208"/>
    <mergeCell ref="Q207:V207"/>
    <mergeCell ref="E217:F217"/>
    <mergeCell ref="C217:D217"/>
    <mergeCell ref="A206:B206"/>
    <mergeCell ref="C206:N206"/>
    <mergeCell ref="O206:P206"/>
    <mergeCell ref="Q206:W206"/>
    <mergeCell ref="A207:A208"/>
    <mergeCell ref="B207:B208"/>
    <mergeCell ref="C207:C208"/>
    <mergeCell ref="D207:D208"/>
    <mergeCell ref="E207:E208"/>
    <mergeCell ref="F207:F208"/>
    <mergeCell ref="W207:W208"/>
    <mergeCell ref="A205:B205"/>
    <mergeCell ref="G205:H205"/>
    <mergeCell ref="I205:N205"/>
    <mergeCell ref="O205:P205"/>
    <mergeCell ref="Q205:W205"/>
    <mergeCell ref="G195:L195"/>
    <mergeCell ref="M195:M196"/>
    <mergeCell ref="N195:N196"/>
    <mergeCell ref="O195:O196"/>
    <mergeCell ref="P195:P196"/>
    <mergeCell ref="Q195:V195"/>
    <mergeCell ref="E205:F205"/>
    <mergeCell ref="C205:D205"/>
    <mergeCell ref="A194:B194"/>
    <mergeCell ref="C194:N194"/>
    <mergeCell ref="O194:P194"/>
    <mergeCell ref="Q194:W194"/>
    <mergeCell ref="A195:A196"/>
    <mergeCell ref="B195:B196"/>
    <mergeCell ref="C195:C196"/>
    <mergeCell ref="D195:D196"/>
    <mergeCell ref="E195:E196"/>
    <mergeCell ref="F195:F196"/>
    <mergeCell ref="W195:W196"/>
    <mergeCell ref="A193:B193"/>
    <mergeCell ref="G193:H193"/>
    <mergeCell ref="I193:N193"/>
    <mergeCell ref="O193:P193"/>
    <mergeCell ref="Q193:W193"/>
    <mergeCell ref="G183:L183"/>
    <mergeCell ref="M183:M184"/>
    <mergeCell ref="N183:N184"/>
    <mergeCell ref="O183:O184"/>
    <mergeCell ref="P183:P184"/>
    <mergeCell ref="Q183:V183"/>
    <mergeCell ref="E193:F193"/>
    <mergeCell ref="C193:D193"/>
    <mergeCell ref="A182:B182"/>
    <mergeCell ref="C182:N182"/>
    <mergeCell ref="O182:P182"/>
    <mergeCell ref="Q182:W182"/>
    <mergeCell ref="A183:A184"/>
    <mergeCell ref="B183:B184"/>
    <mergeCell ref="C183:C184"/>
    <mergeCell ref="D183:D184"/>
    <mergeCell ref="E183:E184"/>
    <mergeCell ref="F183:F184"/>
    <mergeCell ref="W183:W184"/>
    <mergeCell ref="A181:B181"/>
    <mergeCell ref="G181:H181"/>
    <mergeCell ref="I181:N181"/>
    <mergeCell ref="O181:P181"/>
    <mergeCell ref="Q181:W181"/>
    <mergeCell ref="G171:L171"/>
    <mergeCell ref="M171:M172"/>
    <mergeCell ref="N171:N172"/>
    <mergeCell ref="O171:O172"/>
    <mergeCell ref="P171:P172"/>
    <mergeCell ref="Q171:V171"/>
    <mergeCell ref="C181:D181"/>
    <mergeCell ref="E181:F181"/>
    <mergeCell ref="A170:B170"/>
    <mergeCell ref="C170:N170"/>
    <mergeCell ref="O170:P170"/>
    <mergeCell ref="Q170:W170"/>
    <mergeCell ref="A171:A172"/>
    <mergeCell ref="B171:B172"/>
    <mergeCell ref="C171:C172"/>
    <mergeCell ref="D171:D172"/>
    <mergeCell ref="E171:E172"/>
    <mergeCell ref="F171:F172"/>
    <mergeCell ref="W171:W172"/>
    <mergeCell ref="A169:B169"/>
    <mergeCell ref="G169:H169"/>
    <mergeCell ref="I169:N169"/>
    <mergeCell ref="O169:P169"/>
    <mergeCell ref="Q169:W169"/>
    <mergeCell ref="G159:L159"/>
    <mergeCell ref="M159:M160"/>
    <mergeCell ref="N159:N160"/>
    <mergeCell ref="O159:O160"/>
    <mergeCell ref="P159:P160"/>
    <mergeCell ref="Q159:V159"/>
    <mergeCell ref="C169:D169"/>
    <mergeCell ref="E169:F169"/>
    <mergeCell ref="A158:B158"/>
    <mergeCell ref="C158:N158"/>
    <mergeCell ref="O158:P158"/>
    <mergeCell ref="Q158:W158"/>
    <mergeCell ref="A159:A160"/>
    <mergeCell ref="B159:B160"/>
    <mergeCell ref="C159:C160"/>
    <mergeCell ref="D159:D160"/>
    <mergeCell ref="E159:E160"/>
    <mergeCell ref="F159:F160"/>
    <mergeCell ref="W159:W160"/>
    <mergeCell ref="A157:B157"/>
    <mergeCell ref="G157:H157"/>
    <mergeCell ref="I157:N157"/>
    <mergeCell ref="O157:P157"/>
    <mergeCell ref="Q157:W157"/>
    <mergeCell ref="G147:L147"/>
    <mergeCell ref="M147:M148"/>
    <mergeCell ref="N147:N148"/>
    <mergeCell ref="O147:O148"/>
    <mergeCell ref="P147:P148"/>
    <mergeCell ref="Q147:V147"/>
    <mergeCell ref="C157:D157"/>
    <mergeCell ref="E157:F157"/>
    <mergeCell ref="A146:B146"/>
    <mergeCell ref="C146:N146"/>
    <mergeCell ref="O146:P146"/>
    <mergeCell ref="Q146:W146"/>
    <mergeCell ref="A147:A148"/>
    <mergeCell ref="B147:B148"/>
    <mergeCell ref="C147:C148"/>
    <mergeCell ref="D147:D148"/>
    <mergeCell ref="E147:E148"/>
    <mergeCell ref="F147:F148"/>
    <mergeCell ref="W147:W148"/>
    <mergeCell ref="A145:B145"/>
    <mergeCell ref="G145:H145"/>
    <mergeCell ref="I145:N145"/>
    <mergeCell ref="O145:P145"/>
    <mergeCell ref="Q145:W145"/>
    <mergeCell ref="G135:L135"/>
    <mergeCell ref="M135:M136"/>
    <mergeCell ref="N135:N136"/>
    <mergeCell ref="O135:O136"/>
    <mergeCell ref="P135:P136"/>
    <mergeCell ref="Q135:V135"/>
    <mergeCell ref="C145:D145"/>
    <mergeCell ref="E145:F145"/>
    <mergeCell ref="A134:B134"/>
    <mergeCell ref="C134:N134"/>
    <mergeCell ref="O134:P134"/>
    <mergeCell ref="Q134:W134"/>
    <mergeCell ref="A135:A136"/>
    <mergeCell ref="B135:B136"/>
    <mergeCell ref="C135:C136"/>
    <mergeCell ref="D135:D136"/>
    <mergeCell ref="E135:E136"/>
    <mergeCell ref="F135:F136"/>
    <mergeCell ref="W135:W136"/>
    <mergeCell ref="A133:B133"/>
    <mergeCell ref="G133:H133"/>
    <mergeCell ref="I133:N133"/>
    <mergeCell ref="O133:P133"/>
    <mergeCell ref="Q133:W133"/>
    <mergeCell ref="G123:L123"/>
    <mergeCell ref="M123:M124"/>
    <mergeCell ref="N123:N124"/>
    <mergeCell ref="O123:O124"/>
    <mergeCell ref="P123:P124"/>
    <mergeCell ref="Q123:V123"/>
    <mergeCell ref="C133:D133"/>
    <mergeCell ref="E133:F133"/>
    <mergeCell ref="A122:B122"/>
    <mergeCell ref="C122:N122"/>
    <mergeCell ref="O122:P122"/>
    <mergeCell ref="Q122:W122"/>
    <mergeCell ref="A123:A124"/>
    <mergeCell ref="B123:B124"/>
    <mergeCell ref="C123:C124"/>
    <mergeCell ref="D123:D124"/>
    <mergeCell ref="E123:E124"/>
    <mergeCell ref="F123:F124"/>
    <mergeCell ref="W123:W124"/>
    <mergeCell ref="M113:M114"/>
    <mergeCell ref="A121:B121"/>
    <mergeCell ref="G121:H121"/>
    <mergeCell ref="I121:N121"/>
    <mergeCell ref="O121:P121"/>
    <mergeCell ref="Q121:W121"/>
    <mergeCell ref="G111:L111"/>
    <mergeCell ref="M111:M112"/>
    <mergeCell ref="N111:N112"/>
    <mergeCell ref="O111:O112"/>
    <mergeCell ref="P111:P112"/>
    <mergeCell ref="Q111:V111"/>
    <mergeCell ref="C121:D121"/>
    <mergeCell ref="E121:F121"/>
    <mergeCell ref="A110:B110"/>
    <mergeCell ref="C110:N110"/>
    <mergeCell ref="O110:P110"/>
    <mergeCell ref="Q110:W110"/>
    <mergeCell ref="A111:A112"/>
    <mergeCell ref="B111:B112"/>
    <mergeCell ref="C111:C112"/>
    <mergeCell ref="D111:D112"/>
    <mergeCell ref="E111:E112"/>
    <mergeCell ref="F111:F112"/>
    <mergeCell ref="W111:W112"/>
    <mergeCell ref="A109:B109"/>
    <mergeCell ref="G109:H109"/>
    <mergeCell ref="I109:N109"/>
    <mergeCell ref="O109:P109"/>
    <mergeCell ref="Q109:W109"/>
    <mergeCell ref="G99:L99"/>
    <mergeCell ref="M99:M100"/>
    <mergeCell ref="N99:N100"/>
    <mergeCell ref="O99:O100"/>
    <mergeCell ref="P99:P100"/>
    <mergeCell ref="Q99:V99"/>
    <mergeCell ref="E109:F109"/>
    <mergeCell ref="C109:D109"/>
    <mergeCell ref="A98:B98"/>
    <mergeCell ref="C98:N98"/>
    <mergeCell ref="O98:P98"/>
    <mergeCell ref="Q98:W98"/>
    <mergeCell ref="A99:A100"/>
    <mergeCell ref="B99:B100"/>
    <mergeCell ref="C99:C100"/>
    <mergeCell ref="D99:D100"/>
    <mergeCell ref="E99:E100"/>
    <mergeCell ref="F99:F100"/>
    <mergeCell ref="W99:W100"/>
    <mergeCell ref="A97:B97"/>
    <mergeCell ref="G97:H97"/>
    <mergeCell ref="I97:N97"/>
    <mergeCell ref="O97:P97"/>
    <mergeCell ref="Q97:W97"/>
    <mergeCell ref="G87:L87"/>
    <mergeCell ref="M87:M88"/>
    <mergeCell ref="N87:N88"/>
    <mergeCell ref="O87:O88"/>
    <mergeCell ref="P87:P88"/>
    <mergeCell ref="Q87:V87"/>
    <mergeCell ref="E97:F97"/>
    <mergeCell ref="C97:D97"/>
    <mergeCell ref="A86:B86"/>
    <mergeCell ref="C86:N86"/>
    <mergeCell ref="O86:P86"/>
    <mergeCell ref="Q86:W86"/>
    <mergeCell ref="A87:A88"/>
    <mergeCell ref="B87:B88"/>
    <mergeCell ref="C87:C88"/>
    <mergeCell ref="D87:D88"/>
    <mergeCell ref="E87:E88"/>
    <mergeCell ref="F87:F88"/>
    <mergeCell ref="W87:W88"/>
    <mergeCell ref="A85:B85"/>
    <mergeCell ref="G85:H85"/>
    <mergeCell ref="I85:N85"/>
    <mergeCell ref="O85:P85"/>
    <mergeCell ref="Q85:W85"/>
    <mergeCell ref="G75:L75"/>
    <mergeCell ref="M75:M76"/>
    <mergeCell ref="N75:N76"/>
    <mergeCell ref="O75:O76"/>
    <mergeCell ref="P75:P76"/>
    <mergeCell ref="Q75:V75"/>
    <mergeCell ref="C85:D85"/>
    <mergeCell ref="E85:F85"/>
    <mergeCell ref="A74:B74"/>
    <mergeCell ref="C74:N74"/>
    <mergeCell ref="O74:P74"/>
    <mergeCell ref="Q74:W74"/>
    <mergeCell ref="A75:A76"/>
    <mergeCell ref="B75:B76"/>
    <mergeCell ref="C75:C76"/>
    <mergeCell ref="D75:D76"/>
    <mergeCell ref="E75:E76"/>
    <mergeCell ref="F75:F76"/>
    <mergeCell ref="W75:W76"/>
    <mergeCell ref="A73:B73"/>
    <mergeCell ref="G73:H73"/>
    <mergeCell ref="I73:N73"/>
    <mergeCell ref="O73:P73"/>
    <mergeCell ref="Q73:W73"/>
    <mergeCell ref="G63:L63"/>
    <mergeCell ref="M63:M64"/>
    <mergeCell ref="N63:N64"/>
    <mergeCell ref="O63:O64"/>
    <mergeCell ref="P63:P64"/>
    <mergeCell ref="Q63:V63"/>
    <mergeCell ref="E73:F73"/>
    <mergeCell ref="C73:D73"/>
    <mergeCell ref="A62:B62"/>
    <mergeCell ref="C62:N62"/>
    <mergeCell ref="O62:P62"/>
    <mergeCell ref="Q62:W62"/>
    <mergeCell ref="A63:A64"/>
    <mergeCell ref="B63:B64"/>
    <mergeCell ref="C63:C64"/>
    <mergeCell ref="D63:D64"/>
    <mergeCell ref="E63:E64"/>
    <mergeCell ref="F63:F64"/>
    <mergeCell ref="W63:W64"/>
    <mergeCell ref="M53:M54"/>
    <mergeCell ref="A61:B61"/>
    <mergeCell ref="G61:H61"/>
    <mergeCell ref="I61:N61"/>
    <mergeCell ref="O61:P61"/>
    <mergeCell ref="Q61:W61"/>
    <mergeCell ref="G51:L51"/>
    <mergeCell ref="M51:M52"/>
    <mergeCell ref="N51:N52"/>
    <mergeCell ref="O51:O52"/>
    <mergeCell ref="P51:P52"/>
    <mergeCell ref="Q51:V51"/>
    <mergeCell ref="C61:D61"/>
    <mergeCell ref="E61:F61"/>
    <mergeCell ref="A50:B50"/>
    <mergeCell ref="C50:N50"/>
    <mergeCell ref="O50:P50"/>
    <mergeCell ref="Q50:W50"/>
    <mergeCell ref="A51:A52"/>
    <mergeCell ref="B51:B52"/>
    <mergeCell ref="C51:C52"/>
    <mergeCell ref="D51:D52"/>
    <mergeCell ref="E51:E52"/>
    <mergeCell ref="F51:F52"/>
    <mergeCell ref="W51:W52"/>
    <mergeCell ref="A49:B49"/>
    <mergeCell ref="G49:H49"/>
    <mergeCell ref="I49:N49"/>
    <mergeCell ref="O49:P49"/>
    <mergeCell ref="Q49:W49"/>
    <mergeCell ref="G39:L39"/>
    <mergeCell ref="M39:M40"/>
    <mergeCell ref="N39:N40"/>
    <mergeCell ref="O39:O40"/>
    <mergeCell ref="P39:P40"/>
    <mergeCell ref="Q39:V39"/>
    <mergeCell ref="C49:D49"/>
    <mergeCell ref="E49:F49"/>
    <mergeCell ref="A38:B38"/>
    <mergeCell ref="C38:N38"/>
    <mergeCell ref="O38:P38"/>
    <mergeCell ref="Q38:W38"/>
    <mergeCell ref="A39:A40"/>
    <mergeCell ref="B39:B40"/>
    <mergeCell ref="C39:C40"/>
    <mergeCell ref="D39:D40"/>
    <mergeCell ref="E39:E40"/>
    <mergeCell ref="F39:F40"/>
    <mergeCell ref="W39:W40"/>
    <mergeCell ref="A37:B37"/>
    <mergeCell ref="G37:H37"/>
    <mergeCell ref="I37:N37"/>
    <mergeCell ref="O37:P37"/>
    <mergeCell ref="Q37:W37"/>
    <mergeCell ref="G27:L27"/>
    <mergeCell ref="M27:M28"/>
    <mergeCell ref="N27:N28"/>
    <mergeCell ref="O27:O28"/>
    <mergeCell ref="P27:P28"/>
    <mergeCell ref="Q27:V27"/>
    <mergeCell ref="C37:D37"/>
    <mergeCell ref="E37:F37"/>
    <mergeCell ref="A26:B26"/>
    <mergeCell ref="C26:N26"/>
    <mergeCell ref="O26:P26"/>
    <mergeCell ref="Q26:W26"/>
    <mergeCell ref="A27:A28"/>
    <mergeCell ref="B27:B28"/>
    <mergeCell ref="C27:C28"/>
    <mergeCell ref="D27:D28"/>
    <mergeCell ref="E27:E28"/>
    <mergeCell ref="F27:F28"/>
    <mergeCell ref="W27:W28"/>
    <mergeCell ref="A25:B25"/>
    <mergeCell ref="G25:H25"/>
    <mergeCell ref="I25:N25"/>
    <mergeCell ref="O25:P25"/>
    <mergeCell ref="Q25:W25"/>
    <mergeCell ref="G15:L15"/>
    <mergeCell ref="M15:M16"/>
    <mergeCell ref="N15:N16"/>
    <mergeCell ref="O15:O16"/>
    <mergeCell ref="P15:P16"/>
    <mergeCell ref="Q15:V15"/>
    <mergeCell ref="C25:D25"/>
    <mergeCell ref="E25:F25"/>
    <mergeCell ref="A14:B14"/>
    <mergeCell ref="C14:N14"/>
    <mergeCell ref="O14:P14"/>
    <mergeCell ref="Q14:W14"/>
    <mergeCell ref="A15:A16"/>
    <mergeCell ref="B15:B16"/>
    <mergeCell ref="C15:C16"/>
    <mergeCell ref="D15:D16"/>
    <mergeCell ref="E15:E16"/>
    <mergeCell ref="F15:F16"/>
    <mergeCell ref="W15:W16"/>
    <mergeCell ref="A3:A4"/>
    <mergeCell ref="B3:B4"/>
    <mergeCell ref="C3:C4"/>
    <mergeCell ref="D3:D4"/>
    <mergeCell ref="E3:E4"/>
    <mergeCell ref="F3:F4"/>
    <mergeCell ref="W3:W4"/>
    <mergeCell ref="A13:B13"/>
    <mergeCell ref="G13:H13"/>
    <mergeCell ref="I13:N13"/>
    <mergeCell ref="O13:P13"/>
    <mergeCell ref="Q13:W13"/>
    <mergeCell ref="G3:L3"/>
    <mergeCell ref="M3:M4"/>
    <mergeCell ref="N3:N4"/>
    <mergeCell ref="O3:O4"/>
    <mergeCell ref="P3:P4"/>
    <mergeCell ref="Q3:V3"/>
    <mergeCell ref="C13:D13"/>
    <mergeCell ref="E13:F13"/>
    <mergeCell ref="A1:B1"/>
    <mergeCell ref="G1:H1"/>
    <mergeCell ref="I1:N1"/>
    <mergeCell ref="O1:P1"/>
    <mergeCell ref="Q1:W1"/>
    <mergeCell ref="A2:B2"/>
    <mergeCell ref="C2:N2"/>
    <mergeCell ref="O2:P2"/>
    <mergeCell ref="Q2:W2"/>
    <mergeCell ref="C1:D1"/>
    <mergeCell ref="E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BDD6-2CBB-446D-9640-5A754943DFCA}">
  <dimension ref="A1:W238"/>
  <sheetViews>
    <sheetView topLeftCell="A219" workbookViewId="0">
      <selection activeCell="C61" sqref="C61:D61"/>
    </sheetView>
  </sheetViews>
  <sheetFormatPr baseColWidth="10" defaultRowHeight="15" x14ac:dyDescent="0.25"/>
  <cols>
    <col min="3" max="4" width="12.7109375" bestFit="1" customWidth="1"/>
    <col min="5" max="5" width="9.85546875" customWidth="1"/>
    <col min="7" max="7" width="5.85546875" customWidth="1"/>
    <col min="8" max="8" width="5.7109375" customWidth="1"/>
    <col min="9" max="10" width="5.42578125" customWidth="1"/>
    <col min="11" max="11" width="6" customWidth="1"/>
    <col min="12" max="12" width="5.5703125" customWidth="1"/>
    <col min="13" max="13" width="10.140625" customWidth="1"/>
    <col min="14" max="14" width="12.7109375" bestFit="1" customWidth="1"/>
    <col min="15" max="15" width="8.28515625" customWidth="1"/>
    <col min="16" max="16" width="10.5703125" customWidth="1"/>
    <col min="17" max="17" width="6" customWidth="1"/>
    <col min="18" max="19" width="5.140625" customWidth="1"/>
    <col min="20" max="20" width="5.28515625" customWidth="1"/>
    <col min="21" max="21" width="5.85546875" customWidth="1"/>
    <col min="22" max="22" width="4.85546875" customWidth="1"/>
    <col min="23" max="23" width="10" customWidth="1"/>
  </cols>
  <sheetData>
    <row r="1" spans="1:23" ht="15.75" x14ac:dyDescent="0.25">
      <c r="A1" s="100" t="s">
        <v>260</v>
      </c>
      <c r="B1" s="101"/>
      <c r="C1" s="194" t="s">
        <v>309</v>
      </c>
      <c r="D1" s="195"/>
      <c r="E1" s="111" t="s">
        <v>415</v>
      </c>
      <c r="F1" s="112"/>
      <c r="G1" s="101" t="s">
        <v>4</v>
      </c>
      <c r="H1" s="101"/>
      <c r="I1" s="102" t="s">
        <v>139</v>
      </c>
      <c r="J1" s="102"/>
      <c r="K1" s="102"/>
      <c r="L1" s="102"/>
      <c r="M1" s="102"/>
      <c r="N1" s="102"/>
      <c r="O1" s="101" t="s">
        <v>6</v>
      </c>
      <c r="P1" s="101"/>
      <c r="Q1" s="166">
        <v>45828</v>
      </c>
      <c r="R1" s="167"/>
      <c r="S1" s="167"/>
      <c r="T1" s="167"/>
      <c r="U1" s="167"/>
      <c r="V1" s="167"/>
      <c r="W1" s="168"/>
    </row>
    <row r="2" spans="1:23" ht="15.75" x14ac:dyDescent="0.25">
      <c r="A2" s="106" t="s">
        <v>7</v>
      </c>
      <c r="B2" s="107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7"/>
      <c r="R2" s="107"/>
      <c r="S2" s="107"/>
      <c r="T2" s="107"/>
      <c r="U2" s="107"/>
      <c r="V2" s="107"/>
      <c r="W2" s="110"/>
    </row>
    <row r="3" spans="1:23" x14ac:dyDescent="0.25">
      <c r="A3" s="113" t="s">
        <v>8</v>
      </c>
      <c r="B3" s="114" t="s">
        <v>9</v>
      </c>
      <c r="C3" s="114" t="s">
        <v>10</v>
      </c>
      <c r="D3" s="114" t="s">
        <v>11</v>
      </c>
      <c r="E3" s="114" t="s">
        <v>12</v>
      </c>
      <c r="F3" s="114" t="s">
        <v>13</v>
      </c>
      <c r="G3" s="114" t="s">
        <v>14</v>
      </c>
      <c r="H3" s="114"/>
      <c r="I3" s="114"/>
      <c r="J3" s="114"/>
      <c r="K3" s="114"/>
      <c r="L3" s="114"/>
      <c r="M3" s="114" t="s">
        <v>15</v>
      </c>
      <c r="N3" s="114" t="s">
        <v>16</v>
      </c>
      <c r="O3" s="114" t="s">
        <v>17</v>
      </c>
      <c r="P3" s="114" t="s">
        <v>18</v>
      </c>
      <c r="Q3" s="114" t="s">
        <v>19</v>
      </c>
      <c r="R3" s="114"/>
      <c r="S3" s="114"/>
      <c r="T3" s="114"/>
      <c r="U3" s="114"/>
      <c r="V3" s="114"/>
      <c r="W3" s="115" t="s">
        <v>20</v>
      </c>
    </row>
    <row r="4" spans="1:23" x14ac:dyDescent="0.25">
      <c r="A4" s="113"/>
      <c r="B4" s="114"/>
      <c r="C4" s="114"/>
      <c r="D4" s="114"/>
      <c r="E4" s="114"/>
      <c r="F4" s="114"/>
      <c r="G4" s="31" t="s">
        <v>21</v>
      </c>
      <c r="H4" s="31" t="s">
        <v>21</v>
      </c>
      <c r="I4" s="31" t="s">
        <v>21</v>
      </c>
      <c r="J4" s="31" t="s">
        <v>22</v>
      </c>
      <c r="K4" s="31" t="s">
        <v>22</v>
      </c>
      <c r="L4" s="32" t="s">
        <v>22</v>
      </c>
      <c r="M4" s="138"/>
      <c r="N4" s="114"/>
      <c r="O4" s="114"/>
      <c r="P4" s="114"/>
      <c r="Q4" s="31" t="s">
        <v>21</v>
      </c>
      <c r="R4" s="31" t="s">
        <v>21</v>
      </c>
      <c r="S4" s="31" t="s">
        <v>21</v>
      </c>
      <c r="T4" s="31" t="s">
        <v>22</v>
      </c>
      <c r="U4" s="31" t="s">
        <v>22</v>
      </c>
      <c r="V4" s="31" t="s">
        <v>22</v>
      </c>
      <c r="W4" s="115"/>
    </row>
    <row r="5" spans="1:23" ht="15.75" x14ac:dyDescent="0.25">
      <c r="A5" s="5">
        <v>1</v>
      </c>
      <c r="B5" s="21" t="s">
        <v>181</v>
      </c>
      <c r="C5" s="20">
        <v>45939</v>
      </c>
      <c r="D5" s="36">
        <v>46011</v>
      </c>
      <c r="E5" s="21">
        <v>3</v>
      </c>
      <c r="F5" s="21">
        <v>0</v>
      </c>
      <c r="G5" s="21">
        <v>135</v>
      </c>
      <c r="H5" s="21"/>
      <c r="I5" s="21"/>
      <c r="J5" s="21">
        <v>128</v>
      </c>
      <c r="K5" s="24">
        <v>132</v>
      </c>
      <c r="L5" s="29"/>
      <c r="M5" s="72">
        <f>AVERAGE(G5:L5)</f>
        <v>131.66666666666666</v>
      </c>
      <c r="N5" s="70">
        <v>45663</v>
      </c>
      <c r="O5" s="21">
        <v>3</v>
      </c>
      <c r="P5" s="21">
        <v>0</v>
      </c>
      <c r="Q5" s="21">
        <v>198</v>
      </c>
      <c r="R5" s="21"/>
      <c r="S5" s="21"/>
      <c r="T5" s="21">
        <v>201</v>
      </c>
      <c r="U5" s="21">
        <v>219</v>
      </c>
      <c r="V5" s="21"/>
      <c r="W5" s="22">
        <f>AVERAGE(Q5:V5)</f>
        <v>206</v>
      </c>
    </row>
    <row r="6" spans="1:23" ht="15.75" x14ac:dyDescent="0.25">
      <c r="A6" s="6">
        <v>2</v>
      </c>
      <c r="B6" s="21" t="s">
        <v>181</v>
      </c>
      <c r="C6" s="13">
        <v>46039</v>
      </c>
      <c r="D6" s="13">
        <v>46125</v>
      </c>
      <c r="E6" s="21">
        <v>3</v>
      </c>
      <c r="F6" s="21">
        <v>0</v>
      </c>
      <c r="G6" s="21">
        <v>108</v>
      </c>
      <c r="H6" s="21">
        <v>105</v>
      </c>
      <c r="I6" s="21"/>
      <c r="J6" s="21">
        <v>123</v>
      </c>
      <c r="K6" s="24"/>
      <c r="L6" s="29"/>
      <c r="M6" s="69">
        <f>AVERAGE(G6:L6)</f>
        <v>112</v>
      </c>
      <c r="N6" s="26">
        <v>46139</v>
      </c>
      <c r="O6" s="21">
        <v>3</v>
      </c>
      <c r="P6" s="21">
        <v>0</v>
      </c>
      <c r="Q6" s="21">
        <v>220</v>
      </c>
      <c r="R6" s="21">
        <v>210</v>
      </c>
      <c r="S6" s="21"/>
      <c r="T6" s="21">
        <v>227</v>
      </c>
      <c r="U6" s="21"/>
      <c r="V6" s="21"/>
      <c r="W6" s="22">
        <f>AVERAGE(Q6:V6)</f>
        <v>219</v>
      </c>
    </row>
    <row r="7" spans="1:23" ht="15.75" x14ac:dyDescent="0.25">
      <c r="A7" s="6">
        <v>3</v>
      </c>
      <c r="B7" s="8"/>
      <c r="C7" s="8"/>
      <c r="D7" s="8"/>
      <c r="E7" s="21"/>
      <c r="F7" s="21"/>
      <c r="G7" s="21"/>
      <c r="H7" s="21"/>
      <c r="I7" s="21"/>
      <c r="J7" s="21"/>
      <c r="K7" s="21"/>
      <c r="L7" s="44"/>
      <c r="M7" s="44"/>
      <c r="N7" s="21"/>
      <c r="O7" s="21"/>
      <c r="P7" s="21"/>
      <c r="Q7" s="21"/>
      <c r="R7" s="21"/>
      <c r="S7" s="21"/>
      <c r="T7" s="21"/>
      <c r="U7" s="21"/>
      <c r="V7" s="21"/>
      <c r="W7" s="22"/>
    </row>
    <row r="8" spans="1:23" ht="15.75" x14ac:dyDescent="0.25">
      <c r="A8" s="5">
        <v>4</v>
      </c>
      <c r="B8" s="8"/>
      <c r="C8" s="8"/>
      <c r="D8" s="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2"/>
    </row>
    <row r="9" spans="1:23" ht="15.75" x14ac:dyDescent="0.25">
      <c r="A9" s="5">
        <v>5</v>
      </c>
      <c r="B9" s="8"/>
      <c r="C9" s="8"/>
      <c r="D9" s="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2"/>
    </row>
    <row r="10" spans="1:23" ht="16.5" thickBot="1" x14ac:dyDescent="0.3">
      <c r="A10" s="7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2" spans="1:23" ht="15.75" thickBot="1" x14ac:dyDescent="0.3"/>
    <row r="13" spans="1:23" ht="15.75" x14ac:dyDescent="0.25">
      <c r="A13" s="100" t="s">
        <v>260</v>
      </c>
      <c r="B13" s="101"/>
      <c r="C13" s="178" t="s">
        <v>310</v>
      </c>
      <c r="D13" s="179"/>
      <c r="E13" s="111" t="s">
        <v>415</v>
      </c>
      <c r="F13" s="112"/>
      <c r="G13" s="101" t="s">
        <v>4</v>
      </c>
      <c r="H13" s="101"/>
      <c r="I13" s="102" t="s">
        <v>139</v>
      </c>
      <c r="J13" s="102"/>
      <c r="K13" s="102"/>
      <c r="L13" s="102"/>
      <c r="M13" s="102"/>
      <c r="N13" s="102"/>
      <c r="O13" s="101" t="s">
        <v>6</v>
      </c>
      <c r="P13" s="101"/>
      <c r="Q13" s="166">
        <v>45805</v>
      </c>
      <c r="R13" s="167"/>
      <c r="S13" s="167"/>
      <c r="T13" s="167"/>
      <c r="U13" s="167"/>
      <c r="V13" s="167"/>
      <c r="W13" s="168"/>
    </row>
    <row r="14" spans="1:23" ht="15.75" x14ac:dyDescent="0.25">
      <c r="A14" s="106" t="s">
        <v>7</v>
      </c>
      <c r="B14" s="107"/>
      <c r="C14" s="116" t="s">
        <v>44</v>
      </c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09"/>
      <c r="P14" s="109"/>
      <c r="Q14" s="107"/>
      <c r="R14" s="107"/>
      <c r="S14" s="107"/>
      <c r="T14" s="107"/>
      <c r="U14" s="107"/>
      <c r="V14" s="107"/>
      <c r="W14" s="110"/>
    </row>
    <row r="15" spans="1:23" x14ac:dyDescent="0.25">
      <c r="A15" s="113" t="s">
        <v>8</v>
      </c>
      <c r="B15" s="114" t="s">
        <v>9</v>
      </c>
      <c r="C15" s="114" t="s">
        <v>10</v>
      </c>
      <c r="D15" s="114" t="s">
        <v>11</v>
      </c>
      <c r="E15" s="114" t="s">
        <v>12</v>
      </c>
      <c r="F15" s="114" t="s">
        <v>13</v>
      </c>
      <c r="G15" s="114" t="s">
        <v>14</v>
      </c>
      <c r="H15" s="114"/>
      <c r="I15" s="114"/>
      <c r="J15" s="114"/>
      <c r="K15" s="114"/>
      <c r="L15" s="114"/>
      <c r="M15" s="114" t="s">
        <v>15</v>
      </c>
      <c r="N15" s="114" t="s">
        <v>16</v>
      </c>
      <c r="O15" s="114" t="s">
        <v>17</v>
      </c>
      <c r="P15" s="114" t="s">
        <v>18</v>
      </c>
      <c r="Q15" s="114" t="s">
        <v>19</v>
      </c>
      <c r="R15" s="114"/>
      <c r="S15" s="114"/>
      <c r="T15" s="114"/>
      <c r="U15" s="114"/>
      <c r="V15" s="114"/>
      <c r="W15" s="115" t="s">
        <v>20</v>
      </c>
    </row>
    <row r="16" spans="1:23" x14ac:dyDescent="0.25">
      <c r="A16" s="113"/>
      <c r="B16" s="114"/>
      <c r="C16" s="114"/>
      <c r="D16" s="114"/>
      <c r="E16" s="114"/>
      <c r="F16" s="114"/>
      <c r="G16" s="31" t="s">
        <v>21</v>
      </c>
      <c r="H16" s="31" t="s">
        <v>21</v>
      </c>
      <c r="I16" s="31" t="s">
        <v>21</v>
      </c>
      <c r="J16" s="31" t="s">
        <v>22</v>
      </c>
      <c r="K16" s="31" t="s">
        <v>22</v>
      </c>
      <c r="L16" s="32" t="s">
        <v>22</v>
      </c>
      <c r="M16" s="138"/>
      <c r="N16" s="114"/>
      <c r="O16" s="114"/>
      <c r="P16" s="114"/>
      <c r="Q16" s="31" t="s">
        <v>21</v>
      </c>
      <c r="R16" s="31" t="s">
        <v>21</v>
      </c>
      <c r="S16" s="31" t="s">
        <v>21</v>
      </c>
      <c r="T16" s="31" t="s">
        <v>22</v>
      </c>
      <c r="U16" s="31" t="s">
        <v>22</v>
      </c>
      <c r="V16" s="31" t="s">
        <v>22</v>
      </c>
      <c r="W16" s="115"/>
    </row>
    <row r="17" spans="1:23" ht="15.75" x14ac:dyDescent="0.25">
      <c r="A17" s="5">
        <v>1</v>
      </c>
      <c r="B17" s="21" t="s">
        <v>181</v>
      </c>
      <c r="C17" s="20">
        <v>45939</v>
      </c>
      <c r="D17" s="36" t="s">
        <v>435</v>
      </c>
      <c r="E17" s="21"/>
      <c r="F17" s="21"/>
      <c r="G17" s="21"/>
      <c r="H17" s="21"/>
      <c r="I17" s="21"/>
      <c r="J17" s="21"/>
      <c r="K17" s="24"/>
      <c r="L17" s="29"/>
      <c r="M17" s="57"/>
      <c r="O17" s="21"/>
      <c r="P17" s="21"/>
      <c r="Q17" s="21"/>
      <c r="R17" s="21"/>
      <c r="S17" s="21"/>
      <c r="T17" s="21"/>
      <c r="U17" s="21"/>
      <c r="V17" s="21"/>
      <c r="W17" s="22"/>
    </row>
    <row r="18" spans="1:23" ht="15.75" x14ac:dyDescent="0.25">
      <c r="A18" s="6">
        <v>2</v>
      </c>
      <c r="B18" s="21" t="s">
        <v>181</v>
      </c>
      <c r="C18" s="13">
        <v>46039</v>
      </c>
      <c r="D18" s="13">
        <v>46123</v>
      </c>
      <c r="E18" s="21">
        <v>3</v>
      </c>
      <c r="F18" s="21">
        <v>1</v>
      </c>
      <c r="G18" s="21">
        <v>123</v>
      </c>
      <c r="H18" s="21"/>
      <c r="I18" s="21"/>
      <c r="J18" s="21">
        <v>126</v>
      </c>
      <c r="K18" s="24"/>
      <c r="L18" s="29"/>
      <c r="M18" s="69"/>
      <c r="N18" s="26">
        <v>46139</v>
      </c>
      <c r="O18" s="21">
        <v>2</v>
      </c>
      <c r="P18" s="21">
        <v>0</v>
      </c>
      <c r="Q18" s="21">
        <v>270</v>
      </c>
      <c r="R18" s="21"/>
      <c r="S18" s="21"/>
      <c r="T18" s="21">
        <v>218</v>
      </c>
      <c r="U18" s="21"/>
      <c r="V18" s="21"/>
      <c r="W18" s="22">
        <f>AVERAGE(Q18:V18)</f>
        <v>244</v>
      </c>
    </row>
    <row r="19" spans="1:23" ht="15.75" x14ac:dyDescent="0.25">
      <c r="A19" s="6">
        <v>3</v>
      </c>
      <c r="B19" s="8" t="s">
        <v>181</v>
      </c>
      <c r="C19" s="13">
        <v>46148</v>
      </c>
      <c r="D19" s="8"/>
      <c r="E19" s="21"/>
      <c r="F19" s="21"/>
      <c r="G19" s="21"/>
      <c r="H19" s="21"/>
      <c r="I19" s="21"/>
      <c r="J19" s="21"/>
      <c r="K19" s="21"/>
      <c r="L19" s="44"/>
      <c r="M19" s="44"/>
      <c r="N19" s="21"/>
      <c r="O19" s="21"/>
      <c r="P19" s="21"/>
      <c r="Q19" s="21"/>
      <c r="R19" s="21"/>
      <c r="S19" s="21"/>
      <c r="T19" s="21"/>
      <c r="U19" s="21"/>
      <c r="V19" s="21"/>
      <c r="W19" s="22"/>
    </row>
    <row r="20" spans="1:23" ht="15.75" x14ac:dyDescent="0.25">
      <c r="A20" s="5">
        <v>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</row>
    <row r="21" spans="1:23" ht="15.75" x14ac:dyDescent="0.25">
      <c r="A21" s="5">
        <v>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ht="16.5" thickBot="1" x14ac:dyDescent="0.3">
      <c r="A22" s="7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4" spans="1:23" ht="15.75" thickBot="1" x14ac:dyDescent="0.3"/>
    <row r="25" spans="1:23" ht="15.75" x14ac:dyDescent="0.25">
      <c r="A25" s="100" t="s">
        <v>260</v>
      </c>
      <c r="B25" s="101"/>
      <c r="C25" s="202" t="s">
        <v>311</v>
      </c>
      <c r="D25" s="203"/>
      <c r="E25" s="111" t="s">
        <v>415</v>
      </c>
      <c r="F25" s="112"/>
      <c r="G25" s="101" t="s">
        <v>4</v>
      </c>
      <c r="H25" s="101"/>
      <c r="I25" s="102" t="s">
        <v>139</v>
      </c>
      <c r="J25" s="102"/>
      <c r="K25" s="102"/>
      <c r="L25" s="102"/>
      <c r="M25" s="102"/>
      <c r="N25" s="102"/>
      <c r="O25" s="101" t="s">
        <v>6</v>
      </c>
      <c r="P25" s="101"/>
      <c r="Q25" s="166">
        <v>45819</v>
      </c>
      <c r="R25" s="167"/>
      <c r="S25" s="167"/>
      <c r="T25" s="167"/>
      <c r="U25" s="167"/>
      <c r="V25" s="167"/>
      <c r="W25" s="168"/>
    </row>
    <row r="26" spans="1:23" ht="15.75" x14ac:dyDescent="0.25">
      <c r="A26" s="106" t="s">
        <v>7</v>
      </c>
      <c r="B26" s="107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7"/>
      <c r="R26" s="107"/>
      <c r="S26" s="107"/>
      <c r="T26" s="107"/>
      <c r="U26" s="107"/>
      <c r="V26" s="107"/>
      <c r="W26" s="110"/>
    </row>
    <row r="27" spans="1:23" x14ac:dyDescent="0.25">
      <c r="A27" s="113" t="s">
        <v>8</v>
      </c>
      <c r="B27" s="114" t="s">
        <v>9</v>
      </c>
      <c r="C27" s="114" t="s">
        <v>10</v>
      </c>
      <c r="D27" s="114" t="s">
        <v>11</v>
      </c>
      <c r="E27" s="114" t="s">
        <v>12</v>
      </c>
      <c r="F27" s="114" t="s">
        <v>13</v>
      </c>
      <c r="G27" s="114" t="s">
        <v>14</v>
      </c>
      <c r="H27" s="114"/>
      <c r="I27" s="114"/>
      <c r="J27" s="114"/>
      <c r="K27" s="114"/>
      <c r="L27" s="114"/>
      <c r="M27" s="114" t="s">
        <v>15</v>
      </c>
      <c r="N27" s="114" t="s">
        <v>16</v>
      </c>
      <c r="O27" s="114" t="s">
        <v>17</v>
      </c>
      <c r="P27" s="114" t="s">
        <v>18</v>
      </c>
      <c r="Q27" s="114" t="s">
        <v>19</v>
      </c>
      <c r="R27" s="114"/>
      <c r="S27" s="114"/>
      <c r="T27" s="114"/>
      <c r="U27" s="114"/>
      <c r="V27" s="114"/>
      <c r="W27" s="115" t="s">
        <v>20</v>
      </c>
    </row>
    <row r="28" spans="1:23" x14ac:dyDescent="0.25">
      <c r="A28" s="113"/>
      <c r="B28" s="114"/>
      <c r="C28" s="114"/>
      <c r="D28" s="114"/>
      <c r="E28" s="114"/>
      <c r="F28" s="114"/>
      <c r="G28" s="31" t="s">
        <v>21</v>
      </c>
      <c r="H28" s="31" t="s">
        <v>21</v>
      </c>
      <c r="I28" s="31" t="s">
        <v>21</v>
      </c>
      <c r="J28" s="31" t="s">
        <v>22</v>
      </c>
      <c r="K28" s="31" t="s">
        <v>22</v>
      </c>
      <c r="L28" s="32" t="s">
        <v>22</v>
      </c>
      <c r="M28" s="138"/>
      <c r="N28" s="114"/>
      <c r="O28" s="114"/>
      <c r="P28" s="114"/>
      <c r="Q28" s="31" t="s">
        <v>21</v>
      </c>
      <c r="R28" s="31" t="s">
        <v>21</v>
      </c>
      <c r="S28" s="31" t="s">
        <v>21</v>
      </c>
      <c r="T28" s="31" t="s">
        <v>22</v>
      </c>
      <c r="U28" s="31" t="s">
        <v>22</v>
      </c>
      <c r="V28" s="31" t="s">
        <v>22</v>
      </c>
      <c r="W28" s="115"/>
    </row>
    <row r="29" spans="1:23" ht="15.75" x14ac:dyDescent="0.25">
      <c r="A29" s="5">
        <v>1</v>
      </c>
      <c r="B29" s="21" t="s">
        <v>181</v>
      </c>
      <c r="C29" s="20">
        <v>45939</v>
      </c>
      <c r="D29" s="36">
        <v>46010</v>
      </c>
      <c r="E29" s="21">
        <v>4</v>
      </c>
      <c r="F29" s="21">
        <v>2</v>
      </c>
      <c r="G29" s="21">
        <v>120</v>
      </c>
      <c r="H29" s="21">
        <v>102</v>
      </c>
      <c r="I29" s="21"/>
      <c r="J29" s="21"/>
      <c r="K29" s="24"/>
      <c r="L29" s="29"/>
      <c r="M29" s="69">
        <f>AVERAGE(G29:L29)</f>
        <v>111</v>
      </c>
      <c r="N29" s="70">
        <v>46028</v>
      </c>
      <c r="O29" s="21">
        <v>2</v>
      </c>
      <c r="P29" s="21">
        <v>0</v>
      </c>
      <c r="Q29" s="21"/>
      <c r="R29" s="21"/>
      <c r="S29" s="21"/>
      <c r="T29" s="21">
        <v>224</v>
      </c>
      <c r="U29" s="21">
        <v>211</v>
      </c>
      <c r="V29" s="21"/>
      <c r="W29" s="22">
        <f>AVERAGE(Q29:V29)</f>
        <v>217.5</v>
      </c>
    </row>
    <row r="30" spans="1:23" ht="15.75" x14ac:dyDescent="0.25">
      <c r="A30" s="6">
        <v>2</v>
      </c>
      <c r="B30" s="21" t="s">
        <v>181</v>
      </c>
      <c r="C30" s="13">
        <v>46039</v>
      </c>
      <c r="D30" s="13">
        <v>46112</v>
      </c>
      <c r="E30" s="21">
        <v>3</v>
      </c>
      <c r="F30" s="21">
        <v>0</v>
      </c>
      <c r="G30" s="21">
        <v>125</v>
      </c>
      <c r="H30" s="21">
        <v>113</v>
      </c>
      <c r="I30" s="21"/>
      <c r="J30" s="21">
        <v>121</v>
      </c>
      <c r="K30" s="24"/>
      <c r="L30" s="29"/>
      <c r="M30" s="92">
        <f>AVERAGE(G30:L30)</f>
        <v>119.66666666666667</v>
      </c>
      <c r="N30" s="26">
        <v>46133</v>
      </c>
      <c r="O30" s="21">
        <v>2</v>
      </c>
      <c r="P30" s="21">
        <v>1</v>
      </c>
      <c r="Q30" s="21">
        <v>207</v>
      </c>
      <c r="R30" s="21"/>
      <c r="S30" s="21"/>
      <c r="T30" s="21">
        <v>317</v>
      </c>
      <c r="U30" s="21"/>
      <c r="V30" s="21"/>
      <c r="W30" s="22">
        <f>AVERAGE(Q30:V30)</f>
        <v>262</v>
      </c>
    </row>
    <row r="31" spans="1:23" ht="15.75" x14ac:dyDescent="0.25">
      <c r="A31" s="6">
        <v>3</v>
      </c>
      <c r="B31" s="8"/>
      <c r="C31" s="8"/>
      <c r="D31" s="8"/>
      <c r="E31" s="21"/>
      <c r="F31" s="21"/>
      <c r="G31" s="21"/>
      <c r="H31" s="21"/>
      <c r="I31" s="21"/>
      <c r="J31" s="21"/>
      <c r="K31" s="21"/>
      <c r="L31" s="44"/>
      <c r="M31" s="44"/>
      <c r="N31" s="21"/>
      <c r="O31" s="21"/>
      <c r="P31" s="21"/>
      <c r="Q31" s="21"/>
      <c r="R31" s="21"/>
      <c r="S31" s="21"/>
      <c r="T31" s="21"/>
      <c r="U31" s="21"/>
      <c r="V31" s="21"/>
      <c r="W31" s="22"/>
    </row>
    <row r="32" spans="1:23" ht="15.75" x14ac:dyDescent="0.25">
      <c r="A32" s="5">
        <v>4</v>
      </c>
      <c r="B32" s="8"/>
      <c r="C32" s="8"/>
      <c r="D32" s="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2"/>
    </row>
    <row r="33" spans="1:23" ht="15.75" x14ac:dyDescent="0.25">
      <c r="A33" s="5">
        <v>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</row>
    <row r="34" spans="1:23" ht="16.5" thickBot="1" x14ac:dyDescent="0.3">
      <c r="A34" s="7">
        <v>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6" spans="1:23" ht="15.75" thickBot="1" x14ac:dyDescent="0.3"/>
    <row r="37" spans="1:23" ht="15.75" x14ac:dyDescent="0.25">
      <c r="A37" s="100" t="s">
        <v>260</v>
      </c>
      <c r="B37" s="101"/>
      <c r="C37" s="202" t="s">
        <v>312</v>
      </c>
      <c r="D37" s="203"/>
      <c r="E37" s="111" t="s">
        <v>415</v>
      </c>
      <c r="F37" s="112"/>
      <c r="G37" s="101" t="s">
        <v>4</v>
      </c>
      <c r="H37" s="101"/>
      <c r="I37" s="102" t="s">
        <v>139</v>
      </c>
      <c r="J37" s="102"/>
      <c r="K37" s="102"/>
      <c r="L37" s="102"/>
      <c r="M37" s="102"/>
      <c r="N37" s="102"/>
      <c r="O37" s="101" t="s">
        <v>6</v>
      </c>
      <c r="P37" s="101"/>
      <c r="Q37" s="166">
        <v>45813</v>
      </c>
      <c r="R37" s="167"/>
      <c r="S37" s="167"/>
      <c r="T37" s="167"/>
      <c r="U37" s="167"/>
      <c r="V37" s="167"/>
      <c r="W37" s="168"/>
    </row>
    <row r="38" spans="1:23" ht="15.75" x14ac:dyDescent="0.25">
      <c r="A38" s="106" t="s">
        <v>7</v>
      </c>
      <c r="B38" s="107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7"/>
      <c r="R38" s="107"/>
      <c r="S38" s="107"/>
      <c r="T38" s="107"/>
      <c r="U38" s="107"/>
      <c r="V38" s="107"/>
      <c r="W38" s="110"/>
    </row>
    <row r="39" spans="1:23" x14ac:dyDescent="0.25">
      <c r="A39" s="113" t="s">
        <v>8</v>
      </c>
      <c r="B39" s="114" t="s">
        <v>9</v>
      </c>
      <c r="C39" s="114" t="s">
        <v>10</v>
      </c>
      <c r="D39" s="114" t="s">
        <v>11</v>
      </c>
      <c r="E39" s="114" t="s">
        <v>12</v>
      </c>
      <c r="F39" s="114" t="s">
        <v>13</v>
      </c>
      <c r="G39" s="114" t="s">
        <v>14</v>
      </c>
      <c r="H39" s="114"/>
      <c r="I39" s="114"/>
      <c r="J39" s="114"/>
      <c r="K39" s="114"/>
      <c r="L39" s="114"/>
      <c r="M39" s="114" t="s">
        <v>15</v>
      </c>
      <c r="N39" s="114" t="s">
        <v>16</v>
      </c>
      <c r="O39" s="114" t="s">
        <v>17</v>
      </c>
      <c r="P39" s="114" t="s">
        <v>18</v>
      </c>
      <c r="Q39" s="114" t="s">
        <v>19</v>
      </c>
      <c r="R39" s="114"/>
      <c r="S39" s="114"/>
      <c r="T39" s="114"/>
      <c r="U39" s="114"/>
      <c r="V39" s="114"/>
      <c r="W39" s="115" t="s">
        <v>20</v>
      </c>
    </row>
    <row r="40" spans="1:23" x14ac:dyDescent="0.25">
      <c r="A40" s="113"/>
      <c r="B40" s="114"/>
      <c r="C40" s="114"/>
      <c r="D40" s="114"/>
      <c r="E40" s="114"/>
      <c r="F40" s="114"/>
      <c r="G40" s="31" t="s">
        <v>21</v>
      </c>
      <c r="H40" s="31" t="s">
        <v>21</v>
      </c>
      <c r="I40" s="31" t="s">
        <v>21</v>
      </c>
      <c r="J40" s="31" t="s">
        <v>22</v>
      </c>
      <c r="K40" s="31" t="s">
        <v>22</v>
      </c>
      <c r="L40" s="32" t="s">
        <v>22</v>
      </c>
      <c r="M40" s="138"/>
      <c r="N40" s="114"/>
      <c r="O40" s="114"/>
      <c r="P40" s="114"/>
      <c r="Q40" s="31" t="s">
        <v>21</v>
      </c>
      <c r="R40" s="31" t="s">
        <v>21</v>
      </c>
      <c r="S40" s="31" t="s">
        <v>21</v>
      </c>
      <c r="T40" s="31" t="s">
        <v>22</v>
      </c>
      <c r="U40" s="31" t="s">
        <v>22</v>
      </c>
      <c r="V40" s="31" t="s">
        <v>22</v>
      </c>
      <c r="W40" s="115"/>
    </row>
    <row r="41" spans="1:23" ht="15.75" x14ac:dyDescent="0.25">
      <c r="A41" s="5">
        <v>1</v>
      </c>
      <c r="B41" s="21" t="s">
        <v>181</v>
      </c>
      <c r="C41" s="20">
        <v>45939</v>
      </c>
      <c r="D41" s="36">
        <v>46021</v>
      </c>
      <c r="E41" s="21">
        <v>4</v>
      </c>
      <c r="F41" s="21">
        <v>0</v>
      </c>
      <c r="G41" s="21">
        <v>119</v>
      </c>
      <c r="H41" s="21">
        <v>100</v>
      </c>
      <c r="I41" s="21"/>
      <c r="J41" s="21">
        <v>121</v>
      </c>
      <c r="K41" s="24">
        <v>120</v>
      </c>
      <c r="L41" s="29"/>
      <c r="M41" s="69">
        <f>AVERAGE(G41:L41)</f>
        <v>115</v>
      </c>
      <c r="N41" s="70">
        <v>46039</v>
      </c>
      <c r="O41" s="21">
        <v>3</v>
      </c>
      <c r="P41" s="21">
        <v>1</v>
      </c>
      <c r="Q41" s="21">
        <v>138</v>
      </c>
      <c r="R41" s="21"/>
      <c r="S41" s="21"/>
      <c r="T41" s="21">
        <v>145</v>
      </c>
      <c r="U41" s="21">
        <v>123</v>
      </c>
      <c r="V41" s="21"/>
      <c r="W41" s="40">
        <f>AVERAGE(Q41:V41)</f>
        <v>135.33333333333334</v>
      </c>
    </row>
    <row r="42" spans="1:23" ht="15.75" x14ac:dyDescent="0.25">
      <c r="A42" s="6">
        <v>2</v>
      </c>
      <c r="B42" s="21" t="s">
        <v>181</v>
      </c>
      <c r="C42" s="13">
        <v>46039</v>
      </c>
      <c r="D42" s="13">
        <v>46118</v>
      </c>
      <c r="E42" s="21">
        <v>3</v>
      </c>
      <c r="F42" s="21">
        <v>0</v>
      </c>
      <c r="G42" s="21">
        <v>120</v>
      </c>
      <c r="H42" s="21">
        <v>125</v>
      </c>
      <c r="I42" s="21">
        <v>128</v>
      </c>
      <c r="J42" s="21"/>
      <c r="K42" s="24"/>
      <c r="L42" s="29"/>
      <c r="M42" s="92">
        <f>AVERAGE(G42:L42)</f>
        <v>124.33333333333333</v>
      </c>
      <c r="N42" s="26">
        <v>46139</v>
      </c>
      <c r="O42" s="21">
        <v>3</v>
      </c>
      <c r="P42" s="21">
        <v>0</v>
      </c>
      <c r="Q42" s="21">
        <v>223</v>
      </c>
      <c r="R42" s="21">
        <v>290</v>
      </c>
      <c r="S42" s="21">
        <v>280</v>
      </c>
      <c r="T42" s="21"/>
      <c r="U42" s="21"/>
      <c r="V42" s="21"/>
      <c r="W42" s="68">
        <f>AVERAGE(Q42:V42)</f>
        <v>264.33333333333331</v>
      </c>
    </row>
    <row r="43" spans="1:23" ht="15.75" x14ac:dyDescent="0.25">
      <c r="A43" s="6">
        <v>3</v>
      </c>
      <c r="B43" s="8" t="s">
        <v>181</v>
      </c>
      <c r="C43" s="13">
        <v>46148</v>
      </c>
      <c r="D43" s="8"/>
      <c r="E43" s="21"/>
      <c r="F43" s="21"/>
      <c r="G43" s="21"/>
      <c r="H43" s="21"/>
      <c r="I43" s="21"/>
      <c r="J43" s="21"/>
      <c r="K43" s="21"/>
      <c r="L43" s="44"/>
      <c r="M43" s="44"/>
      <c r="N43" s="21"/>
      <c r="O43" s="21"/>
      <c r="P43" s="21"/>
      <c r="Q43" s="21"/>
      <c r="R43" s="21"/>
      <c r="S43" s="21"/>
      <c r="T43" s="21"/>
      <c r="U43" s="21"/>
      <c r="V43" s="21"/>
      <c r="W43" s="22"/>
    </row>
    <row r="44" spans="1:23" ht="15.75" x14ac:dyDescent="0.25">
      <c r="A44" s="5">
        <v>4</v>
      </c>
      <c r="B44" s="8"/>
      <c r="C44" s="8"/>
      <c r="D44" s="8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2"/>
    </row>
    <row r="45" spans="1:23" ht="15.75" x14ac:dyDescent="0.25">
      <c r="A45" s="5">
        <v>5</v>
      </c>
      <c r="B45" s="8"/>
      <c r="C45" s="8"/>
      <c r="D45" s="8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2"/>
    </row>
    <row r="46" spans="1:23" ht="16.5" thickBot="1" x14ac:dyDescent="0.3">
      <c r="A46" s="7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8" spans="1:23" ht="15.75" thickBot="1" x14ac:dyDescent="0.3"/>
    <row r="49" spans="1:23" ht="15.75" x14ac:dyDescent="0.25">
      <c r="A49" s="100" t="s">
        <v>260</v>
      </c>
      <c r="B49" s="101"/>
      <c r="C49" s="202" t="s">
        <v>313</v>
      </c>
      <c r="D49" s="203"/>
      <c r="E49" s="111" t="s">
        <v>416</v>
      </c>
      <c r="F49" s="112"/>
      <c r="G49" s="101" t="s">
        <v>4</v>
      </c>
      <c r="H49" s="101"/>
      <c r="I49" s="102" t="s">
        <v>139</v>
      </c>
      <c r="J49" s="102"/>
      <c r="K49" s="102"/>
      <c r="L49" s="102"/>
      <c r="M49" s="102"/>
      <c r="N49" s="102"/>
      <c r="O49" s="101" t="s">
        <v>6</v>
      </c>
      <c r="P49" s="101"/>
      <c r="Q49" s="166">
        <v>45818</v>
      </c>
      <c r="R49" s="167"/>
      <c r="S49" s="167"/>
      <c r="T49" s="167"/>
      <c r="U49" s="167"/>
      <c r="V49" s="167"/>
      <c r="W49" s="168"/>
    </row>
    <row r="50" spans="1:23" ht="15.75" x14ac:dyDescent="0.25">
      <c r="A50" s="106" t="s">
        <v>7</v>
      </c>
      <c r="B50" s="107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7"/>
      <c r="R50" s="107"/>
      <c r="S50" s="107"/>
      <c r="T50" s="107"/>
      <c r="U50" s="107"/>
      <c r="V50" s="107"/>
      <c r="W50" s="110"/>
    </row>
    <row r="51" spans="1:23" x14ac:dyDescent="0.25">
      <c r="A51" s="113" t="s">
        <v>8</v>
      </c>
      <c r="B51" s="114" t="s">
        <v>9</v>
      </c>
      <c r="C51" s="114" t="s">
        <v>10</v>
      </c>
      <c r="D51" s="114" t="s">
        <v>11</v>
      </c>
      <c r="E51" s="114" t="s">
        <v>12</v>
      </c>
      <c r="F51" s="114" t="s">
        <v>13</v>
      </c>
      <c r="G51" s="114" t="s">
        <v>14</v>
      </c>
      <c r="H51" s="114"/>
      <c r="I51" s="114"/>
      <c r="J51" s="114"/>
      <c r="K51" s="114"/>
      <c r="L51" s="114"/>
      <c r="M51" s="114" t="s">
        <v>15</v>
      </c>
      <c r="N51" s="114" t="s">
        <v>16</v>
      </c>
      <c r="O51" s="114" t="s">
        <v>17</v>
      </c>
      <c r="P51" s="114" t="s">
        <v>18</v>
      </c>
      <c r="Q51" s="114" t="s">
        <v>19</v>
      </c>
      <c r="R51" s="114"/>
      <c r="S51" s="114"/>
      <c r="T51" s="114"/>
      <c r="U51" s="114"/>
      <c r="V51" s="114"/>
      <c r="W51" s="115" t="s">
        <v>20</v>
      </c>
    </row>
    <row r="52" spans="1:23" x14ac:dyDescent="0.25">
      <c r="A52" s="113"/>
      <c r="B52" s="114"/>
      <c r="C52" s="114"/>
      <c r="D52" s="114"/>
      <c r="E52" s="114"/>
      <c r="F52" s="114"/>
      <c r="G52" s="31" t="s">
        <v>21</v>
      </c>
      <c r="H52" s="31" t="s">
        <v>21</v>
      </c>
      <c r="I52" s="31" t="s">
        <v>21</v>
      </c>
      <c r="J52" s="31" t="s">
        <v>22</v>
      </c>
      <c r="K52" s="31" t="s">
        <v>22</v>
      </c>
      <c r="L52" s="32" t="s">
        <v>22</v>
      </c>
      <c r="M52" s="138"/>
      <c r="N52" s="114"/>
      <c r="O52" s="114"/>
      <c r="P52" s="114"/>
      <c r="Q52" s="31" t="s">
        <v>21</v>
      </c>
      <c r="R52" s="31" t="s">
        <v>21</v>
      </c>
      <c r="S52" s="31" t="s">
        <v>21</v>
      </c>
      <c r="T52" s="31" t="s">
        <v>22</v>
      </c>
      <c r="U52" s="31" t="s">
        <v>22</v>
      </c>
      <c r="V52" s="31" t="s">
        <v>22</v>
      </c>
      <c r="W52" s="115"/>
    </row>
    <row r="53" spans="1:23" ht="15.75" x14ac:dyDescent="0.25">
      <c r="A53" s="5">
        <v>1</v>
      </c>
      <c r="B53" s="21" t="s">
        <v>175</v>
      </c>
      <c r="C53" s="20">
        <v>45939</v>
      </c>
      <c r="D53" s="36">
        <v>46012</v>
      </c>
      <c r="E53" s="21">
        <v>3</v>
      </c>
      <c r="F53" s="21">
        <v>3</v>
      </c>
      <c r="G53" s="21"/>
      <c r="H53" s="21"/>
      <c r="I53" s="21"/>
      <c r="J53" s="21"/>
      <c r="K53" s="24"/>
      <c r="L53" s="29"/>
      <c r="M53" s="57"/>
      <c r="O53" s="21"/>
      <c r="P53" s="21"/>
      <c r="Q53" s="21"/>
      <c r="R53" s="21"/>
      <c r="S53" s="21"/>
      <c r="T53" s="21"/>
      <c r="U53" s="21"/>
      <c r="V53" s="21"/>
      <c r="W53" s="22"/>
    </row>
    <row r="54" spans="1:23" ht="15.75" x14ac:dyDescent="0.25">
      <c r="A54" s="6">
        <v>2</v>
      </c>
      <c r="B54" s="21" t="s">
        <v>175</v>
      </c>
      <c r="C54" s="13">
        <v>46039</v>
      </c>
      <c r="D54" s="13">
        <v>46122</v>
      </c>
      <c r="E54" s="21">
        <v>3</v>
      </c>
      <c r="F54" s="21">
        <v>0</v>
      </c>
      <c r="G54" s="21">
        <v>117</v>
      </c>
      <c r="H54" s="21">
        <v>108</v>
      </c>
      <c r="I54" s="21">
        <v>103</v>
      </c>
      <c r="J54" s="21"/>
      <c r="K54" s="24"/>
      <c r="L54" s="29"/>
      <c r="M54" s="72">
        <f>AVERAGE(G54:L54)</f>
        <v>109.33333333333333</v>
      </c>
      <c r="N54" s="26">
        <v>46139</v>
      </c>
      <c r="O54" s="21">
        <v>3</v>
      </c>
      <c r="P54" s="21">
        <v>0</v>
      </c>
      <c r="Q54" s="21">
        <v>234</v>
      </c>
      <c r="R54" s="21">
        <v>220</v>
      </c>
      <c r="S54" s="21">
        <v>230</v>
      </c>
      <c r="T54" s="21"/>
      <c r="U54" s="21"/>
      <c r="V54" s="21"/>
      <c r="W54" s="22">
        <f>AVERAGE(Q54:V54)</f>
        <v>228</v>
      </c>
    </row>
    <row r="55" spans="1:23" ht="15.75" x14ac:dyDescent="0.25">
      <c r="A55" s="6">
        <v>3</v>
      </c>
      <c r="B55" s="8" t="s">
        <v>181</v>
      </c>
      <c r="C55" s="13">
        <v>46148</v>
      </c>
      <c r="D55" s="8"/>
      <c r="E55" s="21"/>
      <c r="F55" s="21"/>
      <c r="G55" s="21"/>
      <c r="H55" s="21"/>
      <c r="I55" s="21"/>
      <c r="J55" s="21"/>
      <c r="K55" s="21"/>
      <c r="L55" s="44"/>
      <c r="M55" s="44"/>
      <c r="N55" s="21"/>
      <c r="O55" s="21"/>
      <c r="P55" s="21"/>
      <c r="Q55" s="21"/>
      <c r="R55" s="21"/>
      <c r="S55" s="21"/>
      <c r="T55" s="21"/>
      <c r="U55" s="21"/>
      <c r="V55" s="21"/>
      <c r="W55" s="22"/>
    </row>
    <row r="56" spans="1:23" ht="15.75" x14ac:dyDescent="0.25">
      <c r="A56" s="5">
        <v>4</v>
      </c>
      <c r="B56" s="8"/>
      <c r="C56" s="8"/>
      <c r="D56" s="8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2"/>
    </row>
    <row r="57" spans="1:23" ht="15.75" x14ac:dyDescent="0.25">
      <c r="A57" s="5">
        <v>5</v>
      </c>
      <c r="B57" s="8"/>
      <c r="C57" s="8"/>
      <c r="D57" s="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2"/>
    </row>
    <row r="58" spans="1:23" ht="16.5" thickBot="1" x14ac:dyDescent="0.3">
      <c r="A58" s="7">
        <v>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60" spans="1:23" ht="15.75" thickBot="1" x14ac:dyDescent="0.3"/>
    <row r="61" spans="1:23" ht="15.75" x14ac:dyDescent="0.25">
      <c r="A61" s="100" t="s">
        <v>260</v>
      </c>
      <c r="B61" s="101"/>
      <c r="C61" s="202" t="s">
        <v>314</v>
      </c>
      <c r="D61" s="203"/>
      <c r="E61" s="111" t="s">
        <v>416</v>
      </c>
      <c r="F61" s="112"/>
      <c r="G61" s="101" t="s">
        <v>4</v>
      </c>
      <c r="H61" s="101"/>
      <c r="I61" s="102" t="s">
        <v>139</v>
      </c>
      <c r="J61" s="102"/>
      <c r="K61" s="102"/>
      <c r="L61" s="102"/>
      <c r="M61" s="102"/>
      <c r="N61" s="102"/>
      <c r="O61" s="101" t="s">
        <v>6</v>
      </c>
      <c r="P61" s="101"/>
      <c r="Q61" s="166">
        <v>45820</v>
      </c>
      <c r="R61" s="167"/>
      <c r="S61" s="167"/>
      <c r="T61" s="167"/>
      <c r="U61" s="167"/>
      <c r="V61" s="167"/>
      <c r="W61" s="168"/>
    </row>
    <row r="62" spans="1:23" ht="15.75" x14ac:dyDescent="0.25">
      <c r="A62" s="106" t="s">
        <v>7</v>
      </c>
      <c r="B62" s="107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7"/>
      <c r="R62" s="107"/>
      <c r="S62" s="107"/>
      <c r="T62" s="107"/>
      <c r="U62" s="107"/>
      <c r="V62" s="107"/>
      <c r="W62" s="110"/>
    </row>
    <row r="63" spans="1:23" x14ac:dyDescent="0.25">
      <c r="A63" s="113" t="s">
        <v>8</v>
      </c>
      <c r="B63" s="114" t="s">
        <v>9</v>
      </c>
      <c r="C63" s="114" t="s">
        <v>10</v>
      </c>
      <c r="D63" s="114" t="s">
        <v>11</v>
      </c>
      <c r="E63" s="114" t="s">
        <v>12</v>
      </c>
      <c r="F63" s="114" t="s">
        <v>13</v>
      </c>
      <c r="G63" s="114" t="s">
        <v>14</v>
      </c>
      <c r="H63" s="114"/>
      <c r="I63" s="114"/>
      <c r="J63" s="114"/>
      <c r="K63" s="114"/>
      <c r="L63" s="114"/>
      <c r="M63" s="114" t="s">
        <v>15</v>
      </c>
      <c r="N63" s="114" t="s">
        <v>16</v>
      </c>
      <c r="O63" s="114" t="s">
        <v>17</v>
      </c>
      <c r="P63" s="114" t="s">
        <v>18</v>
      </c>
      <c r="Q63" s="114" t="s">
        <v>19</v>
      </c>
      <c r="R63" s="114"/>
      <c r="S63" s="114"/>
      <c r="T63" s="114"/>
      <c r="U63" s="114"/>
      <c r="V63" s="114"/>
      <c r="W63" s="115" t="s">
        <v>20</v>
      </c>
    </row>
    <row r="64" spans="1:23" x14ac:dyDescent="0.25">
      <c r="A64" s="113"/>
      <c r="B64" s="114"/>
      <c r="C64" s="114"/>
      <c r="D64" s="114"/>
      <c r="E64" s="114"/>
      <c r="F64" s="114"/>
      <c r="G64" s="31" t="s">
        <v>21</v>
      </c>
      <c r="H64" s="31" t="s">
        <v>21</v>
      </c>
      <c r="I64" s="31" t="s">
        <v>21</v>
      </c>
      <c r="J64" s="31" t="s">
        <v>22</v>
      </c>
      <c r="K64" s="31" t="s">
        <v>22</v>
      </c>
      <c r="L64" s="32" t="s">
        <v>22</v>
      </c>
      <c r="M64" s="138"/>
      <c r="N64" s="114"/>
      <c r="O64" s="114"/>
      <c r="P64" s="114"/>
      <c r="Q64" s="31" t="s">
        <v>21</v>
      </c>
      <c r="R64" s="31" t="s">
        <v>21</v>
      </c>
      <c r="S64" s="31" t="s">
        <v>21</v>
      </c>
      <c r="T64" s="31" t="s">
        <v>22</v>
      </c>
      <c r="U64" s="31" t="s">
        <v>22</v>
      </c>
      <c r="V64" s="31" t="s">
        <v>22</v>
      </c>
      <c r="W64" s="115"/>
    </row>
    <row r="65" spans="1:23" ht="15.75" x14ac:dyDescent="0.25">
      <c r="A65" s="5">
        <v>1</v>
      </c>
      <c r="B65" s="21" t="s">
        <v>175</v>
      </c>
      <c r="C65" s="20">
        <v>45939</v>
      </c>
      <c r="D65" s="36">
        <v>46023</v>
      </c>
      <c r="E65" s="21">
        <v>3</v>
      </c>
      <c r="F65" s="21">
        <v>0</v>
      </c>
      <c r="G65" s="21">
        <v>130</v>
      </c>
      <c r="H65" s="21"/>
      <c r="I65" s="21"/>
      <c r="J65" s="21">
        <v>125</v>
      </c>
      <c r="K65" s="24">
        <v>115</v>
      </c>
      <c r="L65" s="29"/>
      <c r="M65" s="72">
        <f>AVERAGE(G65:L65)</f>
        <v>123.33333333333333</v>
      </c>
      <c r="N65" s="70">
        <v>46039</v>
      </c>
      <c r="O65" s="21">
        <v>3</v>
      </c>
      <c r="P65" s="21">
        <v>0</v>
      </c>
      <c r="Q65" s="21">
        <v>231</v>
      </c>
      <c r="R65" s="21"/>
      <c r="S65" s="21"/>
      <c r="T65" s="21">
        <v>183</v>
      </c>
      <c r="U65" s="21">
        <v>259</v>
      </c>
      <c r="V65" s="21"/>
      <c r="W65" s="40">
        <f>AVERAGE(Q65:V65)</f>
        <v>224.33333333333334</v>
      </c>
    </row>
    <row r="66" spans="1:23" ht="15.75" x14ac:dyDescent="0.25">
      <c r="A66" s="6">
        <v>2</v>
      </c>
      <c r="B66" s="21" t="s">
        <v>175</v>
      </c>
      <c r="C66" s="13">
        <v>46039</v>
      </c>
      <c r="D66" s="13">
        <v>46122</v>
      </c>
      <c r="E66" s="21">
        <v>2</v>
      </c>
      <c r="F66" s="21">
        <v>0</v>
      </c>
      <c r="G66" s="21"/>
      <c r="H66" s="21"/>
      <c r="I66" s="21"/>
      <c r="J66" s="21">
        <v>105</v>
      </c>
      <c r="K66" s="24">
        <v>115</v>
      </c>
      <c r="L66" s="29"/>
      <c r="M66" s="69">
        <f>AVERAGE(G66:L66)</f>
        <v>110</v>
      </c>
      <c r="N66" s="26">
        <v>46139</v>
      </c>
      <c r="O66" s="21">
        <v>2</v>
      </c>
      <c r="P66" s="21">
        <v>0</v>
      </c>
      <c r="Q66" s="21"/>
      <c r="R66" s="21"/>
      <c r="S66" s="21"/>
      <c r="T66" s="21">
        <v>257</v>
      </c>
      <c r="U66" s="21">
        <v>190</v>
      </c>
      <c r="V66" s="21"/>
      <c r="W66" s="22">
        <f>AVERAGE(Q66:V66)</f>
        <v>223.5</v>
      </c>
    </row>
    <row r="67" spans="1:23" ht="15.75" x14ac:dyDescent="0.25">
      <c r="A67" s="6">
        <v>3</v>
      </c>
      <c r="B67" s="8" t="s">
        <v>181</v>
      </c>
      <c r="C67" s="13">
        <v>46148</v>
      </c>
      <c r="D67" s="8"/>
      <c r="E67" s="21"/>
      <c r="F67" s="21"/>
      <c r="G67" s="21"/>
      <c r="H67" s="21"/>
      <c r="I67" s="21"/>
      <c r="J67" s="21"/>
      <c r="K67" s="21"/>
      <c r="L67" s="44"/>
      <c r="M67" s="44"/>
      <c r="N67" s="21"/>
      <c r="O67" s="21"/>
      <c r="P67" s="21"/>
      <c r="Q67" s="21"/>
      <c r="R67" s="21"/>
      <c r="S67" s="21"/>
      <c r="T67" s="21"/>
      <c r="U67" s="21"/>
      <c r="V67" s="21"/>
      <c r="W67" s="22"/>
    </row>
    <row r="68" spans="1:23" ht="15.75" x14ac:dyDescent="0.25">
      <c r="A68" s="5">
        <v>4</v>
      </c>
      <c r="B68" s="8"/>
      <c r="C68" s="8"/>
      <c r="D68" s="8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2"/>
    </row>
    <row r="69" spans="1:23" ht="15.75" x14ac:dyDescent="0.25">
      <c r="A69" s="5">
        <v>5</v>
      </c>
      <c r="B69" s="8"/>
      <c r="C69" s="8"/>
      <c r="D69" s="8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2"/>
    </row>
    <row r="70" spans="1:23" ht="16.5" thickBot="1" x14ac:dyDescent="0.3">
      <c r="A70" s="7">
        <v>6</v>
      </c>
      <c r="B70" s="10"/>
      <c r="C70" s="10"/>
      <c r="D70" s="10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9"/>
    </row>
    <row r="72" spans="1:23" ht="15.75" thickBot="1" x14ac:dyDescent="0.3"/>
    <row r="73" spans="1:23" ht="15.75" x14ac:dyDescent="0.25">
      <c r="A73" s="100" t="s">
        <v>260</v>
      </c>
      <c r="B73" s="101"/>
      <c r="C73" s="111" t="s">
        <v>315</v>
      </c>
      <c r="D73" s="112"/>
      <c r="E73" s="111" t="s">
        <v>416</v>
      </c>
      <c r="F73" s="112"/>
      <c r="G73" s="101" t="s">
        <v>4</v>
      </c>
      <c r="H73" s="101"/>
      <c r="I73" s="102" t="s">
        <v>139</v>
      </c>
      <c r="J73" s="102"/>
      <c r="K73" s="102"/>
      <c r="L73" s="102"/>
      <c r="M73" s="102"/>
      <c r="N73" s="102"/>
      <c r="O73" s="101" t="s">
        <v>6</v>
      </c>
      <c r="P73" s="101"/>
      <c r="Q73" s="166">
        <v>45819</v>
      </c>
      <c r="R73" s="167"/>
      <c r="S73" s="167"/>
      <c r="T73" s="167"/>
      <c r="U73" s="167"/>
      <c r="V73" s="167"/>
      <c r="W73" s="168"/>
    </row>
    <row r="74" spans="1:23" ht="15.75" x14ac:dyDescent="0.25">
      <c r="A74" s="106" t="s">
        <v>7</v>
      </c>
      <c r="B74" s="107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7"/>
      <c r="R74" s="107"/>
      <c r="S74" s="107"/>
      <c r="T74" s="107"/>
      <c r="U74" s="107"/>
      <c r="V74" s="107"/>
      <c r="W74" s="110"/>
    </row>
    <row r="75" spans="1:23" x14ac:dyDescent="0.25">
      <c r="A75" s="113" t="s">
        <v>8</v>
      </c>
      <c r="B75" s="114" t="s">
        <v>9</v>
      </c>
      <c r="C75" s="114" t="s">
        <v>10</v>
      </c>
      <c r="D75" s="114" t="s">
        <v>11</v>
      </c>
      <c r="E75" s="114" t="s">
        <v>12</v>
      </c>
      <c r="F75" s="114" t="s">
        <v>13</v>
      </c>
      <c r="G75" s="114" t="s">
        <v>14</v>
      </c>
      <c r="H75" s="114"/>
      <c r="I75" s="114"/>
      <c r="J75" s="114"/>
      <c r="K75" s="114"/>
      <c r="L75" s="114"/>
      <c r="M75" s="114" t="s">
        <v>15</v>
      </c>
      <c r="N75" s="114" t="s">
        <v>16</v>
      </c>
      <c r="O75" s="114" t="s">
        <v>17</v>
      </c>
      <c r="P75" s="114" t="s">
        <v>18</v>
      </c>
      <c r="Q75" s="114" t="s">
        <v>19</v>
      </c>
      <c r="R75" s="114"/>
      <c r="S75" s="114"/>
      <c r="T75" s="114"/>
      <c r="U75" s="114"/>
      <c r="V75" s="114"/>
      <c r="W75" s="115" t="s">
        <v>20</v>
      </c>
    </row>
    <row r="76" spans="1:23" x14ac:dyDescent="0.25">
      <c r="A76" s="113"/>
      <c r="B76" s="114"/>
      <c r="C76" s="114"/>
      <c r="D76" s="114"/>
      <c r="E76" s="114"/>
      <c r="F76" s="114"/>
      <c r="G76" s="31" t="s">
        <v>21</v>
      </c>
      <c r="H76" s="31" t="s">
        <v>21</v>
      </c>
      <c r="I76" s="31" t="s">
        <v>21</v>
      </c>
      <c r="J76" s="31" t="s">
        <v>22</v>
      </c>
      <c r="K76" s="31" t="s">
        <v>22</v>
      </c>
      <c r="L76" s="32" t="s">
        <v>22</v>
      </c>
      <c r="M76" s="138"/>
      <c r="N76" s="114"/>
      <c r="O76" s="114"/>
      <c r="P76" s="114"/>
      <c r="Q76" s="31" t="s">
        <v>21</v>
      </c>
      <c r="R76" s="31" t="s">
        <v>21</v>
      </c>
      <c r="S76" s="31" t="s">
        <v>21</v>
      </c>
      <c r="T76" s="31" t="s">
        <v>22</v>
      </c>
      <c r="U76" s="31" t="s">
        <v>22</v>
      </c>
      <c r="V76" s="31" t="s">
        <v>22</v>
      </c>
      <c r="W76" s="115"/>
    </row>
    <row r="77" spans="1:23" ht="15.75" x14ac:dyDescent="0.25">
      <c r="A77" s="5">
        <v>1</v>
      </c>
      <c r="B77" s="21" t="s">
        <v>175</v>
      </c>
      <c r="C77" s="20">
        <v>45939</v>
      </c>
      <c r="D77" s="36" t="s">
        <v>435</v>
      </c>
      <c r="E77" s="21"/>
      <c r="F77" s="21"/>
      <c r="G77" s="21"/>
      <c r="H77" s="21"/>
      <c r="I77" s="21"/>
      <c r="J77" s="21"/>
      <c r="K77" s="24"/>
      <c r="L77" s="29"/>
      <c r="M77" s="57"/>
      <c r="O77" s="21"/>
      <c r="P77" s="21"/>
      <c r="Q77" s="21"/>
      <c r="R77" s="21"/>
      <c r="S77" s="21"/>
      <c r="T77" s="21"/>
      <c r="U77" s="21"/>
      <c r="V77" s="21"/>
      <c r="W77" s="22"/>
    </row>
    <row r="78" spans="1:23" ht="15.75" x14ac:dyDescent="0.25">
      <c r="A78" s="6">
        <v>2</v>
      </c>
      <c r="B78" s="21" t="s">
        <v>175</v>
      </c>
      <c r="C78" s="13">
        <v>46039</v>
      </c>
      <c r="D78" s="13">
        <v>46107</v>
      </c>
      <c r="E78" s="21">
        <v>2</v>
      </c>
      <c r="F78" s="21">
        <v>0</v>
      </c>
      <c r="G78" s="21">
        <v>131</v>
      </c>
      <c r="H78" s="21"/>
      <c r="I78" s="21"/>
      <c r="J78" s="21">
        <v>137</v>
      </c>
      <c r="K78" s="24"/>
      <c r="L78" s="29"/>
      <c r="M78" s="69">
        <f>AVERAGE(G78:L78)</f>
        <v>134</v>
      </c>
      <c r="N78" s="26">
        <v>46133</v>
      </c>
      <c r="O78" s="21">
        <v>2</v>
      </c>
      <c r="P78" s="21">
        <v>0</v>
      </c>
      <c r="Q78" s="21">
        <v>360</v>
      </c>
      <c r="R78" s="21"/>
      <c r="S78" s="21"/>
      <c r="T78" s="21">
        <v>256</v>
      </c>
      <c r="U78" s="21"/>
      <c r="V78" s="21"/>
      <c r="W78" s="22">
        <f>AVERAGE(Q78:V78)</f>
        <v>308</v>
      </c>
    </row>
    <row r="79" spans="1:23" ht="15.75" x14ac:dyDescent="0.25">
      <c r="A79" s="6">
        <v>3</v>
      </c>
      <c r="B79" s="8" t="s">
        <v>181</v>
      </c>
      <c r="C79" s="13">
        <v>46148</v>
      </c>
      <c r="D79" s="8"/>
      <c r="E79" s="21"/>
      <c r="F79" s="21"/>
      <c r="G79" s="21"/>
      <c r="H79" s="21"/>
      <c r="I79" s="21"/>
      <c r="J79" s="21"/>
      <c r="K79" s="21"/>
      <c r="L79" s="44"/>
      <c r="M79" s="44"/>
      <c r="N79" s="21"/>
      <c r="O79" s="21"/>
      <c r="P79" s="21"/>
      <c r="Q79" s="21"/>
      <c r="R79" s="21"/>
      <c r="S79" s="21"/>
      <c r="T79" s="21"/>
      <c r="U79" s="21"/>
      <c r="V79" s="21"/>
      <c r="W79" s="22"/>
    </row>
    <row r="80" spans="1:23" ht="15.75" x14ac:dyDescent="0.25">
      <c r="A80" s="5">
        <v>4</v>
      </c>
      <c r="B80" s="8"/>
      <c r="C80" s="8"/>
      <c r="D80" s="8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2"/>
    </row>
    <row r="81" spans="1:23" ht="15.75" x14ac:dyDescent="0.25">
      <c r="A81" s="5">
        <v>5</v>
      </c>
      <c r="B81" s="8"/>
      <c r="C81" s="8"/>
      <c r="D81" s="8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2"/>
    </row>
    <row r="82" spans="1:23" ht="16.5" thickBot="1" x14ac:dyDescent="0.3">
      <c r="A82" s="7">
        <v>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4" spans="1:23" ht="15.75" thickBot="1" x14ac:dyDescent="0.3"/>
    <row r="85" spans="1:23" ht="15.75" x14ac:dyDescent="0.25">
      <c r="A85" s="100" t="s">
        <v>260</v>
      </c>
      <c r="B85" s="101"/>
      <c r="C85" s="111" t="s">
        <v>484</v>
      </c>
      <c r="D85" s="112"/>
      <c r="E85" s="111" t="s">
        <v>416</v>
      </c>
      <c r="F85" s="112"/>
      <c r="G85" s="101" t="s">
        <v>4</v>
      </c>
      <c r="H85" s="101"/>
      <c r="I85" s="102" t="s">
        <v>139</v>
      </c>
      <c r="J85" s="102"/>
      <c r="K85" s="102"/>
      <c r="L85" s="102"/>
      <c r="M85" s="102"/>
      <c r="N85" s="102"/>
      <c r="O85" s="101" t="s">
        <v>6</v>
      </c>
      <c r="P85" s="101"/>
      <c r="Q85" s="166">
        <v>45811</v>
      </c>
      <c r="R85" s="167"/>
      <c r="S85" s="167"/>
      <c r="T85" s="167"/>
      <c r="U85" s="167"/>
      <c r="V85" s="167"/>
      <c r="W85" s="168"/>
    </row>
    <row r="86" spans="1:23" ht="15.75" x14ac:dyDescent="0.25">
      <c r="A86" s="106" t="s">
        <v>7</v>
      </c>
      <c r="B86" s="107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7"/>
      <c r="R86" s="107"/>
      <c r="S86" s="107"/>
      <c r="T86" s="107"/>
      <c r="U86" s="107"/>
      <c r="V86" s="107"/>
      <c r="W86" s="110"/>
    </row>
    <row r="87" spans="1:23" x14ac:dyDescent="0.25">
      <c r="A87" s="113" t="s">
        <v>8</v>
      </c>
      <c r="B87" s="114" t="s">
        <v>9</v>
      </c>
      <c r="C87" s="114" t="s">
        <v>10</v>
      </c>
      <c r="D87" s="114" t="s">
        <v>11</v>
      </c>
      <c r="E87" s="114" t="s">
        <v>12</v>
      </c>
      <c r="F87" s="114" t="s">
        <v>13</v>
      </c>
      <c r="G87" s="114" t="s">
        <v>14</v>
      </c>
      <c r="H87" s="114"/>
      <c r="I87" s="114"/>
      <c r="J87" s="114"/>
      <c r="K87" s="114"/>
      <c r="L87" s="114"/>
      <c r="M87" s="114" t="s">
        <v>15</v>
      </c>
      <c r="N87" s="114" t="s">
        <v>16</v>
      </c>
      <c r="O87" s="114" t="s">
        <v>17</v>
      </c>
      <c r="P87" s="114" t="s">
        <v>18</v>
      </c>
      <c r="Q87" s="114" t="s">
        <v>19</v>
      </c>
      <c r="R87" s="114"/>
      <c r="S87" s="114"/>
      <c r="T87" s="114"/>
      <c r="U87" s="114"/>
      <c r="V87" s="114"/>
      <c r="W87" s="115" t="s">
        <v>20</v>
      </c>
    </row>
    <row r="88" spans="1:23" x14ac:dyDescent="0.25">
      <c r="A88" s="113"/>
      <c r="B88" s="114"/>
      <c r="C88" s="114"/>
      <c r="D88" s="114"/>
      <c r="E88" s="114"/>
      <c r="F88" s="114"/>
      <c r="G88" s="31" t="s">
        <v>21</v>
      </c>
      <c r="H88" s="31" t="s">
        <v>21</v>
      </c>
      <c r="I88" s="31" t="s">
        <v>21</v>
      </c>
      <c r="J88" s="31" t="s">
        <v>22</v>
      </c>
      <c r="K88" s="31" t="s">
        <v>22</v>
      </c>
      <c r="L88" s="32" t="s">
        <v>22</v>
      </c>
      <c r="M88" s="138"/>
      <c r="N88" s="114"/>
      <c r="O88" s="114"/>
      <c r="P88" s="114"/>
      <c r="Q88" s="31" t="s">
        <v>21</v>
      </c>
      <c r="R88" s="31" t="s">
        <v>21</v>
      </c>
      <c r="S88" s="31" t="s">
        <v>21</v>
      </c>
      <c r="T88" s="31" t="s">
        <v>22</v>
      </c>
      <c r="U88" s="31" t="s">
        <v>22</v>
      </c>
      <c r="V88" s="31" t="s">
        <v>22</v>
      </c>
      <c r="W88" s="115"/>
    </row>
    <row r="89" spans="1:23" ht="15.75" x14ac:dyDescent="0.25">
      <c r="A89" s="5">
        <v>1</v>
      </c>
      <c r="B89" s="21" t="s">
        <v>175</v>
      </c>
      <c r="C89" s="20">
        <v>45939</v>
      </c>
      <c r="D89" s="36" t="s">
        <v>428</v>
      </c>
      <c r="E89" s="21"/>
      <c r="F89" s="21"/>
      <c r="G89" s="21"/>
      <c r="H89" s="21"/>
      <c r="I89" s="21"/>
      <c r="J89" s="21"/>
      <c r="K89" s="24"/>
      <c r="L89" s="29"/>
      <c r="M89" s="57"/>
      <c r="O89" s="21"/>
      <c r="P89" s="21"/>
      <c r="Q89" s="21"/>
      <c r="R89" s="21"/>
      <c r="S89" s="21"/>
      <c r="T89" s="21"/>
      <c r="U89" s="21"/>
      <c r="V89" s="21"/>
      <c r="W89" s="22"/>
    </row>
    <row r="90" spans="1:23" ht="15.75" x14ac:dyDescent="0.25">
      <c r="A90" s="6">
        <v>2</v>
      </c>
      <c r="B90" s="21" t="s">
        <v>175</v>
      </c>
      <c r="C90" s="13">
        <v>46039</v>
      </c>
      <c r="D90" s="20">
        <v>46111</v>
      </c>
      <c r="E90" s="21">
        <v>3</v>
      </c>
      <c r="F90" s="21">
        <v>0</v>
      </c>
      <c r="G90" s="21">
        <v>126</v>
      </c>
      <c r="H90" s="21">
        <v>125</v>
      </c>
      <c r="I90" s="21"/>
      <c r="J90" s="21">
        <v>128</v>
      </c>
      <c r="K90" s="24"/>
      <c r="L90" s="29"/>
      <c r="M90" s="92">
        <f>AVERAGE(G90:L90)</f>
        <v>126.33333333333333</v>
      </c>
      <c r="N90" s="26">
        <v>46133</v>
      </c>
      <c r="O90" s="21">
        <v>3</v>
      </c>
      <c r="P90" s="21">
        <v>0</v>
      </c>
      <c r="Q90" s="21">
        <v>221</v>
      </c>
      <c r="R90" s="21">
        <v>259</v>
      </c>
      <c r="S90" s="21"/>
      <c r="T90" s="21">
        <v>275</v>
      </c>
      <c r="U90" s="21"/>
      <c r="V90" s="21"/>
      <c r="W90" s="68">
        <f>AVERAGE(Q90:V90)</f>
        <v>251.66666666666666</v>
      </c>
    </row>
    <row r="91" spans="1:23" ht="15.75" x14ac:dyDescent="0.25">
      <c r="A91" s="6">
        <v>3</v>
      </c>
      <c r="B91" s="8" t="s">
        <v>181</v>
      </c>
      <c r="C91" s="13">
        <v>46148</v>
      </c>
      <c r="D91" s="21"/>
      <c r="E91" s="21"/>
      <c r="F91" s="21"/>
      <c r="G91" s="21"/>
      <c r="H91" s="21"/>
      <c r="I91" s="21"/>
      <c r="J91" s="21"/>
      <c r="K91" s="21"/>
      <c r="L91" s="44"/>
      <c r="M91" s="44"/>
      <c r="N91" s="21"/>
      <c r="O91" s="21"/>
      <c r="P91" s="21"/>
      <c r="Q91" s="21"/>
      <c r="R91" s="21"/>
      <c r="S91" s="21"/>
      <c r="T91" s="21"/>
      <c r="U91" s="21"/>
      <c r="V91" s="21"/>
      <c r="W91" s="22"/>
    </row>
    <row r="92" spans="1:23" ht="15.75" x14ac:dyDescent="0.25">
      <c r="A92" s="5">
        <v>4</v>
      </c>
      <c r="B92" s="8"/>
      <c r="C92" s="8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2"/>
    </row>
    <row r="93" spans="1:23" ht="15.75" x14ac:dyDescent="0.25">
      <c r="A93" s="5">
        <v>5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6.5" thickBot="1" x14ac:dyDescent="0.3">
      <c r="A94" s="7">
        <v>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6" spans="1:23" ht="15.75" thickBot="1" x14ac:dyDescent="0.3"/>
    <row r="97" spans="1:23" ht="15.75" x14ac:dyDescent="0.25">
      <c r="A97" s="100" t="s">
        <v>260</v>
      </c>
      <c r="B97" s="101"/>
      <c r="C97" s="111" t="s">
        <v>316</v>
      </c>
      <c r="D97" s="112"/>
      <c r="E97" s="111" t="s">
        <v>416</v>
      </c>
      <c r="F97" s="112"/>
      <c r="G97" s="101" t="s">
        <v>4</v>
      </c>
      <c r="H97" s="101"/>
      <c r="I97" s="102" t="s">
        <v>139</v>
      </c>
      <c r="J97" s="102"/>
      <c r="K97" s="102"/>
      <c r="L97" s="102"/>
      <c r="M97" s="102"/>
      <c r="N97" s="102"/>
      <c r="O97" s="101" t="s">
        <v>6</v>
      </c>
      <c r="P97" s="101"/>
      <c r="Q97" s="166">
        <v>45828</v>
      </c>
      <c r="R97" s="167"/>
      <c r="S97" s="167"/>
      <c r="T97" s="167"/>
      <c r="U97" s="167"/>
      <c r="V97" s="167"/>
      <c r="W97" s="168"/>
    </row>
    <row r="98" spans="1:23" ht="15.75" x14ac:dyDescent="0.25">
      <c r="A98" s="106" t="s">
        <v>7</v>
      </c>
      <c r="B98" s="107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7"/>
      <c r="R98" s="107"/>
      <c r="S98" s="107"/>
      <c r="T98" s="107"/>
      <c r="U98" s="107"/>
      <c r="V98" s="107"/>
      <c r="W98" s="110"/>
    </row>
    <row r="99" spans="1:23" x14ac:dyDescent="0.25">
      <c r="A99" s="113" t="s">
        <v>8</v>
      </c>
      <c r="B99" s="114" t="s">
        <v>9</v>
      </c>
      <c r="C99" s="114" t="s">
        <v>10</v>
      </c>
      <c r="D99" s="114" t="s">
        <v>11</v>
      </c>
      <c r="E99" s="114" t="s">
        <v>12</v>
      </c>
      <c r="F99" s="114" t="s">
        <v>13</v>
      </c>
      <c r="G99" s="114" t="s">
        <v>14</v>
      </c>
      <c r="H99" s="114"/>
      <c r="I99" s="114"/>
      <c r="J99" s="114"/>
      <c r="K99" s="114"/>
      <c r="L99" s="114"/>
      <c r="M99" s="114" t="s">
        <v>15</v>
      </c>
      <c r="N99" s="114" t="s">
        <v>16</v>
      </c>
      <c r="O99" s="114" t="s">
        <v>17</v>
      </c>
      <c r="P99" s="114" t="s">
        <v>18</v>
      </c>
      <c r="Q99" s="114" t="s">
        <v>19</v>
      </c>
      <c r="R99" s="114"/>
      <c r="S99" s="114"/>
      <c r="T99" s="114"/>
      <c r="U99" s="114"/>
      <c r="V99" s="114"/>
      <c r="W99" s="115" t="s">
        <v>20</v>
      </c>
    </row>
    <row r="100" spans="1:23" x14ac:dyDescent="0.25">
      <c r="A100" s="113"/>
      <c r="B100" s="114"/>
      <c r="C100" s="114"/>
      <c r="D100" s="114"/>
      <c r="E100" s="114"/>
      <c r="F100" s="114"/>
      <c r="G100" s="31" t="s">
        <v>21</v>
      </c>
      <c r="H100" s="31" t="s">
        <v>21</v>
      </c>
      <c r="I100" s="31" t="s">
        <v>21</v>
      </c>
      <c r="J100" s="31" t="s">
        <v>22</v>
      </c>
      <c r="K100" s="31" t="s">
        <v>22</v>
      </c>
      <c r="L100" s="32" t="s">
        <v>22</v>
      </c>
      <c r="M100" s="138"/>
      <c r="N100" s="114"/>
      <c r="O100" s="114"/>
      <c r="P100" s="114"/>
      <c r="Q100" s="31" t="s">
        <v>21</v>
      </c>
      <c r="R100" s="31" t="s">
        <v>21</v>
      </c>
      <c r="S100" s="31" t="s">
        <v>21</v>
      </c>
      <c r="T100" s="31" t="s">
        <v>22</v>
      </c>
      <c r="U100" s="31" t="s">
        <v>22</v>
      </c>
      <c r="V100" s="31" t="s">
        <v>22</v>
      </c>
      <c r="W100" s="115"/>
    </row>
    <row r="101" spans="1:23" ht="15.75" x14ac:dyDescent="0.25">
      <c r="A101" s="5">
        <v>1</v>
      </c>
      <c r="B101" s="21" t="s">
        <v>175</v>
      </c>
      <c r="C101" s="20">
        <v>45939</v>
      </c>
      <c r="D101" s="36">
        <v>46017</v>
      </c>
      <c r="E101" s="21">
        <v>2</v>
      </c>
      <c r="F101" s="21">
        <v>0</v>
      </c>
      <c r="G101" s="21">
        <v>150</v>
      </c>
      <c r="H101" s="21"/>
      <c r="I101" s="21"/>
      <c r="J101" s="21">
        <v>170</v>
      </c>
      <c r="K101" s="24"/>
      <c r="L101" s="29"/>
      <c r="M101" s="69">
        <f>AVERAGE(G101:L101)</f>
        <v>160</v>
      </c>
      <c r="N101" s="70">
        <v>46039</v>
      </c>
      <c r="O101" s="21">
        <v>2</v>
      </c>
      <c r="P101" s="21">
        <v>0</v>
      </c>
      <c r="Q101" s="21">
        <v>255</v>
      </c>
      <c r="R101" s="21"/>
      <c r="S101" s="21"/>
      <c r="T101" s="21">
        <v>437</v>
      </c>
      <c r="U101" s="21"/>
      <c r="V101" s="21"/>
      <c r="W101" s="22">
        <f>AVERAGE(Q101:V101)</f>
        <v>346</v>
      </c>
    </row>
    <row r="102" spans="1:23" ht="15.75" x14ac:dyDescent="0.25">
      <c r="A102" s="6">
        <v>2</v>
      </c>
      <c r="B102" s="21" t="s">
        <v>175</v>
      </c>
      <c r="C102" s="13">
        <v>46039</v>
      </c>
      <c r="D102" s="20">
        <v>46118</v>
      </c>
      <c r="E102" s="21">
        <v>3</v>
      </c>
      <c r="F102" s="21">
        <v>0</v>
      </c>
      <c r="G102" s="21"/>
      <c r="H102" s="21"/>
      <c r="I102" s="21"/>
      <c r="J102" s="21">
        <v>115</v>
      </c>
      <c r="K102" s="24">
        <v>117</v>
      </c>
      <c r="L102" s="29">
        <v>125</v>
      </c>
      <c r="M102" s="69"/>
      <c r="N102" s="26">
        <v>46139</v>
      </c>
      <c r="O102" s="21">
        <v>3</v>
      </c>
      <c r="P102" s="21">
        <v>0</v>
      </c>
      <c r="Q102" s="21"/>
      <c r="R102" s="21"/>
      <c r="S102" s="21"/>
      <c r="T102" s="21">
        <v>275</v>
      </c>
      <c r="U102" s="21">
        <v>225</v>
      </c>
      <c r="V102" s="21">
        <v>274</v>
      </c>
      <c r="W102" s="22">
        <f>AVERAGE(Q102:V102)</f>
        <v>258</v>
      </c>
    </row>
    <row r="103" spans="1:23" ht="15.75" x14ac:dyDescent="0.25">
      <c r="A103" s="6">
        <v>3</v>
      </c>
      <c r="B103" s="8" t="s">
        <v>181</v>
      </c>
      <c r="C103" s="13">
        <v>46148</v>
      </c>
      <c r="D103" s="21"/>
      <c r="E103" s="21"/>
      <c r="F103" s="21"/>
      <c r="G103" s="21"/>
      <c r="H103" s="21"/>
      <c r="I103" s="21"/>
      <c r="J103" s="21"/>
      <c r="K103" s="21"/>
      <c r="L103" s="44"/>
      <c r="M103" s="44"/>
      <c r="N103" s="21"/>
      <c r="O103" s="21"/>
      <c r="P103" s="21"/>
      <c r="Q103" s="21"/>
      <c r="R103" s="21"/>
      <c r="S103" s="21"/>
      <c r="T103" s="21"/>
      <c r="U103" s="21"/>
      <c r="V103" s="21"/>
      <c r="W103" s="22"/>
    </row>
    <row r="104" spans="1:23" ht="15.75" x14ac:dyDescent="0.25">
      <c r="A104" s="5">
        <v>4</v>
      </c>
      <c r="B104" s="8"/>
      <c r="C104" s="8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2"/>
    </row>
    <row r="105" spans="1:23" ht="15.75" x14ac:dyDescent="0.25">
      <c r="A105" s="5">
        <v>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6.5" thickBot="1" x14ac:dyDescent="0.3">
      <c r="A106" s="7">
        <v>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8" spans="1:23" ht="15.75" thickBot="1" x14ac:dyDescent="0.3"/>
    <row r="109" spans="1:23" ht="15.75" x14ac:dyDescent="0.25">
      <c r="A109" s="100" t="s">
        <v>260</v>
      </c>
      <c r="B109" s="101"/>
      <c r="C109" s="111" t="s">
        <v>317</v>
      </c>
      <c r="D109" s="112"/>
      <c r="E109" s="111" t="s">
        <v>416</v>
      </c>
      <c r="F109" s="112"/>
      <c r="G109" s="101" t="s">
        <v>4</v>
      </c>
      <c r="H109" s="101"/>
      <c r="I109" s="102" t="s">
        <v>139</v>
      </c>
      <c r="J109" s="102"/>
      <c r="K109" s="102"/>
      <c r="L109" s="102"/>
      <c r="M109" s="102"/>
      <c r="N109" s="102"/>
      <c r="O109" s="101" t="s">
        <v>6</v>
      </c>
      <c r="P109" s="101"/>
      <c r="Q109" s="166">
        <v>45832</v>
      </c>
      <c r="R109" s="167"/>
      <c r="S109" s="167"/>
      <c r="T109" s="167"/>
      <c r="U109" s="167"/>
      <c r="V109" s="167"/>
      <c r="W109" s="168"/>
    </row>
    <row r="110" spans="1:23" ht="15.75" x14ac:dyDescent="0.25">
      <c r="A110" s="106" t="s">
        <v>7</v>
      </c>
      <c r="B110" s="107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7"/>
      <c r="R110" s="107"/>
      <c r="S110" s="107"/>
      <c r="T110" s="107"/>
      <c r="U110" s="107"/>
      <c r="V110" s="107"/>
      <c r="W110" s="110"/>
    </row>
    <row r="111" spans="1:23" x14ac:dyDescent="0.25">
      <c r="A111" s="113" t="s">
        <v>8</v>
      </c>
      <c r="B111" s="114" t="s">
        <v>9</v>
      </c>
      <c r="C111" s="114" t="s">
        <v>10</v>
      </c>
      <c r="D111" s="114" t="s">
        <v>11</v>
      </c>
      <c r="E111" s="114" t="s">
        <v>12</v>
      </c>
      <c r="F111" s="114" t="s">
        <v>13</v>
      </c>
      <c r="G111" s="114" t="s">
        <v>14</v>
      </c>
      <c r="H111" s="114"/>
      <c r="I111" s="114"/>
      <c r="J111" s="114"/>
      <c r="K111" s="114"/>
      <c r="L111" s="114"/>
      <c r="M111" s="114" t="s">
        <v>15</v>
      </c>
      <c r="N111" s="114" t="s">
        <v>16</v>
      </c>
      <c r="O111" s="114" t="s">
        <v>17</v>
      </c>
      <c r="P111" s="114" t="s">
        <v>18</v>
      </c>
      <c r="Q111" s="114" t="s">
        <v>19</v>
      </c>
      <c r="R111" s="114"/>
      <c r="S111" s="114"/>
      <c r="T111" s="114"/>
      <c r="U111" s="114"/>
      <c r="V111" s="114"/>
      <c r="W111" s="115" t="s">
        <v>20</v>
      </c>
    </row>
    <row r="112" spans="1:23" x14ac:dyDescent="0.25">
      <c r="A112" s="113"/>
      <c r="B112" s="114"/>
      <c r="C112" s="114"/>
      <c r="D112" s="114"/>
      <c r="E112" s="114"/>
      <c r="F112" s="114"/>
      <c r="G112" s="31" t="s">
        <v>21</v>
      </c>
      <c r="H112" s="31" t="s">
        <v>21</v>
      </c>
      <c r="I112" s="31" t="s">
        <v>21</v>
      </c>
      <c r="J112" s="31" t="s">
        <v>22</v>
      </c>
      <c r="K112" s="31" t="s">
        <v>22</v>
      </c>
      <c r="L112" s="32" t="s">
        <v>22</v>
      </c>
      <c r="M112" s="138"/>
      <c r="N112" s="114"/>
      <c r="O112" s="114"/>
      <c r="P112" s="114"/>
      <c r="Q112" s="31" t="s">
        <v>21</v>
      </c>
      <c r="R112" s="31" t="s">
        <v>21</v>
      </c>
      <c r="S112" s="31" t="s">
        <v>21</v>
      </c>
      <c r="T112" s="31" t="s">
        <v>22</v>
      </c>
      <c r="U112" s="31" t="s">
        <v>22</v>
      </c>
      <c r="V112" s="31" t="s">
        <v>22</v>
      </c>
      <c r="W112" s="115"/>
    </row>
    <row r="113" spans="1:23" ht="15.75" x14ac:dyDescent="0.25">
      <c r="A113" s="5">
        <v>1</v>
      </c>
      <c r="B113" s="21" t="s">
        <v>175</v>
      </c>
      <c r="C113" s="20">
        <v>45939</v>
      </c>
      <c r="D113" s="36" t="s">
        <v>428</v>
      </c>
      <c r="E113" s="21"/>
      <c r="F113" s="21"/>
      <c r="G113" s="21"/>
      <c r="H113" s="21"/>
      <c r="I113" s="21"/>
      <c r="J113" s="21"/>
      <c r="K113" s="24"/>
      <c r="L113" s="29"/>
      <c r="M113" s="57"/>
      <c r="O113" s="21"/>
      <c r="P113" s="21"/>
      <c r="Q113" s="21"/>
      <c r="R113" s="21"/>
      <c r="S113" s="21"/>
      <c r="T113" s="21"/>
      <c r="U113" s="21"/>
      <c r="V113" s="21"/>
      <c r="W113" s="22"/>
    </row>
    <row r="114" spans="1:23" ht="15.75" x14ac:dyDescent="0.25">
      <c r="A114" s="6">
        <v>2</v>
      </c>
      <c r="B114" s="21" t="s">
        <v>175</v>
      </c>
      <c r="C114" s="13">
        <v>46039</v>
      </c>
      <c r="D114" s="13">
        <v>46118</v>
      </c>
      <c r="E114" s="21">
        <v>3</v>
      </c>
      <c r="F114" s="21">
        <v>0</v>
      </c>
      <c r="G114" s="21"/>
      <c r="H114" s="21"/>
      <c r="I114" s="21"/>
      <c r="J114" s="21">
        <v>130</v>
      </c>
      <c r="K114" s="24">
        <v>122</v>
      </c>
      <c r="L114" s="29">
        <v>118</v>
      </c>
      <c r="M114" s="92">
        <f>AVERAGE(G114:L114)</f>
        <v>123.33333333333333</v>
      </c>
      <c r="N114" s="26">
        <v>46139</v>
      </c>
      <c r="O114" s="21">
        <v>3</v>
      </c>
      <c r="P114" s="21">
        <v>0</v>
      </c>
      <c r="Q114" s="21"/>
      <c r="R114" s="21"/>
      <c r="S114" s="21"/>
      <c r="T114" s="21">
        <v>167</v>
      </c>
      <c r="U114" s="21">
        <v>154</v>
      </c>
      <c r="V114" s="21">
        <v>182</v>
      </c>
      <c r="W114" s="68">
        <f>AVERAGE(Q114:V114)</f>
        <v>167.66666666666666</v>
      </c>
    </row>
    <row r="115" spans="1:23" ht="15.75" x14ac:dyDescent="0.25">
      <c r="A115" s="6">
        <v>3</v>
      </c>
      <c r="B115" s="8" t="s">
        <v>181</v>
      </c>
      <c r="C115" s="13">
        <v>46148</v>
      </c>
      <c r="D115" s="8"/>
      <c r="E115" s="21"/>
      <c r="F115" s="21"/>
      <c r="G115" s="21"/>
      <c r="H115" s="21"/>
      <c r="I115" s="21"/>
      <c r="J115" s="21"/>
      <c r="K115" s="21"/>
      <c r="L115" s="44"/>
      <c r="M115" s="44"/>
      <c r="N115" s="21"/>
      <c r="O115" s="21"/>
      <c r="P115" s="21"/>
      <c r="Q115" s="21"/>
      <c r="R115" s="21"/>
      <c r="S115" s="21"/>
      <c r="T115" s="21"/>
      <c r="U115" s="21"/>
      <c r="V115" s="21"/>
      <c r="W115" s="22"/>
    </row>
    <row r="116" spans="1:23" ht="15.75" x14ac:dyDescent="0.25">
      <c r="A116" s="5">
        <v>4</v>
      </c>
      <c r="B116" s="8"/>
      <c r="C116" s="8"/>
      <c r="D116" s="8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2"/>
    </row>
    <row r="117" spans="1:23" ht="15.75" x14ac:dyDescent="0.25">
      <c r="A117" s="5">
        <v>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6.5" thickBot="1" x14ac:dyDescent="0.3">
      <c r="A118" s="7">
        <v>6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20" spans="1:23" ht="15.75" thickBot="1" x14ac:dyDescent="0.3"/>
    <row r="121" spans="1:23" ht="15.75" x14ac:dyDescent="0.25">
      <c r="A121" s="100" t="s">
        <v>260</v>
      </c>
      <c r="B121" s="101"/>
      <c r="C121" s="111" t="s">
        <v>318</v>
      </c>
      <c r="D121" s="112"/>
      <c r="E121" s="111" t="s">
        <v>417</v>
      </c>
      <c r="F121" s="112"/>
      <c r="G121" s="101" t="s">
        <v>4</v>
      </c>
      <c r="H121" s="101"/>
      <c r="I121" s="102" t="s">
        <v>139</v>
      </c>
      <c r="J121" s="102"/>
      <c r="K121" s="102"/>
      <c r="L121" s="102"/>
      <c r="M121" s="102"/>
      <c r="N121" s="102"/>
      <c r="O121" s="101" t="s">
        <v>6</v>
      </c>
      <c r="P121" s="101"/>
      <c r="Q121" s="166">
        <v>45815</v>
      </c>
      <c r="R121" s="167"/>
      <c r="S121" s="167"/>
      <c r="T121" s="167"/>
      <c r="U121" s="167"/>
      <c r="V121" s="167"/>
      <c r="W121" s="168"/>
    </row>
    <row r="122" spans="1:23" ht="15.75" x14ac:dyDescent="0.25">
      <c r="A122" s="106" t="s">
        <v>7</v>
      </c>
      <c r="B122" s="107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7"/>
      <c r="R122" s="107"/>
      <c r="S122" s="107"/>
      <c r="T122" s="107"/>
      <c r="U122" s="107"/>
      <c r="V122" s="107"/>
      <c r="W122" s="110"/>
    </row>
    <row r="123" spans="1:23" x14ac:dyDescent="0.25">
      <c r="A123" s="113" t="s">
        <v>8</v>
      </c>
      <c r="B123" s="114" t="s">
        <v>9</v>
      </c>
      <c r="C123" s="114" t="s">
        <v>10</v>
      </c>
      <c r="D123" s="114" t="s">
        <v>11</v>
      </c>
      <c r="E123" s="114" t="s">
        <v>12</v>
      </c>
      <c r="F123" s="114" t="s">
        <v>13</v>
      </c>
      <c r="G123" s="114" t="s">
        <v>14</v>
      </c>
      <c r="H123" s="114"/>
      <c r="I123" s="114"/>
      <c r="J123" s="114"/>
      <c r="K123" s="114"/>
      <c r="L123" s="114"/>
      <c r="M123" s="114" t="s">
        <v>15</v>
      </c>
      <c r="N123" s="114" t="s">
        <v>16</v>
      </c>
      <c r="O123" s="114" t="s">
        <v>17</v>
      </c>
      <c r="P123" s="114" t="s">
        <v>18</v>
      </c>
      <c r="Q123" s="114" t="s">
        <v>19</v>
      </c>
      <c r="R123" s="114"/>
      <c r="S123" s="114"/>
      <c r="T123" s="114"/>
      <c r="U123" s="114"/>
      <c r="V123" s="114"/>
      <c r="W123" s="115" t="s">
        <v>20</v>
      </c>
    </row>
    <row r="124" spans="1:23" x14ac:dyDescent="0.25">
      <c r="A124" s="113"/>
      <c r="B124" s="114"/>
      <c r="C124" s="114"/>
      <c r="D124" s="114"/>
      <c r="E124" s="114"/>
      <c r="F124" s="114"/>
      <c r="G124" s="31" t="s">
        <v>21</v>
      </c>
      <c r="H124" s="31" t="s">
        <v>21</v>
      </c>
      <c r="I124" s="31" t="s">
        <v>21</v>
      </c>
      <c r="J124" s="31" t="s">
        <v>22</v>
      </c>
      <c r="K124" s="31" t="s">
        <v>22</v>
      </c>
      <c r="L124" s="32" t="s">
        <v>22</v>
      </c>
      <c r="M124" s="138"/>
      <c r="N124" s="114"/>
      <c r="O124" s="114"/>
      <c r="P124" s="114"/>
      <c r="Q124" s="31" t="s">
        <v>21</v>
      </c>
      <c r="R124" s="31" t="s">
        <v>21</v>
      </c>
      <c r="S124" s="31" t="s">
        <v>21</v>
      </c>
      <c r="T124" s="31" t="s">
        <v>22</v>
      </c>
      <c r="U124" s="31" t="s">
        <v>22</v>
      </c>
      <c r="V124" s="31" t="s">
        <v>22</v>
      </c>
      <c r="W124" s="115"/>
    </row>
    <row r="125" spans="1:23" ht="15.75" x14ac:dyDescent="0.25">
      <c r="A125" s="5">
        <v>1</v>
      </c>
      <c r="B125" s="21" t="s">
        <v>243</v>
      </c>
      <c r="C125" s="20">
        <v>45917</v>
      </c>
      <c r="D125" s="36">
        <v>45990</v>
      </c>
      <c r="E125" s="21">
        <v>1</v>
      </c>
      <c r="F125" s="21">
        <v>0</v>
      </c>
      <c r="G125" s="21">
        <v>185</v>
      </c>
      <c r="H125" s="21"/>
      <c r="I125" s="21"/>
      <c r="J125" s="21"/>
      <c r="K125" s="24"/>
      <c r="L125" s="58"/>
      <c r="M125" s="31">
        <v>185</v>
      </c>
      <c r="N125" s="70">
        <v>45663</v>
      </c>
      <c r="O125" s="21">
        <v>1</v>
      </c>
      <c r="P125" s="21">
        <v>0</v>
      </c>
      <c r="Q125" s="21">
        <v>371</v>
      </c>
      <c r="R125" s="21"/>
      <c r="S125" s="21"/>
      <c r="T125" s="21"/>
      <c r="U125" s="21"/>
      <c r="V125" s="21"/>
      <c r="W125" s="22">
        <v>371</v>
      </c>
    </row>
    <row r="126" spans="1:23" ht="15.75" x14ac:dyDescent="0.25">
      <c r="A126" s="6">
        <v>2</v>
      </c>
      <c r="B126" s="21" t="s">
        <v>243</v>
      </c>
      <c r="C126" s="13">
        <v>46039</v>
      </c>
      <c r="D126" s="13">
        <v>46130</v>
      </c>
      <c r="E126" s="8">
        <v>2</v>
      </c>
      <c r="F126" s="8">
        <v>0</v>
      </c>
      <c r="G126" s="8">
        <v>125</v>
      </c>
      <c r="H126" s="8"/>
      <c r="I126" s="8"/>
      <c r="J126" s="8">
        <v>123</v>
      </c>
      <c r="K126" s="25"/>
      <c r="L126" s="71"/>
      <c r="M126" s="31">
        <f>AVERAGE(G126:L126)</f>
        <v>124</v>
      </c>
      <c r="N126" s="26">
        <v>46176</v>
      </c>
      <c r="O126" s="8">
        <v>1</v>
      </c>
      <c r="P126" s="8">
        <v>0</v>
      </c>
      <c r="Q126" s="8">
        <v>260</v>
      </c>
      <c r="R126" s="8"/>
      <c r="S126" s="8"/>
      <c r="T126" s="8"/>
      <c r="U126" s="8"/>
      <c r="V126" s="8"/>
      <c r="W126" s="9">
        <v>260</v>
      </c>
    </row>
    <row r="127" spans="1:23" ht="15.75" x14ac:dyDescent="0.25">
      <c r="A127" s="6">
        <v>3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27"/>
      <c r="M127" s="27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spans="1:23" ht="15.75" x14ac:dyDescent="0.25">
      <c r="A128" s="5">
        <v>4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spans="1:23" ht="15.75" x14ac:dyDescent="0.25">
      <c r="A129" s="5">
        <v>5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</row>
    <row r="130" spans="1:23" ht="16.5" thickBot="1" x14ac:dyDescent="0.3">
      <c r="A130" s="7">
        <v>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2" spans="1:23" ht="15.75" thickBot="1" x14ac:dyDescent="0.3"/>
    <row r="133" spans="1:23" ht="15.75" x14ac:dyDescent="0.25">
      <c r="A133" s="100" t="s">
        <v>260</v>
      </c>
      <c r="B133" s="101"/>
      <c r="C133" s="111" t="s">
        <v>319</v>
      </c>
      <c r="D133" s="112"/>
      <c r="E133" s="111" t="s">
        <v>417</v>
      </c>
      <c r="F133" s="112"/>
      <c r="G133" s="101" t="s">
        <v>4</v>
      </c>
      <c r="H133" s="101"/>
      <c r="I133" s="102" t="s">
        <v>139</v>
      </c>
      <c r="J133" s="102"/>
      <c r="K133" s="102"/>
      <c r="L133" s="102"/>
      <c r="M133" s="102"/>
      <c r="N133" s="102"/>
      <c r="O133" s="101" t="s">
        <v>6</v>
      </c>
      <c r="P133" s="101"/>
      <c r="Q133" s="166">
        <v>45805</v>
      </c>
      <c r="R133" s="167"/>
      <c r="S133" s="167"/>
      <c r="T133" s="167"/>
      <c r="U133" s="167"/>
      <c r="V133" s="167"/>
      <c r="W133" s="168"/>
    </row>
    <row r="134" spans="1:23" ht="15.75" x14ac:dyDescent="0.25">
      <c r="A134" s="106" t="s">
        <v>7</v>
      </c>
      <c r="B134" s="107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7"/>
      <c r="R134" s="107"/>
      <c r="S134" s="107"/>
      <c r="T134" s="107"/>
      <c r="U134" s="107"/>
      <c r="V134" s="107"/>
      <c r="W134" s="110"/>
    </row>
    <row r="135" spans="1:23" x14ac:dyDescent="0.25">
      <c r="A135" s="113" t="s">
        <v>8</v>
      </c>
      <c r="B135" s="114" t="s">
        <v>9</v>
      </c>
      <c r="C135" s="114" t="s">
        <v>10</v>
      </c>
      <c r="D135" s="114" t="s">
        <v>11</v>
      </c>
      <c r="E135" s="114" t="s">
        <v>12</v>
      </c>
      <c r="F135" s="114" t="s">
        <v>13</v>
      </c>
      <c r="G135" s="114" t="s">
        <v>14</v>
      </c>
      <c r="H135" s="114"/>
      <c r="I135" s="114"/>
      <c r="J135" s="114"/>
      <c r="K135" s="114"/>
      <c r="L135" s="114"/>
      <c r="M135" s="114" t="s">
        <v>15</v>
      </c>
      <c r="N135" s="114" t="s">
        <v>16</v>
      </c>
      <c r="O135" s="114" t="s">
        <v>17</v>
      </c>
      <c r="P135" s="114" t="s">
        <v>18</v>
      </c>
      <c r="Q135" s="114" t="s">
        <v>19</v>
      </c>
      <c r="R135" s="114"/>
      <c r="S135" s="114"/>
      <c r="T135" s="114"/>
      <c r="U135" s="114"/>
      <c r="V135" s="114"/>
      <c r="W135" s="115" t="s">
        <v>20</v>
      </c>
    </row>
    <row r="136" spans="1:23" x14ac:dyDescent="0.25">
      <c r="A136" s="113"/>
      <c r="B136" s="114"/>
      <c r="C136" s="114"/>
      <c r="D136" s="114"/>
      <c r="E136" s="114"/>
      <c r="F136" s="114"/>
      <c r="G136" s="31" t="s">
        <v>21</v>
      </c>
      <c r="H136" s="31" t="s">
        <v>21</v>
      </c>
      <c r="I136" s="31" t="s">
        <v>21</v>
      </c>
      <c r="J136" s="31" t="s">
        <v>22</v>
      </c>
      <c r="K136" s="31" t="s">
        <v>22</v>
      </c>
      <c r="L136" s="32" t="s">
        <v>22</v>
      </c>
      <c r="M136" s="138"/>
      <c r="N136" s="114"/>
      <c r="O136" s="114"/>
      <c r="P136" s="114"/>
      <c r="Q136" s="31" t="s">
        <v>21</v>
      </c>
      <c r="R136" s="31" t="s">
        <v>21</v>
      </c>
      <c r="S136" s="31" t="s">
        <v>21</v>
      </c>
      <c r="T136" s="31" t="s">
        <v>22</v>
      </c>
      <c r="U136" s="31" t="s">
        <v>22</v>
      </c>
      <c r="V136" s="31" t="s">
        <v>22</v>
      </c>
      <c r="W136" s="115"/>
    </row>
    <row r="137" spans="1:23" ht="15.75" x14ac:dyDescent="0.25">
      <c r="A137" s="5">
        <v>1</v>
      </c>
      <c r="B137" s="21" t="s">
        <v>243</v>
      </c>
      <c r="C137" s="20">
        <v>45917</v>
      </c>
      <c r="D137" s="36">
        <v>45991</v>
      </c>
      <c r="E137" s="21">
        <v>2</v>
      </c>
      <c r="F137" s="21">
        <v>0</v>
      </c>
      <c r="G137" s="21">
        <v>160</v>
      </c>
      <c r="H137" s="21">
        <v>159</v>
      </c>
      <c r="I137" s="21"/>
      <c r="J137" s="21"/>
      <c r="K137" s="24"/>
      <c r="L137" s="29"/>
      <c r="M137" s="69">
        <f>AVERAGE(G137:L137)</f>
        <v>159.5</v>
      </c>
      <c r="N137" s="70">
        <v>45663</v>
      </c>
      <c r="O137" s="21">
        <v>2</v>
      </c>
      <c r="P137" s="21">
        <v>0</v>
      </c>
      <c r="Q137" s="21">
        <v>159</v>
      </c>
      <c r="R137" s="21">
        <v>160</v>
      </c>
      <c r="S137" s="21"/>
      <c r="T137" s="21"/>
      <c r="U137" s="21"/>
      <c r="V137" s="21"/>
      <c r="W137" s="22">
        <f>AVERAGE(Q137:V137)</f>
        <v>159.5</v>
      </c>
    </row>
    <row r="138" spans="1:23" ht="15.75" x14ac:dyDescent="0.25">
      <c r="A138" s="6">
        <v>2</v>
      </c>
      <c r="B138" s="21" t="s">
        <v>243</v>
      </c>
      <c r="C138" s="13">
        <v>46039</v>
      </c>
      <c r="D138" s="13">
        <v>46124</v>
      </c>
      <c r="E138" s="21">
        <v>2</v>
      </c>
      <c r="F138" s="21">
        <v>0</v>
      </c>
      <c r="G138" s="21">
        <v>109</v>
      </c>
      <c r="H138" s="21"/>
      <c r="I138" s="21"/>
      <c r="J138" s="21">
        <v>118</v>
      </c>
      <c r="K138" s="24"/>
      <c r="L138" s="29"/>
      <c r="M138" s="69">
        <f>AVERAGE(G138:L138)</f>
        <v>113.5</v>
      </c>
      <c r="N138" s="26">
        <v>46139</v>
      </c>
      <c r="O138" s="21">
        <v>2</v>
      </c>
      <c r="P138" s="21">
        <v>0</v>
      </c>
      <c r="Q138" s="21">
        <v>298</v>
      </c>
      <c r="R138" s="21"/>
      <c r="S138" s="21"/>
      <c r="T138" s="21">
        <v>270</v>
      </c>
      <c r="U138" s="21"/>
      <c r="V138" s="21"/>
      <c r="W138" s="22">
        <f>AVERAGE(Q138:V138)</f>
        <v>284</v>
      </c>
    </row>
    <row r="139" spans="1:23" ht="15.75" x14ac:dyDescent="0.25">
      <c r="A139" s="6">
        <v>3</v>
      </c>
      <c r="B139" s="8"/>
      <c r="C139" s="8"/>
      <c r="D139" s="8"/>
      <c r="E139" s="21"/>
      <c r="F139" s="21"/>
      <c r="G139" s="21"/>
      <c r="H139" s="21"/>
      <c r="I139" s="21"/>
      <c r="J139" s="21"/>
      <c r="K139" s="21"/>
      <c r="L139" s="44"/>
      <c r="M139" s="44"/>
      <c r="N139" s="21"/>
      <c r="O139" s="21"/>
      <c r="P139" s="21"/>
      <c r="Q139" s="21"/>
      <c r="R139" s="21"/>
      <c r="S139" s="21"/>
      <c r="T139" s="21"/>
      <c r="U139" s="21"/>
      <c r="V139" s="21"/>
      <c r="W139" s="22"/>
    </row>
    <row r="140" spans="1:23" ht="15.75" x14ac:dyDescent="0.25">
      <c r="A140" s="5">
        <v>4</v>
      </c>
      <c r="B140" s="8"/>
      <c r="C140" s="8"/>
      <c r="D140" s="8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2"/>
    </row>
    <row r="141" spans="1:23" ht="15.75" x14ac:dyDescent="0.25">
      <c r="A141" s="5">
        <v>5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spans="1:23" ht="16.5" thickBot="1" x14ac:dyDescent="0.3">
      <c r="A142" s="7">
        <v>6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4" spans="1:23" ht="15.75" thickBot="1" x14ac:dyDescent="0.3"/>
    <row r="145" spans="1:23" ht="15.75" x14ac:dyDescent="0.25">
      <c r="A145" s="100" t="s">
        <v>260</v>
      </c>
      <c r="B145" s="101"/>
      <c r="C145" s="111" t="s">
        <v>320</v>
      </c>
      <c r="D145" s="112"/>
      <c r="E145" s="111" t="s">
        <v>417</v>
      </c>
      <c r="F145" s="112"/>
      <c r="G145" s="101" t="s">
        <v>4</v>
      </c>
      <c r="H145" s="101"/>
      <c r="I145" s="102" t="s">
        <v>139</v>
      </c>
      <c r="J145" s="102"/>
      <c r="K145" s="102"/>
      <c r="L145" s="102"/>
      <c r="M145" s="102"/>
      <c r="N145" s="102"/>
      <c r="O145" s="101" t="s">
        <v>6</v>
      </c>
      <c r="P145" s="101"/>
      <c r="Q145" s="166">
        <v>45810</v>
      </c>
      <c r="R145" s="167"/>
      <c r="S145" s="167"/>
      <c r="T145" s="167"/>
      <c r="U145" s="167"/>
      <c r="V145" s="167"/>
      <c r="W145" s="168"/>
    </row>
    <row r="146" spans="1:23" ht="15.75" x14ac:dyDescent="0.25">
      <c r="A146" s="106" t="s">
        <v>7</v>
      </c>
      <c r="B146" s="107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7"/>
      <c r="R146" s="107"/>
      <c r="S146" s="107"/>
      <c r="T146" s="107"/>
      <c r="U146" s="107"/>
      <c r="V146" s="107"/>
      <c r="W146" s="110"/>
    </row>
    <row r="147" spans="1:23" x14ac:dyDescent="0.25">
      <c r="A147" s="113" t="s">
        <v>8</v>
      </c>
      <c r="B147" s="114" t="s">
        <v>9</v>
      </c>
      <c r="C147" s="114" t="s">
        <v>10</v>
      </c>
      <c r="D147" s="114" t="s">
        <v>11</v>
      </c>
      <c r="E147" s="114" t="s">
        <v>12</v>
      </c>
      <c r="F147" s="114" t="s">
        <v>13</v>
      </c>
      <c r="G147" s="114" t="s">
        <v>14</v>
      </c>
      <c r="H147" s="114"/>
      <c r="I147" s="114"/>
      <c r="J147" s="114"/>
      <c r="K147" s="114"/>
      <c r="L147" s="114"/>
      <c r="M147" s="114" t="s">
        <v>15</v>
      </c>
      <c r="N147" s="114" t="s">
        <v>16</v>
      </c>
      <c r="O147" s="114" t="s">
        <v>17</v>
      </c>
      <c r="P147" s="114" t="s">
        <v>18</v>
      </c>
      <c r="Q147" s="114" t="s">
        <v>19</v>
      </c>
      <c r="R147" s="114"/>
      <c r="S147" s="114"/>
      <c r="T147" s="114"/>
      <c r="U147" s="114"/>
      <c r="V147" s="114"/>
      <c r="W147" s="115" t="s">
        <v>20</v>
      </c>
    </row>
    <row r="148" spans="1:23" x14ac:dyDescent="0.25">
      <c r="A148" s="113"/>
      <c r="B148" s="114"/>
      <c r="C148" s="114"/>
      <c r="D148" s="114"/>
      <c r="E148" s="114"/>
      <c r="F148" s="114"/>
      <c r="G148" s="31" t="s">
        <v>21</v>
      </c>
      <c r="H148" s="31" t="s">
        <v>21</v>
      </c>
      <c r="I148" s="31" t="s">
        <v>21</v>
      </c>
      <c r="J148" s="31" t="s">
        <v>22</v>
      </c>
      <c r="K148" s="31" t="s">
        <v>22</v>
      </c>
      <c r="L148" s="32" t="s">
        <v>22</v>
      </c>
      <c r="M148" s="138"/>
      <c r="N148" s="114"/>
      <c r="O148" s="114"/>
      <c r="P148" s="114"/>
      <c r="Q148" s="31" t="s">
        <v>21</v>
      </c>
      <c r="R148" s="31" t="s">
        <v>21</v>
      </c>
      <c r="S148" s="31" t="s">
        <v>21</v>
      </c>
      <c r="T148" s="31" t="s">
        <v>22</v>
      </c>
      <c r="U148" s="31" t="s">
        <v>22</v>
      </c>
      <c r="V148" s="31" t="s">
        <v>22</v>
      </c>
      <c r="W148" s="115"/>
    </row>
    <row r="149" spans="1:23" ht="15.75" x14ac:dyDescent="0.25">
      <c r="A149" s="5">
        <v>1</v>
      </c>
      <c r="B149" s="21" t="s">
        <v>243</v>
      </c>
      <c r="C149" s="20">
        <v>45917</v>
      </c>
      <c r="D149" s="36" t="s">
        <v>428</v>
      </c>
      <c r="E149" s="21"/>
      <c r="F149" s="21"/>
      <c r="G149" s="21"/>
      <c r="H149" s="21"/>
      <c r="I149" s="21"/>
      <c r="J149" s="21"/>
      <c r="K149" s="24"/>
      <c r="L149" s="29"/>
      <c r="M149" s="57"/>
      <c r="O149" s="21"/>
      <c r="P149" s="21"/>
      <c r="Q149" s="21"/>
      <c r="R149" s="21"/>
      <c r="S149" s="21"/>
      <c r="T149" s="21"/>
      <c r="U149" s="21"/>
      <c r="V149" s="21"/>
      <c r="W149" s="22"/>
    </row>
    <row r="150" spans="1:23" ht="15.75" x14ac:dyDescent="0.25">
      <c r="A150" s="6">
        <v>2</v>
      </c>
      <c r="B150" s="21" t="s">
        <v>243</v>
      </c>
      <c r="C150" s="13">
        <v>46039</v>
      </c>
      <c r="D150" s="8" t="s">
        <v>428</v>
      </c>
      <c r="E150" s="8"/>
      <c r="F150" s="8"/>
      <c r="G150" s="8"/>
      <c r="H150" s="8"/>
      <c r="I150" s="8"/>
      <c r="J150" s="8"/>
      <c r="K150" s="25"/>
      <c r="L150" s="30"/>
      <c r="M150" s="57"/>
      <c r="N150" s="26"/>
      <c r="O150" s="8"/>
      <c r="P150" s="8"/>
      <c r="Q150" s="8"/>
      <c r="R150" s="8"/>
      <c r="S150" s="8"/>
      <c r="T150" s="8"/>
      <c r="U150" s="8"/>
      <c r="V150" s="8"/>
      <c r="W150" s="9"/>
    </row>
    <row r="151" spans="1:23" ht="15.75" x14ac:dyDescent="0.25">
      <c r="A151" s="6">
        <v>3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27"/>
      <c r="M151" s="27"/>
      <c r="N151" s="8"/>
      <c r="O151" s="8"/>
      <c r="P151" s="8"/>
      <c r="Q151" s="8"/>
      <c r="R151" s="8"/>
      <c r="S151" s="8"/>
      <c r="T151" s="8"/>
      <c r="U151" s="8"/>
      <c r="V151" s="8"/>
      <c r="W151" s="9"/>
    </row>
    <row r="152" spans="1:23" ht="15.75" x14ac:dyDescent="0.25">
      <c r="A152" s="5">
        <v>4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/>
    </row>
    <row r="153" spans="1:23" ht="15.75" x14ac:dyDescent="0.25">
      <c r="A153" s="5">
        <v>5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</row>
    <row r="154" spans="1:23" ht="16.5" thickBot="1" x14ac:dyDescent="0.3">
      <c r="A154" s="7">
        <v>6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6" spans="1:23" ht="15.75" thickBot="1" x14ac:dyDescent="0.3"/>
    <row r="157" spans="1:23" ht="15.75" x14ac:dyDescent="0.25">
      <c r="A157" s="100" t="s">
        <v>260</v>
      </c>
      <c r="B157" s="101"/>
      <c r="C157" s="111" t="s">
        <v>321</v>
      </c>
      <c r="D157" s="112"/>
      <c r="E157" s="111" t="s">
        <v>417</v>
      </c>
      <c r="F157" s="112"/>
      <c r="G157" s="101" t="s">
        <v>4</v>
      </c>
      <c r="H157" s="101"/>
      <c r="I157" s="102" t="s">
        <v>139</v>
      </c>
      <c r="J157" s="102"/>
      <c r="K157" s="102"/>
      <c r="L157" s="102"/>
      <c r="M157" s="102"/>
      <c r="N157" s="102"/>
      <c r="O157" s="101" t="s">
        <v>6</v>
      </c>
      <c r="P157" s="101"/>
      <c r="Q157" s="177">
        <v>45814</v>
      </c>
      <c r="R157" s="104"/>
      <c r="S157" s="104"/>
      <c r="T157" s="104"/>
      <c r="U157" s="104"/>
      <c r="V157" s="104"/>
      <c r="W157" s="105"/>
    </row>
    <row r="158" spans="1:23" ht="15.75" x14ac:dyDescent="0.25">
      <c r="A158" s="106" t="s">
        <v>7</v>
      </c>
      <c r="B158" s="107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7"/>
      <c r="R158" s="107"/>
      <c r="S158" s="107"/>
      <c r="T158" s="107"/>
      <c r="U158" s="107"/>
      <c r="V158" s="107"/>
      <c r="W158" s="110"/>
    </row>
    <row r="159" spans="1:23" x14ac:dyDescent="0.25">
      <c r="A159" s="113" t="s">
        <v>8</v>
      </c>
      <c r="B159" s="114" t="s">
        <v>9</v>
      </c>
      <c r="C159" s="114" t="s">
        <v>10</v>
      </c>
      <c r="D159" s="114" t="s">
        <v>11</v>
      </c>
      <c r="E159" s="114" t="s">
        <v>12</v>
      </c>
      <c r="F159" s="114" t="s">
        <v>13</v>
      </c>
      <c r="G159" s="114" t="s">
        <v>14</v>
      </c>
      <c r="H159" s="114"/>
      <c r="I159" s="114"/>
      <c r="J159" s="114"/>
      <c r="K159" s="114"/>
      <c r="L159" s="114"/>
      <c r="M159" s="114" t="s">
        <v>15</v>
      </c>
      <c r="N159" s="114" t="s">
        <v>16</v>
      </c>
      <c r="O159" s="114" t="s">
        <v>17</v>
      </c>
      <c r="P159" s="114" t="s">
        <v>18</v>
      </c>
      <c r="Q159" s="114" t="s">
        <v>19</v>
      </c>
      <c r="R159" s="114"/>
      <c r="S159" s="114"/>
      <c r="T159" s="114"/>
      <c r="U159" s="114"/>
      <c r="V159" s="114"/>
      <c r="W159" s="115" t="s">
        <v>20</v>
      </c>
    </row>
    <row r="160" spans="1:23" x14ac:dyDescent="0.25">
      <c r="A160" s="113"/>
      <c r="B160" s="114"/>
      <c r="C160" s="114"/>
      <c r="D160" s="114"/>
      <c r="E160" s="114"/>
      <c r="F160" s="114"/>
      <c r="G160" s="31" t="s">
        <v>21</v>
      </c>
      <c r="H160" s="31" t="s">
        <v>21</v>
      </c>
      <c r="I160" s="31" t="s">
        <v>21</v>
      </c>
      <c r="J160" s="31" t="s">
        <v>22</v>
      </c>
      <c r="K160" s="31" t="s">
        <v>22</v>
      </c>
      <c r="L160" s="32" t="s">
        <v>22</v>
      </c>
      <c r="M160" s="138"/>
      <c r="N160" s="114"/>
      <c r="O160" s="114"/>
      <c r="P160" s="114"/>
      <c r="Q160" s="31" t="s">
        <v>21</v>
      </c>
      <c r="R160" s="31" t="s">
        <v>21</v>
      </c>
      <c r="S160" s="31" t="s">
        <v>21</v>
      </c>
      <c r="T160" s="31" t="s">
        <v>22</v>
      </c>
      <c r="U160" s="31" t="s">
        <v>22</v>
      </c>
      <c r="V160" s="31" t="s">
        <v>22</v>
      </c>
      <c r="W160" s="115"/>
    </row>
    <row r="161" spans="1:23" ht="15.75" x14ac:dyDescent="0.25">
      <c r="A161" s="5">
        <v>1</v>
      </c>
      <c r="B161" s="21" t="s">
        <v>243</v>
      </c>
      <c r="C161" s="20">
        <v>45917</v>
      </c>
      <c r="D161" s="36" t="s">
        <v>428</v>
      </c>
      <c r="E161" s="21"/>
      <c r="F161" s="21"/>
      <c r="G161" s="21"/>
      <c r="H161" s="21"/>
      <c r="I161" s="21"/>
      <c r="J161" s="21"/>
      <c r="K161" s="24"/>
      <c r="L161" s="29"/>
      <c r="M161" s="165"/>
      <c r="O161" s="21"/>
      <c r="P161" s="21"/>
      <c r="Q161" s="21"/>
      <c r="R161" s="21"/>
      <c r="S161" s="21"/>
      <c r="T161" s="21"/>
      <c r="U161" s="21"/>
      <c r="V161" s="21"/>
      <c r="W161" s="22"/>
    </row>
    <row r="162" spans="1:23" ht="15.75" x14ac:dyDescent="0.25">
      <c r="A162" s="6">
        <v>2</v>
      </c>
      <c r="B162" s="21" t="s">
        <v>243</v>
      </c>
      <c r="C162" s="13">
        <v>46039</v>
      </c>
      <c r="D162" s="8" t="s">
        <v>428</v>
      </c>
      <c r="E162" s="8"/>
      <c r="F162" s="8"/>
      <c r="G162" s="8"/>
      <c r="H162" s="8"/>
      <c r="I162" s="8"/>
      <c r="J162" s="8"/>
      <c r="K162" s="25"/>
      <c r="L162" s="30"/>
      <c r="M162" s="165"/>
      <c r="N162" s="26"/>
      <c r="O162" s="8"/>
      <c r="P162" s="8"/>
      <c r="Q162" s="8"/>
      <c r="R162" s="8"/>
      <c r="S162" s="8"/>
      <c r="T162" s="8"/>
      <c r="U162" s="8"/>
      <c r="V162" s="8"/>
      <c r="W162" s="9"/>
    </row>
    <row r="163" spans="1:23" ht="15.75" x14ac:dyDescent="0.25">
      <c r="A163" s="6">
        <v>3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27"/>
      <c r="M163" s="27"/>
      <c r="N163" s="8"/>
      <c r="O163" s="8"/>
      <c r="P163" s="8"/>
      <c r="Q163" s="8"/>
      <c r="R163" s="8"/>
      <c r="S163" s="8"/>
      <c r="T163" s="8"/>
      <c r="U163" s="8"/>
      <c r="V163" s="8"/>
      <c r="W163" s="9"/>
    </row>
    <row r="164" spans="1:23" ht="15.75" x14ac:dyDescent="0.25">
      <c r="A164" s="5">
        <v>4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</row>
    <row r="165" spans="1:23" ht="15.75" x14ac:dyDescent="0.25">
      <c r="A165" s="5">
        <v>5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spans="1:23" ht="16.5" thickBot="1" x14ac:dyDescent="0.3">
      <c r="A166" s="7">
        <v>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8" spans="1:23" ht="15.75" thickBot="1" x14ac:dyDescent="0.3"/>
    <row r="169" spans="1:23" ht="15.75" x14ac:dyDescent="0.25">
      <c r="A169" s="100" t="s">
        <v>260</v>
      </c>
      <c r="B169" s="101"/>
      <c r="C169" s="111" t="s">
        <v>322</v>
      </c>
      <c r="D169" s="112"/>
      <c r="E169" s="111" t="s">
        <v>417</v>
      </c>
      <c r="F169" s="112"/>
      <c r="G169" s="101" t="s">
        <v>4</v>
      </c>
      <c r="H169" s="101"/>
      <c r="I169" s="102" t="s">
        <v>139</v>
      </c>
      <c r="J169" s="102"/>
      <c r="K169" s="102"/>
      <c r="L169" s="102"/>
      <c r="M169" s="102"/>
      <c r="N169" s="102"/>
      <c r="O169" s="101" t="s">
        <v>6</v>
      </c>
      <c r="P169" s="101"/>
      <c r="Q169" s="166">
        <v>45809</v>
      </c>
      <c r="R169" s="167"/>
      <c r="S169" s="167"/>
      <c r="T169" s="167"/>
      <c r="U169" s="167"/>
      <c r="V169" s="167"/>
      <c r="W169" s="168"/>
    </row>
    <row r="170" spans="1:23" ht="15.75" x14ac:dyDescent="0.25">
      <c r="A170" s="106" t="s">
        <v>7</v>
      </c>
      <c r="B170" s="107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7"/>
      <c r="R170" s="107"/>
      <c r="S170" s="107"/>
      <c r="T170" s="107"/>
      <c r="U170" s="107"/>
      <c r="V170" s="107"/>
      <c r="W170" s="110"/>
    </row>
    <row r="171" spans="1:23" x14ac:dyDescent="0.25">
      <c r="A171" s="113" t="s">
        <v>8</v>
      </c>
      <c r="B171" s="114" t="s">
        <v>9</v>
      </c>
      <c r="C171" s="114" t="s">
        <v>10</v>
      </c>
      <c r="D171" s="114" t="s">
        <v>11</v>
      </c>
      <c r="E171" s="114" t="s">
        <v>12</v>
      </c>
      <c r="F171" s="114" t="s">
        <v>13</v>
      </c>
      <c r="G171" s="114" t="s">
        <v>14</v>
      </c>
      <c r="H171" s="114"/>
      <c r="I171" s="114"/>
      <c r="J171" s="114"/>
      <c r="K171" s="114"/>
      <c r="L171" s="114"/>
      <c r="M171" s="114" t="s">
        <v>15</v>
      </c>
      <c r="N171" s="114" t="s">
        <v>16</v>
      </c>
      <c r="O171" s="114" t="s">
        <v>17</v>
      </c>
      <c r="P171" s="114" t="s">
        <v>18</v>
      </c>
      <c r="Q171" s="114" t="s">
        <v>19</v>
      </c>
      <c r="R171" s="114"/>
      <c r="S171" s="114"/>
      <c r="T171" s="114"/>
      <c r="U171" s="114"/>
      <c r="V171" s="114"/>
      <c r="W171" s="115" t="s">
        <v>20</v>
      </c>
    </row>
    <row r="172" spans="1:23" x14ac:dyDescent="0.25">
      <c r="A172" s="113"/>
      <c r="B172" s="114"/>
      <c r="C172" s="114"/>
      <c r="D172" s="114"/>
      <c r="E172" s="114"/>
      <c r="F172" s="114"/>
      <c r="G172" s="31" t="s">
        <v>21</v>
      </c>
      <c r="H172" s="31" t="s">
        <v>21</v>
      </c>
      <c r="I172" s="31" t="s">
        <v>21</v>
      </c>
      <c r="J172" s="31" t="s">
        <v>22</v>
      </c>
      <c r="K172" s="31" t="s">
        <v>22</v>
      </c>
      <c r="L172" s="32" t="s">
        <v>22</v>
      </c>
      <c r="M172" s="138"/>
      <c r="N172" s="114"/>
      <c r="O172" s="114"/>
      <c r="P172" s="114"/>
      <c r="Q172" s="31" t="s">
        <v>21</v>
      </c>
      <c r="R172" s="31" t="s">
        <v>21</v>
      </c>
      <c r="S172" s="31" t="s">
        <v>21</v>
      </c>
      <c r="T172" s="31" t="s">
        <v>22</v>
      </c>
      <c r="U172" s="31" t="s">
        <v>22</v>
      </c>
      <c r="V172" s="31" t="s">
        <v>22</v>
      </c>
      <c r="W172" s="115"/>
    </row>
    <row r="173" spans="1:23" ht="15.75" x14ac:dyDescent="0.25">
      <c r="A173" s="5">
        <v>1</v>
      </c>
      <c r="B173" s="21" t="s">
        <v>243</v>
      </c>
      <c r="C173" s="20">
        <v>45917</v>
      </c>
      <c r="D173" s="36">
        <v>45973</v>
      </c>
      <c r="E173" s="21">
        <v>2</v>
      </c>
      <c r="F173" s="21">
        <v>0</v>
      </c>
      <c r="G173" s="21">
        <v>105</v>
      </c>
      <c r="H173" s="21">
        <v>95</v>
      </c>
      <c r="I173" s="21"/>
      <c r="J173" s="21"/>
      <c r="K173" s="24"/>
      <c r="L173" s="29"/>
      <c r="M173" s="69">
        <f>AVERAGE(G173:L173)</f>
        <v>100</v>
      </c>
      <c r="N173" s="70">
        <v>46028</v>
      </c>
      <c r="O173" s="21">
        <v>1</v>
      </c>
      <c r="P173" s="21">
        <v>1</v>
      </c>
      <c r="Q173" s="21">
        <v>250</v>
      </c>
      <c r="R173" s="21"/>
      <c r="S173" s="21"/>
      <c r="T173" s="21"/>
      <c r="U173" s="21"/>
      <c r="V173" s="21"/>
      <c r="W173" s="22">
        <v>250</v>
      </c>
    </row>
    <row r="174" spans="1:23" ht="15.75" x14ac:dyDescent="0.25">
      <c r="A174" s="6">
        <v>2</v>
      </c>
      <c r="B174" s="21" t="s">
        <v>243</v>
      </c>
      <c r="C174" s="13">
        <v>46039</v>
      </c>
      <c r="D174" s="8" t="s">
        <v>428</v>
      </c>
      <c r="E174" s="8"/>
      <c r="F174" s="8"/>
      <c r="G174" s="8"/>
      <c r="H174" s="8"/>
      <c r="I174" s="8"/>
      <c r="J174" s="8"/>
      <c r="K174" s="25"/>
      <c r="L174" s="30"/>
      <c r="M174" s="57"/>
      <c r="N174" s="26"/>
      <c r="O174" s="8"/>
      <c r="P174" s="8"/>
      <c r="Q174" s="8"/>
      <c r="R174" s="8"/>
      <c r="S174" s="8"/>
      <c r="T174" s="8"/>
      <c r="U174" s="8"/>
      <c r="V174" s="8"/>
      <c r="W174" s="9"/>
    </row>
    <row r="175" spans="1:23" ht="15.75" x14ac:dyDescent="0.25">
      <c r="A175" s="6">
        <v>3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27"/>
      <c r="M175" s="27"/>
      <c r="N175" s="8"/>
      <c r="O175" s="8"/>
      <c r="P175" s="8"/>
      <c r="Q175" s="8"/>
      <c r="R175" s="8"/>
      <c r="S175" s="8"/>
      <c r="T175" s="8"/>
      <c r="U175" s="8"/>
      <c r="V175" s="8"/>
      <c r="W175" s="9"/>
    </row>
    <row r="176" spans="1:23" ht="15.75" x14ac:dyDescent="0.25">
      <c r="A176" s="5">
        <v>4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</row>
    <row r="177" spans="1:23" ht="15.75" x14ac:dyDescent="0.25">
      <c r="A177" s="5">
        <v>5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</row>
    <row r="178" spans="1:23" ht="16.5" thickBot="1" x14ac:dyDescent="0.3">
      <c r="A178" s="7">
        <v>6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80" spans="1:23" ht="15.75" thickBot="1" x14ac:dyDescent="0.3"/>
    <row r="181" spans="1:23" ht="15.75" x14ac:dyDescent="0.25">
      <c r="A181" s="100" t="s">
        <v>260</v>
      </c>
      <c r="B181" s="101"/>
      <c r="C181" s="111" t="s">
        <v>323</v>
      </c>
      <c r="D181" s="112"/>
      <c r="E181" s="111" t="s">
        <v>417</v>
      </c>
      <c r="F181" s="112"/>
      <c r="G181" s="101" t="s">
        <v>4</v>
      </c>
      <c r="H181" s="101"/>
      <c r="I181" s="102" t="s">
        <v>139</v>
      </c>
      <c r="J181" s="102"/>
      <c r="K181" s="102"/>
      <c r="L181" s="102"/>
      <c r="M181" s="102"/>
      <c r="N181" s="102"/>
      <c r="O181" s="101" t="s">
        <v>6</v>
      </c>
      <c r="P181" s="101"/>
      <c r="Q181" s="166">
        <v>45809</v>
      </c>
      <c r="R181" s="167"/>
      <c r="S181" s="167"/>
      <c r="T181" s="167"/>
      <c r="U181" s="167"/>
      <c r="V181" s="167"/>
      <c r="W181" s="168"/>
    </row>
    <row r="182" spans="1:23" ht="15.75" x14ac:dyDescent="0.25">
      <c r="A182" s="106" t="s">
        <v>7</v>
      </c>
      <c r="B182" s="107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7"/>
      <c r="R182" s="107"/>
      <c r="S182" s="107"/>
      <c r="T182" s="107"/>
      <c r="U182" s="107"/>
      <c r="V182" s="107"/>
      <c r="W182" s="110"/>
    </row>
    <row r="183" spans="1:23" x14ac:dyDescent="0.25">
      <c r="A183" s="113" t="s">
        <v>8</v>
      </c>
      <c r="B183" s="114" t="s">
        <v>9</v>
      </c>
      <c r="C183" s="114" t="s">
        <v>10</v>
      </c>
      <c r="D183" s="114" t="s">
        <v>11</v>
      </c>
      <c r="E183" s="114" t="s">
        <v>12</v>
      </c>
      <c r="F183" s="114" t="s">
        <v>13</v>
      </c>
      <c r="G183" s="114" t="s">
        <v>14</v>
      </c>
      <c r="H183" s="114"/>
      <c r="I183" s="114"/>
      <c r="J183" s="114"/>
      <c r="K183" s="114"/>
      <c r="L183" s="114"/>
      <c r="M183" s="114" t="s">
        <v>15</v>
      </c>
      <c r="N183" s="114" t="s">
        <v>16</v>
      </c>
      <c r="O183" s="114" t="s">
        <v>17</v>
      </c>
      <c r="P183" s="114" t="s">
        <v>18</v>
      </c>
      <c r="Q183" s="114" t="s">
        <v>19</v>
      </c>
      <c r="R183" s="114"/>
      <c r="S183" s="114"/>
      <c r="T183" s="114"/>
      <c r="U183" s="114"/>
      <c r="V183" s="114"/>
      <c r="W183" s="115" t="s">
        <v>20</v>
      </c>
    </row>
    <row r="184" spans="1:23" x14ac:dyDescent="0.25">
      <c r="A184" s="113"/>
      <c r="B184" s="114"/>
      <c r="C184" s="114"/>
      <c r="D184" s="114"/>
      <c r="E184" s="114"/>
      <c r="F184" s="114"/>
      <c r="G184" s="31" t="s">
        <v>21</v>
      </c>
      <c r="H184" s="31" t="s">
        <v>21</v>
      </c>
      <c r="I184" s="31" t="s">
        <v>21</v>
      </c>
      <c r="J184" s="31" t="s">
        <v>22</v>
      </c>
      <c r="K184" s="31" t="s">
        <v>22</v>
      </c>
      <c r="L184" s="32" t="s">
        <v>22</v>
      </c>
      <c r="M184" s="138"/>
      <c r="N184" s="114"/>
      <c r="O184" s="114"/>
      <c r="P184" s="114"/>
      <c r="Q184" s="31" t="s">
        <v>21</v>
      </c>
      <c r="R184" s="31" t="s">
        <v>21</v>
      </c>
      <c r="S184" s="31" t="s">
        <v>21</v>
      </c>
      <c r="T184" s="31" t="s">
        <v>22</v>
      </c>
      <c r="U184" s="31" t="s">
        <v>22</v>
      </c>
      <c r="V184" s="31" t="s">
        <v>22</v>
      </c>
      <c r="W184" s="115"/>
    </row>
    <row r="185" spans="1:23" ht="15.75" x14ac:dyDescent="0.25">
      <c r="A185" s="5">
        <v>1</v>
      </c>
      <c r="B185" s="21" t="s">
        <v>243</v>
      </c>
      <c r="C185" s="20">
        <v>45917</v>
      </c>
      <c r="D185" s="36" t="s">
        <v>428</v>
      </c>
      <c r="E185" s="21"/>
      <c r="F185" s="21"/>
      <c r="G185" s="21"/>
      <c r="H185" s="21"/>
      <c r="I185" s="21"/>
      <c r="J185" s="21"/>
      <c r="K185" s="24"/>
      <c r="L185" s="29"/>
      <c r="M185" s="57"/>
      <c r="O185" s="21"/>
      <c r="P185" s="21"/>
      <c r="Q185" s="21"/>
      <c r="R185" s="21"/>
      <c r="S185" s="21"/>
      <c r="T185" s="21"/>
      <c r="U185" s="21"/>
      <c r="V185" s="21"/>
      <c r="W185" s="22"/>
    </row>
    <row r="186" spans="1:23" ht="15.75" x14ac:dyDescent="0.25">
      <c r="A186" s="6">
        <v>2</v>
      </c>
      <c r="B186" s="21" t="s">
        <v>243</v>
      </c>
      <c r="C186" s="13">
        <v>46039</v>
      </c>
      <c r="D186" s="13">
        <v>46116</v>
      </c>
      <c r="E186" s="21">
        <v>2</v>
      </c>
      <c r="F186" s="21">
        <v>0</v>
      </c>
      <c r="G186" s="21">
        <v>118</v>
      </c>
      <c r="H186" s="21"/>
      <c r="I186" s="21"/>
      <c r="J186" s="21">
        <v>128</v>
      </c>
      <c r="K186" s="24"/>
      <c r="L186" s="29"/>
      <c r="M186" s="69">
        <f>AVERAGE(G186:L186)</f>
        <v>123</v>
      </c>
      <c r="N186" s="26" t="s">
        <v>495</v>
      </c>
      <c r="O186" s="21">
        <v>2</v>
      </c>
      <c r="P186" s="21">
        <v>0</v>
      </c>
      <c r="Q186" s="21">
        <v>260</v>
      </c>
      <c r="R186" s="21"/>
      <c r="S186" s="21"/>
      <c r="T186" s="21">
        <v>302</v>
      </c>
      <c r="U186" s="21"/>
      <c r="V186" s="21"/>
      <c r="W186" s="22">
        <f>AVERAGE(Q186:V186)</f>
        <v>281</v>
      </c>
    </row>
    <row r="187" spans="1:23" ht="15.75" x14ac:dyDescent="0.25">
      <c r="A187" s="6">
        <v>3</v>
      </c>
      <c r="B187" s="8"/>
      <c r="C187" s="8"/>
      <c r="D187" s="8"/>
      <c r="E187" s="21"/>
      <c r="F187" s="21"/>
      <c r="G187" s="21"/>
      <c r="H187" s="21"/>
      <c r="I187" s="21"/>
      <c r="J187" s="21"/>
      <c r="K187" s="21"/>
      <c r="L187" s="44"/>
      <c r="M187" s="44"/>
      <c r="N187" s="21"/>
      <c r="O187" s="21"/>
      <c r="P187" s="21"/>
      <c r="Q187" s="21"/>
      <c r="R187" s="21"/>
      <c r="S187" s="21"/>
      <c r="T187" s="21"/>
      <c r="U187" s="21"/>
      <c r="V187" s="21"/>
      <c r="W187" s="22"/>
    </row>
    <row r="188" spans="1:23" ht="15.75" x14ac:dyDescent="0.25">
      <c r="A188" s="5">
        <v>4</v>
      </c>
      <c r="B188" s="8"/>
      <c r="C188" s="8"/>
      <c r="D188" s="8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2"/>
    </row>
    <row r="189" spans="1:23" ht="15.75" x14ac:dyDescent="0.25">
      <c r="A189" s="5">
        <v>5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</row>
    <row r="190" spans="1:23" ht="16.5" thickBot="1" x14ac:dyDescent="0.3">
      <c r="A190" s="7">
        <v>6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2" spans="1:23" ht="15.75" thickBot="1" x14ac:dyDescent="0.3"/>
    <row r="193" spans="1:23" ht="15.75" x14ac:dyDescent="0.25">
      <c r="A193" s="100" t="s">
        <v>260</v>
      </c>
      <c r="B193" s="101"/>
      <c r="C193" s="111" t="s">
        <v>310</v>
      </c>
      <c r="D193" s="112"/>
      <c r="E193" s="111" t="s">
        <v>417</v>
      </c>
      <c r="F193" s="112"/>
      <c r="G193" s="101" t="s">
        <v>4</v>
      </c>
      <c r="H193" s="101"/>
      <c r="I193" s="102" t="s">
        <v>139</v>
      </c>
      <c r="J193" s="102"/>
      <c r="K193" s="102"/>
      <c r="L193" s="102"/>
      <c r="M193" s="102"/>
      <c r="N193" s="102"/>
      <c r="O193" s="101" t="s">
        <v>6</v>
      </c>
      <c r="P193" s="101"/>
      <c r="Q193" s="166">
        <v>45805</v>
      </c>
      <c r="R193" s="167"/>
      <c r="S193" s="167"/>
      <c r="T193" s="167"/>
      <c r="U193" s="167"/>
      <c r="V193" s="167"/>
      <c r="W193" s="168"/>
    </row>
    <row r="194" spans="1:23" ht="15.75" x14ac:dyDescent="0.25">
      <c r="A194" s="106" t="s">
        <v>7</v>
      </c>
      <c r="B194" s="107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7"/>
      <c r="R194" s="107"/>
      <c r="S194" s="107"/>
      <c r="T194" s="107"/>
      <c r="U194" s="107"/>
      <c r="V194" s="107"/>
      <c r="W194" s="110"/>
    </row>
    <row r="195" spans="1:23" x14ac:dyDescent="0.25">
      <c r="A195" s="113" t="s">
        <v>8</v>
      </c>
      <c r="B195" s="114" t="s">
        <v>9</v>
      </c>
      <c r="C195" s="114" t="s">
        <v>10</v>
      </c>
      <c r="D195" s="114" t="s">
        <v>11</v>
      </c>
      <c r="E195" s="114" t="s">
        <v>12</v>
      </c>
      <c r="F195" s="114" t="s">
        <v>13</v>
      </c>
      <c r="G195" s="114" t="s">
        <v>14</v>
      </c>
      <c r="H195" s="114"/>
      <c r="I195" s="114"/>
      <c r="J195" s="114"/>
      <c r="K195" s="114"/>
      <c r="L195" s="114"/>
      <c r="M195" s="114" t="s">
        <v>15</v>
      </c>
      <c r="N195" s="114" t="s">
        <v>16</v>
      </c>
      <c r="O195" s="114" t="s">
        <v>17</v>
      </c>
      <c r="P195" s="114" t="s">
        <v>18</v>
      </c>
      <c r="Q195" s="114" t="s">
        <v>19</v>
      </c>
      <c r="R195" s="114"/>
      <c r="S195" s="114"/>
      <c r="T195" s="114"/>
      <c r="U195" s="114"/>
      <c r="V195" s="114"/>
      <c r="W195" s="115" t="s">
        <v>20</v>
      </c>
    </row>
    <row r="196" spans="1:23" x14ac:dyDescent="0.25">
      <c r="A196" s="113"/>
      <c r="B196" s="114"/>
      <c r="C196" s="114"/>
      <c r="D196" s="114"/>
      <c r="E196" s="114"/>
      <c r="F196" s="114"/>
      <c r="G196" s="31" t="s">
        <v>21</v>
      </c>
      <c r="H196" s="31" t="s">
        <v>21</v>
      </c>
      <c r="I196" s="31" t="s">
        <v>21</v>
      </c>
      <c r="J196" s="31" t="s">
        <v>22</v>
      </c>
      <c r="K196" s="31" t="s">
        <v>22</v>
      </c>
      <c r="L196" s="32" t="s">
        <v>22</v>
      </c>
      <c r="M196" s="138"/>
      <c r="N196" s="114"/>
      <c r="O196" s="114"/>
      <c r="P196" s="114"/>
      <c r="Q196" s="31" t="s">
        <v>21</v>
      </c>
      <c r="R196" s="31" t="s">
        <v>21</v>
      </c>
      <c r="S196" s="31" t="s">
        <v>21</v>
      </c>
      <c r="T196" s="31" t="s">
        <v>22</v>
      </c>
      <c r="U196" s="31" t="s">
        <v>22</v>
      </c>
      <c r="V196" s="31" t="s">
        <v>22</v>
      </c>
      <c r="W196" s="115"/>
    </row>
    <row r="197" spans="1:23" ht="15.75" x14ac:dyDescent="0.25">
      <c r="A197" s="5">
        <v>1</v>
      </c>
      <c r="B197" s="21" t="s">
        <v>243</v>
      </c>
      <c r="C197" s="20">
        <v>45917</v>
      </c>
      <c r="D197" s="36" t="s">
        <v>433</v>
      </c>
      <c r="E197" s="21">
        <v>1</v>
      </c>
      <c r="F197" s="21">
        <v>0</v>
      </c>
      <c r="G197" s="21">
        <v>157</v>
      </c>
      <c r="H197" s="21"/>
      <c r="I197" s="21"/>
      <c r="J197" s="21"/>
      <c r="K197" s="24"/>
      <c r="L197" s="29"/>
      <c r="M197" s="57">
        <v>157</v>
      </c>
      <c r="N197" s="70">
        <v>46028</v>
      </c>
      <c r="O197" s="21">
        <v>1</v>
      </c>
      <c r="P197" s="21">
        <v>0</v>
      </c>
      <c r="Q197" s="21">
        <v>346</v>
      </c>
      <c r="R197" s="21"/>
      <c r="S197" s="21"/>
      <c r="T197" s="21"/>
      <c r="U197" s="21"/>
      <c r="V197" s="21"/>
      <c r="W197" s="22">
        <v>346</v>
      </c>
    </row>
    <row r="198" spans="1:23" ht="15.75" x14ac:dyDescent="0.25">
      <c r="A198" s="6">
        <v>2</v>
      </c>
      <c r="B198" s="21" t="s">
        <v>243</v>
      </c>
      <c r="C198" s="13">
        <v>46039</v>
      </c>
      <c r="D198" s="8" t="s">
        <v>428</v>
      </c>
      <c r="E198" s="8"/>
      <c r="F198" s="8"/>
      <c r="G198" s="8"/>
      <c r="H198" s="8"/>
      <c r="I198" s="8"/>
      <c r="J198" s="8"/>
      <c r="K198" s="25"/>
      <c r="L198" s="30"/>
      <c r="M198" s="57"/>
      <c r="N198" s="26"/>
      <c r="O198" s="8"/>
      <c r="P198" s="8"/>
      <c r="Q198" s="8"/>
      <c r="R198" s="8"/>
      <c r="S198" s="8"/>
      <c r="T198" s="8"/>
      <c r="U198" s="8"/>
      <c r="V198" s="8"/>
      <c r="W198" s="9"/>
    </row>
    <row r="199" spans="1:23" ht="15.75" x14ac:dyDescent="0.25">
      <c r="A199" s="6">
        <v>3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27"/>
      <c r="M199" s="27"/>
      <c r="N199" s="8"/>
      <c r="O199" s="8"/>
      <c r="P199" s="8"/>
      <c r="Q199" s="8"/>
      <c r="R199" s="8"/>
      <c r="S199" s="8"/>
      <c r="T199" s="8"/>
      <c r="U199" s="8"/>
      <c r="V199" s="8"/>
      <c r="W199" s="9"/>
    </row>
    <row r="200" spans="1:23" ht="15.75" x14ac:dyDescent="0.25">
      <c r="A200" s="5">
        <v>4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</row>
    <row r="201" spans="1:23" ht="15.75" x14ac:dyDescent="0.25">
      <c r="A201" s="5">
        <v>5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</row>
    <row r="202" spans="1:23" ht="16.5" thickBot="1" x14ac:dyDescent="0.3">
      <c r="A202" s="7">
        <v>6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4" spans="1:23" ht="15.75" thickBot="1" x14ac:dyDescent="0.3"/>
    <row r="205" spans="1:23" ht="15.75" x14ac:dyDescent="0.25">
      <c r="A205" s="100" t="s">
        <v>260</v>
      </c>
      <c r="B205" s="101"/>
      <c r="C205" s="111" t="s">
        <v>324</v>
      </c>
      <c r="D205" s="112"/>
      <c r="E205" s="111" t="s">
        <v>418</v>
      </c>
      <c r="F205" s="112"/>
      <c r="G205" s="101" t="s">
        <v>4</v>
      </c>
      <c r="H205" s="101"/>
      <c r="I205" s="102" t="s">
        <v>359</v>
      </c>
      <c r="J205" s="102"/>
      <c r="K205" s="102"/>
      <c r="L205" s="102"/>
      <c r="M205" s="102"/>
      <c r="N205" s="102"/>
      <c r="O205" s="101" t="s">
        <v>6</v>
      </c>
      <c r="P205" s="101"/>
      <c r="Q205" s="166">
        <v>45812</v>
      </c>
      <c r="R205" s="167"/>
      <c r="S205" s="167"/>
      <c r="T205" s="167"/>
      <c r="U205" s="167"/>
      <c r="V205" s="167"/>
      <c r="W205" s="168"/>
    </row>
    <row r="206" spans="1:23" ht="15.75" x14ac:dyDescent="0.25">
      <c r="A206" s="106" t="s">
        <v>7</v>
      </c>
      <c r="B206" s="107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7"/>
      <c r="R206" s="107"/>
      <c r="S206" s="107"/>
      <c r="T206" s="107"/>
      <c r="U206" s="107"/>
      <c r="V206" s="107"/>
      <c r="W206" s="110"/>
    </row>
    <row r="207" spans="1:23" x14ac:dyDescent="0.25">
      <c r="A207" s="113" t="s">
        <v>8</v>
      </c>
      <c r="B207" s="114" t="s">
        <v>9</v>
      </c>
      <c r="C207" s="114" t="s">
        <v>10</v>
      </c>
      <c r="D207" s="114" t="s">
        <v>11</v>
      </c>
      <c r="E207" s="114" t="s">
        <v>12</v>
      </c>
      <c r="F207" s="114" t="s">
        <v>13</v>
      </c>
      <c r="G207" s="114" t="s">
        <v>14</v>
      </c>
      <c r="H207" s="114"/>
      <c r="I207" s="114"/>
      <c r="J207" s="114"/>
      <c r="K207" s="114"/>
      <c r="L207" s="114"/>
      <c r="M207" s="114" t="s">
        <v>15</v>
      </c>
      <c r="N207" s="114" t="s">
        <v>16</v>
      </c>
      <c r="O207" s="114" t="s">
        <v>17</v>
      </c>
      <c r="P207" s="114" t="s">
        <v>18</v>
      </c>
      <c r="Q207" s="114" t="s">
        <v>19</v>
      </c>
      <c r="R207" s="114"/>
      <c r="S207" s="114"/>
      <c r="T207" s="114"/>
      <c r="U207" s="114"/>
      <c r="V207" s="114"/>
      <c r="W207" s="115" t="s">
        <v>20</v>
      </c>
    </row>
    <row r="208" spans="1:23" x14ac:dyDescent="0.25">
      <c r="A208" s="113"/>
      <c r="B208" s="114"/>
      <c r="C208" s="114"/>
      <c r="D208" s="114"/>
      <c r="E208" s="114"/>
      <c r="F208" s="114"/>
      <c r="G208" s="31" t="s">
        <v>21</v>
      </c>
      <c r="H208" s="31" t="s">
        <v>21</v>
      </c>
      <c r="I208" s="31" t="s">
        <v>21</v>
      </c>
      <c r="J208" s="31" t="s">
        <v>22</v>
      </c>
      <c r="K208" s="31" t="s">
        <v>22</v>
      </c>
      <c r="L208" s="32" t="s">
        <v>22</v>
      </c>
      <c r="M208" s="138"/>
      <c r="N208" s="114"/>
      <c r="O208" s="114"/>
      <c r="P208" s="114"/>
      <c r="Q208" s="31" t="s">
        <v>21</v>
      </c>
      <c r="R208" s="31" t="s">
        <v>21</v>
      </c>
      <c r="S208" s="31" t="s">
        <v>21</v>
      </c>
      <c r="T208" s="31" t="s">
        <v>22</v>
      </c>
      <c r="U208" s="31" t="s">
        <v>22</v>
      </c>
      <c r="V208" s="31" t="s">
        <v>22</v>
      </c>
      <c r="W208" s="115"/>
    </row>
    <row r="209" spans="1:23" ht="15.75" x14ac:dyDescent="0.25">
      <c r="A209" s="5">
        <v>1</v>
      </c>
      <c r="B209" s="21" t="s">
        <v>325</v>
      </c>
      <c r="C209" s="20">
        <v>45917</v>
      </c>
      <c r="D209" s="36" t="s">
        <v>371</v>
      </c>
      <c r="E209" s="21"/>
      <c r="F209" s="21"/>
      <c r="G209" s="21"/>
      <c r="H209" s="21"/>
      <c r="I209" s="21"/>
      <c r="J209" s="21"/>
      <c r="K209" s="24"/>
      <c r="L209" s="29"/>
      <c r="M209" s="57"/>
      <c r="O209" s="21"/>
      <c r="P209" s="21"/>
      <c r="Q209" s="21"/>
      <c r="R209" s="21"/>
      <c r="S209" s="21"/>
      <c r="T209" s="21"/>
      <c r="U209" s="21"/>
      <c r="V209" s="21"/>
      <c r="W209" s="22"/>
    </row>
    <row r="210" spans="1:23" ht="15.75" x14ac:dyDescent="0.25">
      <c r="A210" s="6">
        <v>2</v>
      </c>
      <c r="B210" s="21" t="s">
        <v>325</v>
      </c>
      <c r="C210" s="13">
        <v>46039</v>
      </c>
      <c r="D210" s="13">
        <v>46114</v>
      </c>
      <c r="E210" s="8">
        <v>2</v>
      </c>
      <c r="F210" s="8">
        <v>1</v>
      </c>
      <c r="G210" s="8"/>
      <c r="H210" s="8"/>
      <c r="I210" s="8"/>
      <c r="J210" s="8">
        <v>105</v>
      </c>
      <c r="K210" s="25"/>
      <c r="L210" s="30"/>
      <c r="M210" s="57">
        <v>105</v>
      </c>
      <c r="N210" s="26">
        <v>46139</v>
      </c>
      <c r="O210" s="8">
        <v>1</v>
      </c>
      <c r="P210" s="8">
        <v>0</v>
      </c>
      <c r="Q210" s="8"/>
      <c r="R210" s="8"/>
      <c r="S210" s="8"/>
      <c r="T210" s="8">
        <v>315</v>
      </c>
      <c r="U210" s="8"/>
      <c r="V210" s="8"/>
      <c r="W210" s="9">
        <v>315</v>
      </c>
    </row>
    <row r="211" spans="1:23" ht="15.75" x14ac:dyDescent="0.25">
      <c r="A211" s="6">
        <v>3</v>
      </c>
      <c r="B211" s="8" t="s">
        <v>325</v>
      </c>
      <c r="C211" s="13">
        <v>46148</v>
      </c>
      <c r="D211" s="8"/>
      <c r="E211" s="8"/>
      <c r="F211" s="8"/>
      <c r="G211" s="8"/>
      <c r="H211" s="8"/>
      <c r="I211" s="8"/>
      <c r="J211" s="8"/>
      <c r="K211" s="8"/>
      <c r="L211" s="27"/>
      <c r="M211" s="27"/>
      <c r="N211" s="8"/>
      <c r="O211" s="8"/>
      <c r="P211" s="8"/>
      <c r="Q211" s="8"/>
      <c r="R211" s="8"/>
      <c r="S211" s="8"/>
      <c r="T211" s="8"/>
      <c r="U211" s="8"/>
      <c r="V211" s="8"/>
      <c r="W211" s="9"/>
    </row>
    <row r="212" spans="1:23" ht="15.75" x14ac:dyDescent="0.25">
      <c r="A212" s="5">
        <v>4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</row>
    <row r="213" spans="1:23" ht="15.75" x14ac:dyDescent="0.25">
      <c r="A213" s="5">
        <v>5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</row>
    <row r="214" spans="1:23" ht="16.5" thickBot="1" x14ac:dyDescent="0.3">
      <c r="A214" s="7">
        <v>6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6" spans="1:23" ht="15.75" thickBot="1" x14ac:dyDescent="0.3"/>
    <row r="217" spans="1:23" ht="15.75" x14ac:dyDescent="0.25">
      <c r="A217" s="100" t="s">
        <v>260</v>
      </c>
      <c r="B217" s="101"/>
      <c r="C217" s="111" t="s">
        <v>326</v>
      </c>
      <c r="D217" s="112"/>
      <c r="E217" s="111" t="s">
        <v>418</v>
      </c>
      <c r="F217" s="112"/>
      <c r="G217" s="101" t="s">
        <v>4</v>
      </c>
      <c r="H217" s="101"/>
      <c r="I217" s="102" t="s">
        <v>359</v>
      </c>
      <c r="J217" s="102"/>
      <c r="K217" s="102"/>
      <c r="L217" s="102"/>
      <c r="M217" s="102"/>
      <c r="N217" s="102"/>
      <c r="O217" s="101" t="s">
        <v>6</v>
      </c>
      <c r="P217" s="101"/>
      <c r="Q217" s="166">
        <v>45810</v>
      </c>
      <c r="R217" s="167"/>
      <c r="S217" s="167"/>
      <c r="T217" s="167"/>
      <c r="U217" s="167"/>
      <c r="V217" s="167"/>
      <c r="W217" s="168"/>
    </row>
    <row r="218" spans="1:23" ht="15.75" x14ac:dyDescent="0.25">
      <c r="A218" s="106" t="s">
        <v>7</v>
      </c>
      <c r="B218" s="107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7"/>
      <c r="R218" s="107"/>
      <c r="S218" s="107"/>
      <c r="T218" s="107"/>
      <c r="U218" s="107"/>
      <c r="V218" s="107"/>
      <c r="W218" s="110"/>
    </row>
    <row r="219" spans="1:23" x14ac:dyDescent="0.25">
      <c r="A219" s="113" t="s">
        <v>8</v>
      </c>
      <c r="B219" s="114" t="s">
        <v>9</v>
      </c>
      <c r="C219" s="114" t="s">
        <v>10</v>
      </c>
      <c r="D219" s="114" t="s">
        <v>11</v>
      </c>
      <c r="E219" s="114" t="s">
        <v>12</v>
      </c>
      <c r="F219" s="114" t="s">
        <v>13</v>
      </c>
      <c r="G219" s="114" t="s">
        <v>14</v>
      </c>
      <c r="H219" s="114"/>
      <c r="I219" s="114"/>
      <c r="J219" s="114"/>
      <c r="K219" s="114"/>
      <c r="L219" s="114"/>
      <c r="M219" s="114" t="s">
        <v>15</v>
      </c>
      <c r="N219" s="114" t="s">
        <v>16</v>
      </c>
      <c r="O219" s="114" t="s">
        <v>17</v>
      </c>
      <c r="P219" s="114" t="s">
        <v>18</v>
      </c>
      <c r="Q219" s="114" t="s">
        <v>19</v>
      </c>
      <c r="R219" s="114"/>
      <c r="S219" s="114"/>
      <c r="T219" s="114"/>
      <c r="U219" s="114"/>
      <c r="V219" s="114"/>
      <c r="W219" s="115" t="s">
        <v>20</v>
      </c>
    </row>
    <row r="220" spans="1:23" x14ac:dyDescent="0.25">
      <c r="A220" s="113"/>
      <c r="B220" s="114"/>
      <c r="C220" s="114"/>
      <c r="D220" s="114"/>
      <c r="E220" s="114"/>
      <c r="F220" s="114"/>
      <c r="G220" s="31" t="s">
        <v>21</v>
      </c>
      <c r="H220" s="31" t="s">
        <v>21</v>
      </c>
      <c r="I220" s="31" t="s">
        <v>21</v>
      </c>
      <c r="J220" s="31" t="s">
        <v>22</v>
      </c>
      <c r="K220" s="31" t="s">
        <v>22</v>
      </c>
      <c r="L220" s="32" t="s">
        <v>22</v>
      </c>
      <c r="M220" s="138"/>
      <c r="N220" s="114"/>
      <c r="O220" s="114"/>
      <c r="P220" s="114"/>
      <c r="Q220" s="31" t="s">
        <v>21</v>
      </c>
      <c r="R220" s="31" t="s">
        <v>21</v>
      </c>
      <c r="S220" s="31" t="s">
        <v>21</v>
      </c>
      <c r="T220" s="31" t="s">
        <v>22</v>
      </c>
      <c r="U220" s="31" t="s">
        <v>22</v>
      </c>
      <c r="V220" s="31" t="s">
        <v>22</v>
      </c>
      <c r="W220" s="115"/>
    </row>
    <row r="221" spans="1:23" ht="15.75" x14ac:dyDescent="0.25">
      <c r="A221" s="5">
        <v>1</v>
      </c>
      <c r="B221" s="21" t="s">
        <v>325</v>
      </c>
      <c r="C221" s="20">
        <v>45917</v>
      </c>
      <c r="D221" s="36">
        <v>45990</v>
      </c>
      <c r="E221" s="21">
        <v>2</v>
      </c>
      <c r="F221" s="21">
        <v>0</v>
      </c>
      <c r="G221" s="21">
        <v>170</v>
      </c>
      <c r="H221" s="21"/>
      <c r="I221" s="21"/>
      <c r="J221" s="21">
        <v>153</v>
      </c>
      <c r="K221" s="24"/>
      <c r="L221" s="58"/>
      <c r="M221" s="31">
        <f>AVERAGE(G221:L221)</f>
        <v>161.5</v>
      </c>
      <c r="N221" s="70">
        <v>45663</v>
      </c>
      <c r="O221" s="21">
        <v>2</v>
      </c>
      <c r="P221" s="21">
        <v>0</v>
      </c>
      <c r="Q221" s="21">
        <v>398</v>
      </c>
      <c r="R221" s="21"/>
      <c r="S221" s="21"/>
      <c r="T221" s="21">
        <v>401</v>
      </c>
      <c r="U221" s="21"/>
      <c r="V221" s="21"/>
      <c r="W221" s="22">
        <f>AVERAGE(Q221:V221)</f>
        <v>399.5</v>
      </c>
    </row>
    <row r="222" spans="1:23" ht="15.75" x14ac:dyDescent="0.25">
      <c r="A222" s="6">
        <v>2</v>
      </c>
      <c r="B222" s="21" t="s">
        <v>325</v>
      </c>
      <c r="C222" s="13">
        <v>46039</v>
      </c>
      <c r="D222" s="13">
        <v>46107</v>
      </c>
      <c r="E222" s="21">
        <v>4</v>
      </c>
      <c r="F222" s="21">
        <v>1</v>
      </c>
      <c r="G222" s="21">
        <v>114</v>
      </c>
      <c r="H222" s="21">
        <v>132</v>
      </c>
      <c r="I222" s="21"/>
      <c r="J222" s="21">
        <v>105</v>
      </c>
      <c r="K222" s="24"/>
      <c r="L222" s="58"/>
      <c r="M222" s="31">
        <f>AVERAGE(G222:L222)</f>
        <v>117</v>
      </c>
      <c r="N222" s="26">
        <v>46133</v>
      </c>
      <c r="O222" s="21">
        <v>3</v>
      </c>
      <c r="P222" s="21">
        <v>0</v>
      </c>
      <c r="Q222" s="21">
        <v>274</v>
      </c>
      <c r="R222" s="21">
        <v>252</v>
      </c>
      <c r="S222" s="21"/>
      <c r="T222" s="21">
        <v>292</v>
      </c>
      <c r="U222" s="21"/>
      <c r="V222" s="21"/>
      <c r="W222" s="40">
        <f>AVERAGE(Q222:V222)</f>
        <v>272.66666666666669</v>
      </c>
    </row>
    <row r="223" spans="1:23" ht="15.75" x14ac:dyDescent="0.25">
      <c r="A223" s="6">
        <v>3</v>
      </c>
      <c r="B223" s="8" t="s">
        <v>325</v>
      </c>
      <c r="C223" s="13">
        <v>46148</v>
      </c>
      <c r="D223" s="8"/>
      <c r="E223" s="21"/>
      <c r="F223" s="21"/>
      <c r="G223" s="21"/>
      <c r="H223" s="21"/>
      <c r="I223" s="21"/>
      <c r="J223" s="21"/>
      <c r="K223" s="21"/>
      <c r="L223" s="44"/>
      <c r="M223" s="44"/>
      <c r="N223" s="21"/>
      <c r="O223" s="21"/>
      <c r="P223" s="21"/>
      <c r="Q223" s="21"/>
      <c r="R223" s="21"/>
      <c r="S223" s="21"/>
      <c r="T223" s="21"/>
      <c r="U223" s="21"/>
      <c r="V223" s="21"/>
      <c r="W223" s="22"/>
    </row>
    <row r="224" spans="1:23" ht="15.75" x14ac:dyDescent="0.25">
      <c r="A224" s="5">
        <v>4</v>
      </c>
      <c r="B224" s="8"/>
      <c r="C224" s="8"/>
      <c r="D224" s="8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2"/>
    </row>
    <row r="225" spans="1:23" ht="15.75" x14ac:dyDescent="0.25">
      <c r="A225" s="5">
        <v>5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</row>
    <row r="226" spans="1:23" ht="16.5" thickBot="1" x14ac:dyDescent="0.3">
      <c r="A226" s="7">
        <v>6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8" spans="1:23" ht="15.75" thickBot="1" x14ac:dyDescent="0.3"/>
    <row r="229" spans="1:23" ht="15.75" x14ac:dyDescent="0.25">
      <c r="A229" s="100" t="s">
        <v>260</v>
      </c>
      <c r="B229" s="101"/>
      <c r="C229" s="111" t="s">
        <v>327</v>
      </c>
      <c r="D229" s="112"/>
      <c r="E229" s="111" t="s">
        <v>418</v>
      </c>
      <c r="F229" s="112"/>
      <c r="G229" s="101" t="s">
        <v>4</v>
      </c>
      <c r="H229" s="101"/>
      <c r="I229" s="102" t="s">
        <v>359</v>
      </c>
      <c r="J229" s="102"/>
      <c r="K229" s="102"/>
      <c r="L229" s="102"/>
      <c r="M229" s="102"/>
      <c r="N229" s="102"/>
      <c r="O229" s="101" t="s">
        <v>6</v>
      </c>
      <c r="P229" s="101"/>
      <c r="Q229" s="166">
        <v>45807</v>
      </c>
      <c r="R229" s="167"/>
      <c r="S229" s="167"/>
      <c r="T229" s="167"/>
      <c r="U229" s="167"/>
      <c r="V229" s="167"/>
      <c r="W229" s="168"/>
    </row>
    <row r="230" spans="1:23" ht="15.75" x14ac:dyDescent="0.25">
      <c r="A230" s="106" t="s">
        <v>7</v>
      </c>
      <c r="B230" s="107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7"/>
      <c r="R230" s="107"/>
      <c r="S230" s="107"/>
      <c r="T230" s="107"/>
      <c r="U230" s="107"/>
      <c r="V230" s="107"/>
      <c r="W230" s="110"/>
    </row>
    <row r="231" spans="1:23" x14ac:dyDescent="0.25">
      <c r="A231" s="113" t="s">
        <v>8</v>
      </c>
      <c r="B231" s="114" t="s">
        <v>9</v>
      </c>
      <c r="C231" s="114" t="s">
        <v>10</v>
      </c>
      <c r="D231" s="114" t="s">
        <v>11</v>
      </c>
      <c r="E231" s="114" t="s">
        <v>12</v>
      </c>
      <c r="F231" s="114" t="s">
        <v>13</v>
      </c>
      <c r="G231" s="114" t="s">
        <v>14</v>
      </c>
      <c r="H231" s="114"/>
      <c r="I231" s="114"/>
      <c r="J231" s="114"/>
      <c r="K231" s="114"/>
      <c r="L231" s="114"/>
      <c r="M231" s="114" t="s">
        <v>15</v>
      </c>
      <c r="N231" s="114" t="s">
        <v>16</v>
      </c>
      <c r="O231" s="114" t="s">
        <v>17</v>
      </c>
      <c r="P231" s="114" t="s">
        <v>18</v>
      </c>
      <c r="Q231" s="114" t="s">
        <v>19</v>
      </c>
      <c r="R231" s="114"/>
      <c r="S231" s="114"/>
      <c r="T231" s="114"/>
      <c r="U231" s="114"/>
      <c r="V231" s="114"/>
      <c r="W231" s="115" t="s">
        <v>20</v>
      </c>
    </row>
    <row r="232" spans="1:23" x14ac:dyDescent="0.25">
      <c r="A232" s="113"/>
      <c r="B232" s="114"/>
      <c r="C232" s="114"/>
      <c r="D232" s="114"/>
      <c r="E232" s="114"/>
      <c r="F232" s="114"/>
      <c r="G232" s="31" t="s">
        <v>21</v>
      </c>
      <c r="H232" s="31" t="s">
        <v>21</v>
      </c>
      <c r="I232" s="31" t="s">
        <v>21</v>
      </c>
      <c r="J232" s="31" t="s">
        <v>22</v>
      </c>
      <c r="K232" s="31" t="s">
        <v>22</v>
      </c>
      <c r="L232" s="32" t="s">
        <v>22</v>
      </c>
      <c r="M232" s="138"/>
      <c r="N232" s="114"/>
      <c r="O232" s="114"/>
      <c r="P232" s="114"/>
      <c r="Q232" s="31" t="s">
        <v>21</v>
      </c>
      <c r="R232" s="31" t="s">
        <v>21</v>
      </c>
      <c r="S232" s="31" t="s">
        <v>21</v>
      </c>
      <c r="T232" s="31" t="s">
        <v>22</v>
      </c>
      <c r="U232" s="31" t="s">
        <v>22</v>
      </c>
      <c r="V232" s="31" t="s">
        <v>22</v>
      </c>
      <c r="W232" s="115"/>
    </row>
    <row r="233" spans="1:23" ht="15.75" x14ac:dyDescent="0.25">
      <c r="A233" s="5">
        <v>1</v>
      </c>
      <c r="B233" s="21" t="s">
        <v>325</v>
      </c>
      <c r="C233" s="20">
        <v>45917</v>
      </c>
      <c r="D233" s="36">
        <v>45993</v>
      </c>
      <c r="E233" s="21">
        <v>3</v>
      </c>
      <c r="F233" s="21">
        <v>0</v>
      </c>
      <c r="G233" s="21">
        <v>159</v>
      </c>
      <c r="H233" s="21">
        <v>146</v>
      </c>
      <c r="I233" s="21"/>
      <c r="J233" s="21">
        <v>146</v>
      </c>
      <c r="K233" s="24"/>
      <c r="L233" s="29"/>
      <c r="M233" s="72">
        <f>AVERAGE(G233:L233)</f>
        <v>150.33333333333334</v>
      </c>
      <c r="N233" s="70">
        <v>46028</v>
      </c>
      <c r="O233" s="21">
        <v>3</v>
      </c>
      <c r="P233" s="21">
        <v>0</v>
      </c>
      <c r="Q233" s="21">
        <v>352</v>
      </c>
      <c r="R233" s="21">
        <v>285</v>
      </c>
      <c r="S233" s="21"/>
      <c r="T233" s="21">
        <v>324</v>
      </c>
      <c r="U233" s="21"/>
      <c r="V233" s="21"/>
      <c r="W233" s="40">
        <f>AVERAGE(Q233:V233)</f>
        <v>320.33333333333331</v>
      </c>
    </row>
    <row r="234" spans="1:23" ht="15.75" x14ac:dyDescent="0.25">
      <c r="A234" s="6">
        <v>2</v>
      </c>
      <c r="B234" s="21" t="s">
        <v>325</v>
      </c>
      <c r="C234" s="13">
        <v>46039</v>
      </c>
      <c r="D234" s="13">
        <v>46109</v>
      </c>
      <c r="E234" s="21">
        <v>3</v>
      </c>
      <c r="F234" s="21">
        <v>0</v>
      </c>
      <c r="G234" s="21">
        <v>115</v>
      </c>
      <c r="H234" s="21">
        <v>138</v>
      </c>
      <c r="I234" s="21"/>
      <c r="J234" s="21">
        <v>153</v>
      </c>
      <c r="K234" s="24"/>
      <c r="L234" s="29"/>
      <c r="M234" s="72">
        <f>AVERAGE(G234:L234)</f>
        <v>135.33333333333334</v>
      </c>
      <c r="N234" s="26">
        <v>46133</v>
      </c>
      <c r="O234" s="21">
        <v>3</v>
      </c>
      <c r="P234" s="21">
        <v>0</v>
      </c>
      <c r="Q234" s="21">
        <v>226</v>
      </c>
      <c r="R234" s="21">
        <v>310</v>
      </c>
      <c r="S234" s="21"/>
      <c r="T234" s="21">
        <v>284</v>
      </c>
      <c r="U234" s="21"/>
      <c r="V234" s="21"/>
      <c r="W234" s="68">
        <f>AVERAGE(Q234:V234)</f>
        <v>273.33333333333331</v>
      </c>
    </row>
    <row r="235" spans="1:23" ht="15.75" x14ac:dyDescent="0.25">
      <c r="A235" s="6">
        <v>3</v>
      </c>
      <c r="B235" s="8" t="s">
        <v>244</v>
      </c>
      <c r="C235" s="13">
        <v>46148</v>
      </c>
      <c r="D235" s="8"/>
      <c r="E235" s="21"/>
      <c r="F235" s="21"/>
      <c r="G235" s="21"/>
      <c r="H235" s="21"/>
      <c r="I235" s="21"/>
      <c r="J235" s="21"/>
      <c r="K235" s="21"/>
      <c r="L235" s="44"/>
      <c r="M235" s="44"/>
      <c r="N235" s="21"/>
      <c r="O235" s="21"/>
      <c r="P235" s="21"/>
      <c r="Q235" s="21"/>
      <c r="R235" s="21"/>
      <c r="S235" s="21"/>
      <c r="T235" s="21"/>
      <c r="U235" s="21"/>
      <c r="V235" s="21"/>
      <c r="W235" s="22"/>
    </row>
    <row r="236" spans="1:23" ht="15.75" x14ac:dyDescent="0.25">
      <c r="A236" s="5">
        <v>4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</row>
    <row r="237" spans="1:23" ht="15.75" x14ac:dyDescent="0.25">
      <c r="A237" s="5">
        <v>5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</row>
    <row r="238" spans="1:23" ht="16.5" thickBot="1" x14ac:dyDescent="0.3">
      <c r="A238" s="7">
        <v>6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</sheetData>
  <mergeCells count="481">
    <mergeCell ref="W231:W232"/>
    <mergeCell ref="G231:L231"/>
    <mergeCell ref="M231:M232"/>
    <mergeCell ref="N231:N232"/>
    <mergeCell ref="O231:O232"/>
    <mergeCell ref="P231:P232"/>
    <mergeCell ref="Q231:V231"/>
    <mergeCell ref="A230:B230"/>
    <mergeCell ref="C230:N230"/>
    <mergeCell ref="O230:P230"/>
    <mergeCell ref="Q230:W230"/>
    <mergeCell ref="A231:A232"/>
    <mergeCell ref="B231:B232"/>
    <mergeCell ref="C231:C232"/>
    <mergeCell ref="D231:D232"/>
    <mergeCell ref="E231:E232"/>
    <mergeCell ref="F231:F232"/>
    <mergeCell ref="A229:B229"/>
    <mergeCell ref="G229:H229"/>
    <mergeCell ref="I229:N229"/>
    <mergeCell ref="O229:P229"/>
    <mergeCell ref="Q229:W229"/>
    <mergeCell ref="G219:L219"/>
    <mergeCell ref="M219:M220"/>
    <mergeCell ref="N219:N220"/>
    <mergeCell ref="O219:O220"/>
    <mergeCell ref="P219:P220"/>
    <mergeCell ref="Q219:V219"/>
    <mergeCell ref="E229:F229"/>
    <mergeCell ref="C229:D229"/>
    <mergeCell ref="A218:B218"/>
    <mergeCell ref="C218:N218"/>
    <mergeCell ref="O218:P218"/>
    <mergeCell ref="Q218:W218"/>
    <mergeCell ref="A219:A220"/>
    <mergeCell ref="B219:B220"/>
    <mergeCell ref="C219:C220"/>
    <mergeCell ref="D219:D220"/>
    <mergeCell ref="E219:E220"/>
    <mergeCell ref="F219:F220"/>
    <mergeCell ref="W219:W220"/>
    <mergeCell ref="A217:B217"/>
    <mergeCell ref="G217:H217"/>
    <mergeCell ref="I217:N217"/>
    <mergeCell ref="O217:P217"/>
    <mergeCell ref="Q217:W217"/>
    <mergeCell ref="G207:L207"/>
    <mergeCell ref="M207:M208"/>
    <mergeCell ref="N207:N208"/>
    <mergeCell ref="O207:O208"/>
    <mergeCell ref="P207:P208"/>
    <mergeCell ref="Q207:V207"/>
    <mergeCell ref="E217:F217"/>
    <mergeCell ref="C217:D217"/>
    <mergeCell ref="A206:B206"/>
    <mergeCell ref="C206:N206"/>
    <mergeCell ref="O206:P206"/>
    <mergeCell ref="Q206:W206"/>
    <mergeCell ref="A207:A208"/>
    <mergeCell ref="B207:B208"/>
    <mergeCell ref="C207:C208"/>
    <mergeCell ref="D207:D208"/>
    <mergeCell ref="E207:E208"/>
    <mergeCell ref="F207:F208"/>
    <mergeCell ref="W207:W208"/>
    <mergeCell ref="A205:B205"/>
    <mergeCell ref="G205:H205"/>
    <mergeCell ref="I205:N205"/>
    <mergeCell ref="O205:P205"/>
    <mergeCell ref="Q205:W205"/>
    <mergeCell ref="G195:L195"/>
    <mergeCell ref="M195:M196"/>
    <mergeCell ref="N195:N196"/>
    <mergeCell ref="O195:O196"/>
    <mergeCell ref="P195:P196"/>
    <mergeCell ref="Q195:V195"/>
    <mergeCell ref="E205:F205"/>
    <mergeCell ref="C205:D205"/>
    <mergeCell ref="A194:B194"/>
    <mergeCell ref="C194:N194"/>
    <mergeCell ref="O194:P194"/>
    <mergeCell ref="Q194:W194"/>
    <mergeCell ref="A195:A196"/>
    <mergeCell ref="B195:B196"/>
    <mergeCell ref="C195:C196"/>
    <mergeCell ref="D195:D196"/>
    <mergeCell ref="E195:E196"/>
    <mergeCell ref="F195:F196"/>
    <mergeCell ref="W195:W196"/>
    <mergeCell ref="A193:B193"/>
    <mergeCell ref="G193:H193"/>
    <mergeCell ref="I193:N193"/>
    <mergeCell ref="O193:P193"/>
    <mergeCell ref="Q193:W193"/>
    <mergeCell ref="G183:L183"/>
    <mergeCell ref="M183:M184"/>
    <mergeCell ref="N183:N184"/>
    <mergeCell ref="O183:O184"/>
    <mergeCell ref="P183:P184"/>
    <mergeCell ref="Q183:V183"/>
    <mergeCell ref="E193:F193"/>
    <mergeCell ref="C193:D193"/>
    <mergeCell ref="A182:B182"/>
    <mergeCell ref="C182:N182"/>
    <mergeCell ref="O182:P182"/>
    <mergeCell ref="Q182:W182"/>
    <mergeCell ref="A183:A184"/>
    <mergeCell ref="B183:B184"/>
    <mergeCell ref="C183:C184"/>
    <mergeCell ref="D183:D184"/>
    <mergeCell ref="E183:E184"/>
    <mergeCell ref="F183:F184"/>
    <mergeCell ref="W183:W184"/>
    <mergeCell ref="A181:B181"/>
    <mergeCell ref="G181:H181"/>
    <mergeCell ref="I181:N181"/>
    <mergeCell ref="O181:P181"/>
    <mergeCell ref="Q181:W181"/>
    <mergeCell ref="G171:L171"/>
    <mergeCell ref="M171:M172"/>
    <mergeCell ref="N171:N172"/>
    <mergeCell ref="O171:O172"/>
    <mergeCell ref="P171:P172"/>
    <mergeCell ref="Q171:V171"/>
    <mergeCell ref="E181:F181"/>
    <mergeCell ref="C181:D181"/>
    <mergeCell ref="A170:B170"/>
    <mergeCell ref="C170:N170"/>
    <mergeCell ref="O170:P170"/>
    <mergeCell ref="Q170:W170"/>
    <mergeCell ref="A171:A172"/>
    <mergeCell ref="B171:B172"/>
    <mergeCell ref="C171:C172"/>
    <mergeCell ref="D171:D172"/>
    <mergeCell ref="E171:E172"/>
    <mergeCell ref="F171:F172"/>
    <mergeCell ref="W171:W172"/>
    <mergeCell ref="M161:M162"/>
    <mergeCell ref="A169:B169"/>
    <mergeCell ref="G169:H169"/>
    <mergeCell ref="I169:N169"/>
    <mergeCell ref="O169:P169"/>
    <mergeCell ref="Q169:W169"/>
    <mergeCell ref="G159:L159"/>
    <mergeCell ref="M159:M160"/>
    <mergeCell ref="N159:N160"/>
    <mergeCell ref="O159:O160"/>
    <mergeCell ref="P159:P160"/>
    <mergeCell ref="Q159:V159"/>
    <mergeCell ref="E169:F169"/>
    <mergeCell ref="C169:D169"/>
    <mergeCell ref="A158:B158"/>
    <mergeCell ref="C158:N158"/>
    <mergeCell ref="O158:P158"/>
    <mergeCell ref="Q158:W158"/>
    <mergeCell ref="A159:A160"/>
    <mergeCell ref="B159:B160"/>
    <mergeCell ref="C159:C160"/>
    <mergeCell ref="D159:D160"/>
    <mergeCell ref="E159:E160"/>
    <mergeCell ref="F159:F160"/>
    <mergeCell ref="W159:W160"/>
    <mergeCell ref="A157:B157"/>
    <mergeCell ref="G157:H157"/>
    <mergeCell ref="I157:N157"/>
    <mergeCell ref="O157:P157"/>
    <mergeCell ref="Q157:W157"/>
    <mergeCell ref="G147:L147"/>
    <mergeCell ref="M147:M148"/>
    <mergeCell ref="N147:N148"/>
    <mergeCell ref="O147:O148"/>
    <mergeCell ref="P147:P148"/>
    <mergeCell ref="Q147:V147"/>
    <mergeCell ref="E157:F157"/>
    <mergeCell ref="C157:D157"/>
    <mergeCell ref="A146:B146"/>
    <mergeCell ref="C146:N146"/>
    <mergeCell ref="O146:P146"/>
    <mergeCell ref="Q146:W146"/>
    <mergeCell ref="A147:A148"/>
    <mergeCell ref="B147:B148"/>
    <mergeCell ref="C147:C148"/>
    <mergeCell ref="D147:D148"/>
    <mergeCell ref="E147:E148"/>
    <mergeCell ref="F147:F148"/>
    <mergeCell ref="W147:W148"/>
    <mergeCell ref="A145:B145"/>
    <mergeCell ref="G145:H145"/>
    <mergeCell ref="I145:N145"/>
    <mergeCell ref="O145:P145"/>
    <mergeCell ref="Q145:W145"/>
    <mergeCell ref="G135:L135"/>
    <mergeCell ref="M135:M136"/>
    <mergeCell ref="N135:N136"/>
    <mergeCell ref="O135:O136"/>
    <mergeCell ref="P135:P136"/>
    <mergeCell ref="Q135:V135"/>
    <mergeCell ref="E145:F145"/>
    <mergeCell ref="C145:D145"/>
    <mergeCell ref="A134:B134"/>
    <mergeCell ref="C134:N134"/>
    <mergeCell ref="O134:P134"/>
    <mergeCell ref="Q134:W134"/>
    <mergeCell ref="A135:A136"/>
    <mergeCell ref="B135:B136"/>
    <mergeCell ref="C135:C136"/>
    <mergeCell ref="D135:D136"/>
    <mergeCell ref="E135:E136"/>
    <mergeCell ref="F135:F136"/>
    <mergeCell ref="W135:W136"/>
    <mergeCell ref="A133:B133"/>
    <mergeCell ref="G133:H133"/>
    <mergeCell ref="I133:N133"/>
    <mergeCell ref="O133:P133"/>
    <mergeCell ref="Q133:W133"/>
    <mergeCell ref="G123:L123"/>
    <mergeCell ref="M123:M124"/>
    <mergeCell ref="N123:N124"/>
    <mergeCell ref="O123:O124"/>
    <mergeCell ref="P123:P124"/>
    <mergeCell ref="Q123:V123"/>
    <mergeCell ref="E133:F133"/>
    <mergeCell ref="C133:D133"/>
    <mergeCell ref="A122:B122"/>
    <mergeCell ref="C122:N122"/>
    <mergeCell ref="O122:P122"/>
    <mergeCell ref="Q122:W122"/>
    <mergeCell ref="A123:A124"/>
    <mergeCell ref="B123:B124"/>
    <mergeCell ref="C123:C124"/>
    <mergeCell ref="D123:D124"/>
    <mergeCell ref="E123:E124"/>
    <mergeCell ref="F123:F124"/>
    <mergeCell ref="W123:W124"/>
    <mergeCell ref="A121:B121"/>
    <mergeCell ref="G121:H121"/>
    <mergeCell ref="I121:N121"/>
    <mergeCell ref="O121:P121"/>
    <mergeCell ref="Q121:W121"/>
    <mergeCell ref="G111:L111"/>
    <mergeCell ref="M111:M112"/>
    <mergeCell ref="N111:N112"/>
    <mergeCell ref="O111:O112"/>
    <mergeCell ref="P111:P112"/>
    <mergeCell ref="Q111:V111"/>
    <mergeCell ref="E121:F121"/>
    <mergeCell ref="C121:D121"/>
    <mergeCell ref="A110:B110"/>
    <mergeCell ref="C110:N110"/>
    <mergeCell ref="O110:P110"/>
    <mergeCell ref="Q110:W110"/>
    <mergeCell ref="A111:A112"/>
    <mergeCell ref="B111:B112"/>
    <mergeCell ref="C111:C112"/>
    <mergeCell ref="D111:D112"/>
    <mergeCell ref="E111:E112"/>
    <mergeCell ref="F111:F112"/>
    <mergeCell ref="W111:W112"/>
    <mergeCell ref="A109:B109"/>
    <mergeCell ref="G109:H109"/>
    <mergeCell ref="I109:N109"/>
    <mergeCell ref="O109:P109"/>
    <mergeCell ref="Q109:W109"/>
    <mergeCell ref="G99:L99"/>
    <mergeCell ref="M99:M100"/>
    <mergeCell ref="N99:N100"/>
    <mergeCell ref="O99:O100"/>
    <mergeCell ref="P99:P100"/>
    <mergeCell ref="Q99:V99"/>
    <mergeCell ref="E109:F109"/>
    <mergeCell ref="C109:D109"/>
    <mergeCell ref="A98:B98"/>
    <mergeCell ref="C98:N98"/>
    <mergeCell ref="O98:P98"/>
    <mergeCell ref="Q98:W98"/>
    <mergeCell ref="A99:A100"/>
    <mergeCell ref="B99:B100"/>
    <mergeCell ref="C99:C100"/>
    <mergeCell ref="D99:D100"/>
    <mergeCell ref="E99:E100"/>
    <mergeCell ref="F99:F100"/>
    <mergeCell ref="W99:W100"/>
    <mergeCell ref="A97:B97"/>
    <mergeCell ref="G97:H97"/>
    <mergeCell ref="I97:N97"/>
    <mergeCell ref="O97:P97"/>
    <mergeCell ref="Q97:W97"/>
    <mergeCell ref="G87:L87"/>
    <mergeCell ref="M87:M88"/>
    <mergeCell ref="N87:N88"/>
    <mergeCell ref="O87:O88"/>
    <mergeCell ref="P87:P88"/>
    <mergeCell ref="Q87:V87"/>
    <mergeCell ref="E97:F97"/>
    <mergeCell ref="C97:D97"/>
    <mergeCell ref="A86:B86"/>
    <mergeCell ref="C86:N86"/>
    <mergeCell ref="O86:P86"/>
    <mergeCell ref="Q86:W86"/>
    <mergeCell ref="A87:A88"/>
    <mergeCell ref="B87:B88"/>
    <mergeCell ref="C87:C88"/>
    <mergeCell ref="D87:D88"/>
    <mergeCell ref="E87:E88"/>
    <mergeCell ref="F87:F88"/>
    <mergeCell ref="W87:W88"/>
    <mergeCell ref="A85:B85"/>
    <mergeCell ref="G85:H85"/>
    <mergeCell ref="I85:N85"/>
    <mergeCell ref="O85:P85"/>
    <mergeCell ref="Q85:W85"/>
    <mergeCell ref="G75:L75"/>
    <mergeCell ref="M75:M76"/>
    <mergeCell ref="N75:N76"/>
    <mergeCell ref="O75:O76"/>
    <mergeCell ref="P75:P76"/>
    <mergeCell ref="Q75:V75"/>
    <mergeCell ref="E85:F85"/>
    <mergeCell ref="C85:D85"/>
    <mergeCell ref="A74:B74"/>
    <mergeCell ref="C74:N74"/>
    <mergeCell ref="O74:P74"/>
    <mergeCell ref="Q74:W74"/>
    <mergeCell ref="A75:A76"/>
    <mergeCell ref="B75:B76"/>
    <mergeCell ref="C75:C76"/>
    <mergeCell ref="D75:D76"/>
    <mergeCell ref="E75:E76"/>
    <mergeCell ref="F75:F76"/>
    <mergeCell ref="W75:W76"/>
    <mergeCell ref="A73:B73"/>
    <mergeCell ref="G73:H73"/>
    <mergeCell ref="I73:N73"/>
    <mergeCell ref="O73:P73"/>
    <mergeCell ref="Q73:W73"/>
    <mergeCell ref="G63:L63"/>
    <mergeCell ref="M63:M64"/>
    <mergeCell ref="N63:N64"/>
    <mergeCell ref="O63:O64"/>
    <mergeCell ref="P63:P64"/>
    <mergeCell ref="Q63:V63"/>
    <mergeCell ref="E73:F73"/>
    <mergeCell ref="C73:D73"/>
    <mergeCell ref="A62:B62"/>
    <mergeCell ref="C62:N62"/>
    <mergeCell ref="O62:P62"/>
    <mergeCell ref="Q62:W62"/>
    <mergeCell ref="A63:A64"/>
    <mergeCell ref="B63:B64"/>
    <mergeCell ref="C63:C64"/>
    <mergeCell ref="D63:D64"/>
    <mergeCell ref="E63:E64"/>
    <mergeCell ref="F63:F64"/>
    <mergeCell ref="W63:W64"/>
    <mergeCell ref="A61:B61"/>
    <mergeCell ref="G61:H61"/>
    <mergeCell ref="I61:N61"/>
    <mergeCell ref="O61:P61"/>
    <mergeCell ref="Q61:W61"/>
    <mergeCell ref="G51:L51"/>
    <mergeCell ref="M51:M52"/>
    <mergeCell ref="N51:N52"/>
    <mergeCell ref="O51:O52"/>
    <mergeCell ref="P51:P52"/>
    <mergeCell ref="Q51:V51"/>
    <mergeCell ref="E61:F61"/>
    <mergeCell ref="C61:D61"/>
    <mergeCell ref="A50:B50"/>
    <mergeCell ref="C50:N50"/>
    <mergeCell ref="O50:P50"/>
    <mergeCell ref="Q50:W50"/>
    <mergeCell ref="A51:A52"/>
    <mergeCell ref="B51:B52"/>
    <mergeCell ref="C51:C52"/>
    <mergeCell ref="D51:D52"/>
    <mergeCell ref="E51:E52"/>
    <mergeCell ref="F51:F52"/>
    <mergeCell ref="W51:W52"/>
    <mergeCell ref="A49:B49"/>
    <mergeCell ref="G49:H49"/>
    <mergeCell ref="I49:N49"/>
    <mergeCell ref="O49:P49"/>
    <mergeCell ref="Q49:W49"/>
    <mergeCell ref="G39:L39"/>
    <mergeCell ref="M39:M40"/>
    <mergeCell ref="N39:N40"/>
    <mergeCell ref="O39:O40"/>
    <mergeCell ref="P39:P40"/>
    <mergeCell ref="Q39:V39"/>
    <mergeCell ref="E49:F49"/>
    <mergeCell ref="C49:D49"/>
    <mergeCell ref="A38:B38"/>
    <mergeCell ref="C38:N38"/>
    <mergeCell ref="O38:P38"/>
    <mergeCell ref="Q38:W38"/>
    <mergeCell ref="A39:A40"/>
    <mergeCell ref="B39:B40"/>
    <mergeCell ref="C39:C40"/>
    <mergeCell ref="D39:D40"/>
    <mergeCell ref="E39:E40"/>
    <mergeCell ref="F39:F40"/>
    <mergeCell ref="W39:W40"/>
    <mergeCell ref="A37:B37"/>
    <mergeCell ref="G37:H37"/>
    <mergeCell ref="I37:N37"/>
    <mergeCell ref="O37:P37"/>
    <mergeCell ref="Q37:W37"/>
    <mergeCell ref="G27:L27"/>
    <mergeCell ref="M27:M28"/>
    <mergeCell ref="N27:N28"/>
    <mergeCell ref="O27:O28"/>
    <mergeCell ref="P27:P28"/>
    <mergeCell ref="Q27:V27"/>
    <mergeCell ref="E37:F37"/>
    <mergeCell ref="C37:D37"/>
    <mergeCell ref="A26:B26"/>
    <mergeCell ref="C26:N26"/>
    <mergeCell ref="O26:P26"/>
    <mergeCell ref="Q26:W26"/>
    <mergeCell ref="A27:A28"/>
    <mergeCell ref="B27:B28"/>
    <mergeCell ref="C27:C28"/>
    <mergeCell ref="D27:D28"/>
    <mergeCell ref="E27:E28"/>
    <mergeCell ref="F27:F28"/>
    <mergeCell ref="W27:W28"/>
    <mergeCell ref="A25:B25"/>
    <mergeCell ref="G25:H25"/>
    <mergeCell ref="I25:N25"/>
    <mergeCell ref="O25:P25"/>
    <mergeCell ref="Q25:W25"/>
    <mergeCell ref="G15:L15"/>
    <mergeCell ref="M15:M16"/>
    <mergeCell ref="N15:N16"/>
    <mergeCell ref="O15:O16"/>
    <mergeCell ref="P15:P16"/>
    <mergeCell ref="Q15:V15"/>
    <mergeCell ref="E25:F25"/>
    <mergeCell ref="C25:D25"/>
    <mergeCell ref="A14:B14"/>
    <mergeCell ref="C14:N14"/>
    <mergeCell ref="O14:P14"/>
    <mergeCell ref="Q14:W14"/>
    <mergeCell ref="A15:A16"/>
    <mergeCell ref="B15:B16"/>
    <mergeCell ref="C15:C16"/>
    <mergeCell ref="D15:D16"/>
    <mergeCell ref="E15:E16"/>
    <mergeCell ref="F15:F16"/>
    <mergeCell ref="W15:W16"/>
    <mergeCell ref="A3:A4"/>
    <mergeCell ref="B3:B4"/>
    <mergeCell ref="C3:C4"/>
    <mergeCell ref="D3:D4"/>
    <mergeCell ref="E3:E4"/>
    <mergeCell ref="F3:F4"/>
    <mergeCell ref="W3:W4"/>
    <mergeCell ref="A13:B13"/>
    <mergeCell ref="G13:H13"/>
    <mergeCell ref="I13:N13"/>
    <mergeCell ref="O13:P13"/>
    <mergeCell ref="Q13:W13"/>
    <mergeCell ref="G3:L3"/>
    <mergeCell ref="M3:M4"/>
    <mergeCell ref="N3:N4"/>
    <mergeCell ref="O3:O4"/>
    <mergeCell ref="P3:P4"/>
    <mergeCell ref="Q3:V3"/>
    <mergeCell ref="C13:D13"/>
    <mergeCell ref="E13:F13"/>
    <mergeCell ref="A1:B1"/>
    <mergeCell ref="G1:H1"/>
    <mergeCell ref="I1:N1"/>
    <mergeCell ref="O1:P1"/>
    <mergeCell ref="Q1:W1"/>
    <mergeCell ref="A2:B2"/>
    <mergeCell ref="C2:N2"/>
    <mergeCell ref="O2:P2"/>
    <mergeCell ref="Q2:W2"/>
    <mergeCell ref="E1:F1"/>
    <mergeCell ref="C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23C8-B507-4EB9-8149-D143384A1081}">
  <dimension ref="A1:W214"/>
  <sheetViews>
    <sheetView topLeftCell="A155" workbookViewId="0">
      <selection activeCell="C49" sqref="C49:D49"/>
    </sheetView>
  </sheetViews>
  <sheetFormatPr baseColWidth="10" defaultRowHeight="15" x14ac:dyDescent="0.25"/>
  <cols>
    <col min="2" max="2" width="8.7109375" customWidth="1"/>
    <col min="3" max="4" width="12.7109375" bestFit="1" customWidth="1"/>
    <col min="5" max="5" width="9" customWidth="1"/>
    <col min="7" max="7" width="6.28515625" customWidth="1"/>
    <col min="8" max="8" width="6.140625" customWidth="1"/>
    <col min="9" max="9" width="5.7109375" customWidth="1"/>
    <col min="10" max="10" width="4.85546875" customWidth="1"/>
    <col min="11" max="11" width="5.42578125" customWidth="1"/>
    <col min="12" max="12" width="5.140625" customWidth="1"/>
    <col min="13" max="13" width="9.5703125" customWidth="1"/>
    <col min="14" max="14" width="12.5703125" customWidth="1"/>
    <col min="17" max="17" width="5.85546875" customWidth="1"/>
    <col min="18" max="18" width="5.42578125" customWidth="1"/>
    <col min="19" max="19" width="4.85546875" customWidth="1"/>
    <col min="20" max="20" width="5.140625" customWidth="1"/>
    <col min="21" max="21" width="5.28515625" customWidth="1"/>
    <col min="22" max="22" width="6.140625" customWidth="1"/>
    <col min="23" max="23" width="10.140625" customWidth="1"/>
  </cols>
  <sheetData>
    <row r="1" spans="1:23" ht="15.75" x14ac:dyDescent="0.25">
      <c r="A1" s="156" t="s">
        <v>260</v>
      </c>
      <c r="B1" s="157"/>
      <c r="C1" s="111" t="s">
        <v>328</v>
      </c>
      <c r="D1" s="112"/>
      <c r="E1" s="111" t="s">
        <v>418</v>
      </c>
      <c r="F1" s="112"/>
      <c r="G1" s="103" t="s">
        <v>4</v>
      </c>
      <c r="H1" s="157"/>
      <c r="I1" s="111" t="s">
        <v>359</v>
      </c>
      <c r="J1" s="158"/>
      <c r="K1" s="158"/>
      <c r="L1" s="158"/>
      <c r="M1" s="158"/>
      <c r="N1" s="112"/>
      <c r="O1" s="103" t="s">
        <v>6</v>
      </c>
      <c r="P1" s="157"/>
      <c r="Q1" s="166">
        <v>45828</v>
      </c>
      <c r="R1" s="167"/>
      <c r="S1" s="167"/>
      <c r="T1" s="167"/>
      <c r="U1" s="167"/>
      <c r="V1" s="167"/>
      <c r="W1" s="168"/>
    </row>
    <row r="2" spans="1:23" ht="15.75" x14ac:dyDescent="0.25">
      <c r="A2" s="144" t="s">
        <v>7</v>
      </c>
      <c r="B2" s="145"/>
      <c r="C2" s="146" t="s">
        <v>44</v>
      </c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3"/>
      <c r="O2" s="135"/>
      <c r="P2" s="137"/>
      <c r="Q2" s="149"/>
      <c r="R2" s="150"/>
      <c r="S2" s="150"/>
      <c r="T2" s="150"/>
      <c r="U2" s="150"/>
      <c r="V2" s="150"/>
      <c r="W2" s="151"/>
    </row>
    <row r="3" spans="1:23" x14ac:dyDescent="0.25">
      <c r="A3" s="152" t="s">
        <v>8</v>
      </c>
      <c r="B3" s="138" t="s">
        <v>9</v>
      </c>
      <c r="C3" s="138" t="s">
        <v>10</v>
      </c>
      <c r="D3" s="138" t="s">
        <v>11</v>
      </c>
      <c r="E3" s="138" t="s">
        <v>12</v>
      </c>
      <c r="F3" s="138" t="s">
        <v>13</v>
      </c>
      <c r="G3" s="140" t="s">
        <v>14</v>
      </c>
      <c r="H3" s="141"/>
      <c r="I3" s="141"/>
      <c r="J3" s="141"/>
      <c r="K3" s="141"/>
      <c r="L3" s="142"/>
      <c r="M3" s="138" t="s">
        <v>15</v>
      </c>
      <c r="N3" s="138" t="s">
        <v>16</v>
      </c>
      <c r="O3" s="138" t="s">
        <v>17</v>
      </c>
      <c r="P3" s="138" t="s">
        <v>18</v>
      </c>
      <c r="Q3" s="140" t="s">
        <v>19</v>
      </c>
      <c r="R3" s="141"/>
      <c r="S3" s="141"/>
      <c r="T3" s="141"/>
      <c r="U3" s="141"/>
      <c r="V3" s="142"/>
      <c r="W3" s="154" t="s">
        <v>20</v>
      </c>
    </row>
    <row r="4" spans="1:23" x14ac:dyDescent="0.25">
      <c r="A4" s="153"/>
      <c r="B4" s="139"/>
      <c r="C4" s="139"/>
      <c r="D4" s="139"/>
      <c r="E4" s="139"/>
      <c r="F4" s="139"/>
      <c r="G4" s="31" t="s">
        <v>21</v>
      </c>
      <c r="H4" s="31" t="s">
        <v>21</v>
      </c>
      <c r="I4" s="31" t="s">
        <v>21</v>
      </c>
      <c r="J4" s="31" t="s">
        <v>22</v>
      </c>
      <c r="K4" s="31" t="s">
        <v>22</v>
      </c>
      <c r="L4" s="32" t="s">
        <v>22</v>
      </c>
      <c r="M4" s="169"/>
      <c r="N4" s="139"/>
      <c r="O4" s="139"/>
      <c r="P4" s="139"/>
      <c r="Q4" s="31" t="s">
        <v>21</v>
      </c>
      <c r="R4" s="31" t="s">
        <v>21</v>
      </c>
      <c r="S4" s="31" t="s">
        <v>21</v>
      </c>
      <c r="T4" s="31" t="s">
        <v>22</v>
      </c>
      <c r="U4" s="31" t="s">
        <v>22</v>
      </c>
      <c r="V4" s="31" t="s">
        <v>22</v>
      </c>
      <c r="W4" s="155"/>
    </row>
    <row r="5" spans="1:23" ht="15.75" x14ac:dyDescent="0.25">
      <c r="A5" s="5">
        <v>1</v>
      </c>
      <c r="B5" s="21" t="s">
        <v>325</v>
      </c>
      <c r="C5" s="20">
        <v>45917</v>
      </c>
      <c r="D5" s="36">
        <v>45985</v>
      </c>
      <c r="E5" s="21">
        <v>2</v>
      </c>
      <c r="F5" s="21">
        <v>0</v>
      </c>
      <c r="G5" s="21">
        <v>136</v>
      </c>
      <c r="H5" s="21">
        <v>124</v>
      </c>
      <c r="I5" s="21"/>
      <c r="J5" s="21"/>
      <c r="K5" s="24"/>
      <c r="L5" s="58"/>
      <c r="M5" s="31">
        <f>AVERAGE(G5:L5)</f>
        <v>130</v>
      </c>
      <c r="N5" s="70">
        <v>45663</v>
      </c>
      <c r="O5" s="21">
        <v>2</v>
      </c>
      <c r="P5" s="21">
        <v>0</v>
      </c>
      <c r="Q5" s="21">
        <v>425</v>
      </c>
      <c r="R5" s="21">
        <v>303</v>
      </c>
      <c r="S5" s="21"/>
      <c r="T5" s="21"/>
      <c r="U5" s="21"/>
      <c r="V5" s="21"/>
      <c r="W5" s="22">
        <f>AVERAGE(Q5:V5)</f>
        <v>364</v>
      </c>
    </row>
    <row r="6" spans="1:23" ht="15.75" x14ac:dyDescent="0.25">
      <c r="A6" s="6">
        <v>2</v>
      </c>
      <c r="B6" s="21"/>
      <c r="C6" s="8"/>
      <c r="D6" s="8"/>
      <c r="E6" s="8"/>
      <c r="F6" s="8"/>
      <c r="G6" s="8"/>
      <c r="H6" s="8"/>
      <c r="I6" s="8"/>
      <c r="J6" s="8"/>
      <c r="K6" s="25"/>
      <c r="L6" s="71"/>
      <c r="M6" s="63"/>
      <c r="N6" s="26"/>
      <c r="O6" s="8"/>
      <c r="P6" s="8"/>
      <c r="Q6" s="8"/>
      <c r="R6" s="8"/>
      <c r="S6" s="8"/>
      <c r="T6" s="8"/>
      <c r="U6" s="8"/>
      <c r="V6" s="8"/>
      <c r="W6" s="9"/>
    </row>
    <row r="7" spans="1:23" ht="15.75" x14ac:dyDescent="0.25">
      <c r="A7" s="6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27"/>
      <c r="M7" s="27"/>
      <c r="N7" s="8"/>
      <c r="O7" s="8"/>
      <c r="P7" s="8"/>
      <c r="Q7" s="8"/>
      <c r="R7" s="8"/>
      <c r="S7" s="8"/>
      <c r="T7" s="8"/>
      <c r="U7" s="8"/>
      <c r="V7" s="8"/>
      <c r="W7" s="9"/>
    </row>
    <row r="8" spans="1:23" ht="15.75" x14ac:dyDescent="0.25">
      <c r="A8" s="5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/>
    </row>
    <row r="9" spans="1:23" ht="15.75" x14ac:dyDescent="0.25">
      <c r="A9" s="5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</row>
    <row r="10" spans="1:23" ht="16.5" thickBot="1" x14ac:dyDescent="0.3">
      <c r="A10" s="7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2" spans="1:23" ht="15.75" thickBot="1" x14ac:dyDescent="0.3"/>
    <row r="13" spans="1:23" ht="15.75" x14ac:dyDescent="0.25">
      <c r="A13" s="156" t="s">
        <v>260</v>
      </c>
      <c r="B13" s="157"/>
      <c r="C13" s="111" t="s">
        <v>329</v>
      </c>
      <c r="D13" s="112"/>
      <c r="E13" s="111" t="s">
        <v>418</v>
      </c>
      <c r="F13" s="112"/>
      <c r="G13" s="103" t="s">
        <v>4</v>
      </c>
      <c r="H13" s="157"/>
      <c r="I13" s="111" t="s">
        <v>359</v>
      </c>
      <c r="J13" s="158"/>
      <c r="K13" s="158"/>
      <c r="L13" s="158"/>
      <c r="M13" s="158"/>
      <c r="N13" s="112"/>
      <c r="O13" s="103" t="s">
        <v>6</v>
      </c>
      <c r="P13" s="157"/>
      <c r="Q13" s="166">
        <v>45835</v>
      </c>
      <c r="R13" s="167"/>
      <c r="S13" s="167"/>
      <c r="T13" s="167"/>
      <c r="U13" s="167"/>
      <c r="V13" s="167"/>
      <c r="W13" s="168"/>
    </row>
    <row r="14" spans="1:23" ht="15.75" x14ac:dyDescent="0.25">
      <c r="A14" s="144" t="s">
        <v>7</v>
      </c>
      <c r="B14" s="145"/>
      <c r="C14" s="135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7"/>
      <c r="O14" s="135"/>
      <c r="P14" s="137"/>
      <c r="Q14" s="149"/>
      <c r="R14" s="150"/>
      <c r="S14" s="150"/>
      <c r="T14" s="150"/>
      <c r="U14" s="150"/>
      <c r="V14" s="150"/>
      <c r="W14" s="151"/>
    </row>
    <row r="15" spans="1:23" x14ac:dyDescent="0.25">
      <c r="A15" s="152" t="s">
        <v>8</v>
      </c>
      <c r="B15" s="138" t="s">
        <v>9</v>
      </c>
      <c r="C15" s="138" t="s">
        <v>10</v>
      </c>
      <c r="D15" s="138" t="s">
        <v>11</v>
      </c>
      <c r="E15" s="138" t="s">
        <v>12</v>
      </c>
      <c r="F15" s="138" t="s">
        <v>13</v>
      </c>
      <c r="G15" s="140" t="s">
        <v>14</v>
      </c>
      <c r="H15" s="141"/>
      <c r="I15" s="141"/>
      <c r="J15" s="141"/>
      <c r="K15" s="141"/>
      <c r="L15" s="142"/>
      <c r="M15" s="138" t="s">
        <v>15</v>
      </c>
      <c r="N15" s="138" t="s">
        <v>16</v>
      </c>
      <c r="O15" s="138" t="s">
        <v>17</v>
      </c>
      <c r="P15" s="138" t="s">
        <v>18</v>
      </c>
      <c r="Q15" s="140" t="s">
        <v>19</v>
      </c>
      <c r="R15" s="141"/>
      <c r="S15" s="141"/>
      <c r="T15" s="141"/>
      <c r="U15" s="141"/>
      <c r="V15" s="142"/>
      <c r="W15" s="154" t="s">
        <v>20</v>
      </c>
    </row>
    <row r="16" spans="1:23" x14ac:dyDescent="0.25">
      <c r="A16" s="153"/>
      <c r="B16" s="139"/>
      <c r="C16" s="139"/>
      <c r="D16" s="139"/>
      <c r="E16" s="139"/>
      <c r="F16" s="139"/>
      <c r="G16" s="31" t="s">
        <v>21</v>
      </c>
      <c r="H16" s="31" t="s">
        <v>21</v>
      </c>
      <c r="I16" s="31" t="s">
        <v>21</v>
      </c>
      <c r="J16" s="31" t="s">
        <v>22</v>
      </c>
      <c r="K16" s="31" t="s">
        <v>22</v>
      </c>
      <c r="L16" s="32" t="s">
        <v>22</v>
      </c>
      <c r="M16" s="169"/>
      <c r="N16" s="139"/>
      <c r="O16" s="139"/>
      <c r="P16" s="139"/>
      <c r="Q16" s="31" t="s">
        <v>21</v>
      </c>
      <c r="R16" s="31" t="s">
        <v>21</v>
      </c>
      <c r="S16" s="31" t="s">
        <v>21</v>
      </c>
      <c r="T16" s="31" t="s">
        <v>22</v>
      </c>
      <c r="U16" s="31" t="s">
        <v>22</v>
      </c>
      <c r="V16" s="31" t="s">
        <v>22</v>
      </c>
      <c r="W16" s="155"/>
    </row>
    <row r="17" spans="1:23" ht="15.75" x14ac:dyDescent="0.25">
      <c r="A17" s="5">
        <v>1</v>
      </c>
      <c r="B17" s="21" t="s">
        <v>325</v>
      </c>
      <c r="C17" s="20">
        <v>45917</v>
      </c>
      <c r="D17" s="36">
        <v>45992</v>
      </c>
      <c r="E17" s="21">
        <v>1</v>
      </c>
      <c r="F17" s="21">
        <v>1</v>
      </c>
      <c r="G17" s="21"/>
      <c r="H17" s="21"/>
      <c r="I17" s="21"/>
      <c r="J17" s="21"/>
      <c r="K17" s="24"/>
      <c r="L17" s="58"/>
      <c r="M17" s="63"/>
      <c r="O17" s="21"/>
      <c r="P17" s="21"/>
      <c r="Q17" s="21"/>
      <c r="R17" s="21"/>
      <c r="S17" s="21"/>
      <c r="T17" s="21"/>
      <c r="U17" s="21"/>
      <c r="V17" s="21"/>
      <c r="W17" s="22"/>
    </row>
    <row r="18" spans="1:23" ht="15.75" x14ac:dyDescent="0.25">
      <c r="A18" s="6">
        <v>2</v>
      </c>
      <c r="B18" s="21" t="s">
        <v>325</v>
      </c>
      <c r="C18" s="13">
        <v>46039</v>
      </c>
      <c r="D18" s="13">
        <v>46109</v>
      </c>
      <c r="E18" s="21">
        <v>4</v>
      </c>
      <c r="F18" s="21">
        <v>0</v>
      </c>
      <c r="G18" s="21">
        <v>154</v>
      </c>
      <c r="H18" s="21">
        <v>140</v>
      </c>
      <c r="I18" s="21"/>
      <c r="J18" s="21">
        <v>139</v>
      </c>
      <c r="K18" s="24">
        <v>136</v>
      </c>
      <c r="L18" s="58"/>
      <c r="M18" s="74">
        <f>AVERAGE(G18:L18)</f>
        <v>142.25</v>
      </c>
      <c r="N18" s="26">
        <v>46286</v>
      </c>
      <c r="O18" s="21">
        <v>4</v>
      </c>
      <c r="P18" s="21">
        <v>0</v>
      </c>
      <c r="Q18" s="21">
        <v>317</v>
      </c>
      <c r="R18" s="21">
        <v>330</v>
      </c>
      <c r="S18" s="21"/>
      <c r="T18" s="21">
        <v>283</v>
      </c>
      <c r="U18" s="21">
        <v>315</v>
      </c>
      <c r="V18" s="21"/>
      <c r="W18" s="40">
        <f>AVERAGE(Q18:V18)</f>
        <v>311.25</v>
      </c>
    </row>
    <row r="19" spans="1:23" ht="15.75" x14ac:dyDescent="0.25">
      <c r="A19" s="6">
        <v>3</v>
      </c>
      <c r="B19" s="8" t="s">
        <v>325</v>
      </c>
      <c r="C19" s="13">
        <v>46148</v>
      </c>
      <c r="D19" s="8"/>
      <c r="E19" s="21"/>
      <c r="F19" s="21"/>
      <c r="G19" s="21"/>
      <c r="H19" s="21"/>
      <c r="I19" s="21"/>
      <c r="J19" s="21"/>
      <c r="K19" s="21"/>
      <c r="L19" s="44"/>
      <c r="M19" s="44"/>
      <c r="N19" s="21"/>
      <c r="O19" s="21"/>
      <c r="P19" s="21"/>
      <c r="Q19" s="21"/>
      <c r="R19" s="21"/>
      <c r="S19" s="21"/>
      <c r="T19" s="21"/>
      <c r="U19" s="21"/>
      <c r="V19" s="21"/>
      <c r="W19" s="22"/>
    </row>
    <row r="20" spans="1:23" ht="15.75" x14ac:dyDescent="0.25">
      <c r="A20" s="5">
        <v>4</v>
      </c>
      <c r="B20" s="8"/>
      <c r="C20" s="8"/>
      <c r="D20" s="8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2"/>
    </row>
    <row r="21" spans="1:23" ht="15.75" x14ac:dyDescent="0.25">
      <c r="A21" s="5">
        <v>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ht="16.5" thickBot="1" x14ac:dyDescent="0.3">
      <c r="A22" s="7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4" spans="1:23" ht="15.75" thickBot="1" x14ac:dyDescent="0.3"/>
    <row r="25" spans="1:23" ht="15.75" x14ac:dyDescent="0.25">
      <c r="A25" s="156" t="s">
        <v>260</v>
      </c>
      <c r="B25" s="157"/>
      <c r="C25" s="202" t="s">
        <v>330</v>
      </c>
      <c r="D25" s="203"/>
      <c r="E25" s="111" t="s">
        <v>418</v>
      </c>
      <c r="F25" s="112"/>
      <c r="G25" s="103" t="s">
        <v>4</v>
      </c>
      <c r="H25" s="157"/>
      <c r="I25" s="111" t="s">
        <v>359</v>
      </c>
      <c r="J25" s="158"/>
      <c r="K25" s="158"/>
      <c r="L25" s="158"/>
      <c r="M25" s="158"/>
      <c r="N25" s="112"/>
      <c r="O25" s="103" t="s">
        <v>6</v>
      </c>
      <c r="P25" s="157"/>
      <c r="Q25" s="166">
        <v>45816</v>
      </c>
      <c r="R25" s="167"/>
      <c r="S25" s="167"/>
      <c r="T25" s="167"/>
      <c r="U25" s="167"/>
      <c r="V25" s="167"/>
      <c r="W25" s="168"/>
    </row>
    <row r="26" spans="1:23" ht="15.75" x14ac:dyDescent="0.25">
      <c r="A26" s="144" t="s">
        <v>7</v>
      </c>
      <c r="B26" s="145"/>
      <c r="C26" s="135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7"/>
      <c r="O26" s="135"/>
      <c r="P26" s="137"/>
      <c r="Q26" s="149"/>
      <c r="R26" s="150"/>
      <c r="S26" s="150"/>
      <c r="T26" s="150"/>
      <c r="U26" s="150"/>
      <c r="V26" s="150"/>
      <c r="W26" s="151"/>
    </row>
    <row r="27" spans="1:23" x14ac:dyDescent="0.25">
      <c r="A27" s="152" t="s">
        <v>8</v>
      </c>
      <c r="B27" s="138" t="s">
        <v>9</v>
      </c>
      <c r="C27" s="138" t="s">
        <v>10</v>
      </c>
      <c r="D27" s="138" t="s">
        <v>11</v>
      </c>
      <c r="E27" s="138" t="s">
        <v>12</v>
      </c>
      <c r="F27" s="138" t="s">
        <v>13</v>
      </c>
      <c r="G27" s="140" t="s">
        <v>14</v>
      </c>
      <c r="H27" s="141"/>
      <c r="I27" s="141"/>
      <c r="J27" s="141"/>
      <c r="K27" s="141"/>
      <c r="L27" s="142"/>
      <c r="M27" s="138" t="s">
        <v>15</v>
      </c>
      <c r="N27" s="138" t="s">
        <v>16</v>
      </c>
      <c r="O27" s="138" t="s">
        <v>17</v>
      </c>
      <c r="P27" s="138" t="s">
        <v>18</v>
      </c>
      <c r="Q27" s="140" t="s">
        <v>19</v>
      </c>
      <c r="R27" s="141"/>
      <c r="S27" s="141"/>
      <c r="T27" s="141"/>
      <c r="U27" s="141"/>
      <c r="V27" s="142"/>
      <c r="W27" s="154" t="s">
        <v>20</v>
      </c>
    </row>
    <row r="28" spans="1:23" x14ac:dyDescent="0.25">
      <c r="A28" s="153"/>
      <c r="B28" s="139"/>
      <c r="C28" s="139"/>
      <c r="D28" s="139"/>
      <c r="E28" s="139"/>
      <c r="F28" s="139"/>
      <c r="G28" s="31" t="s">
        <v>21</v>
      </c>
      <c r="H28" s="31" t="s">
        <v>21</v>
      </c>
      <c r="I28" s="31" t="s">
        <v>21</v>
      </c>
      <c r="J28" s="31" t="s">
        <v>22</v>
      </c>
      <c r="K28" s="31" t="s">
        <v>22</v>
      </c>
      <c r="L28" s="32" t="s">
        <v>22</v>
      </c>
      <c r="M28" s="169"/>
      <c r="N28" s="139"/>
      <c r="O28" s="139"/>
      <c r="P28" s="139"/>
      <c r="Q28" s="31" t="s">
        <v>21</v>
      </c>
      <c r="R28" s="31" t="s">
        <v>21</v>
      </c>
      <c r="S28" s="31" t="s">
        <v>21</v>
      </c>
      <c r="T28" s="31" t="s">
        <v>22</v>
      </c>
      <c r="U28" s="31" t="s">
        <v>22</v>
      </c>
      <c r="V28" s="31" t="s">
        <v>22</v>
      </c>
      <c r="W28" s="155"/>
    </row>
    <row r="29" spans="1:23" ht="15.75" x14ac:dyDescent="0.25">
      <c r="A29" s="5">
        <v>1</v>
      </c>
      <c r="B29" s="21" t="s">
        <v>325</v>
      </c>
      <c r="C29" s="20">
        <v>45917</v>
      </c>
      <c r="D29" s="36">
        <v>45995</v>
      </c>
      <c r="E29" s="21">
        <v>2</v>
      </c>
      <c r="F29" s="21">
        <v>0</v>
      </c>
      <c r="G29" s="21">
        <v>95</v>
      </c>
      <c r="H29" s="21"/>
      <c r="I29" s="21"/>
      <c r="J29" s="21">
        <v>102</v>
      </c>
      <c r="K29" s="24"/>
      <c r="L29" s="58"/>
      <c r="M29" s="31">
        <f>AVERAGE(G29:L29)</f>
        <v>98.5</v>
      </c>
      <c r="N29" s="70">
        <v>46028</v>
      </c>
      <c r="O29" s="21">
        <v>1</v>
      </c>
      <c r="P29" s="21">
        <v>1</v>
      </c>
      <c r="Q29" s="21"/>
      <c r="R29" s="21"/>
      <c r="S29" s="21"/>
      <c r="T29" s="21">
        <v>180</v>
      </c>
      <c r="U29" s="21"/>
      <c r="V29" s="21"/>
      <c r="W29" s="22">
        <v>180</v>
      </c>
    </row>
    <row r="30" spans="1:23" ht="15.75" x14ac:dyDescent="0.25">
      <c r="A30" s="6">
        <v>2</v>
      </c>
      <c r="B30" s="21" t="s">
        <v>325</v>
      </c>
      <c r="C30" s="13">
        <v>46039</v>
      </c>
      <c r="D30" s="13">
        <v>46130</v>
      </c>
      <c r="E30" s="8">
        <v>3</v>
      </c>
      <c r="F30" s="8">
        <v>0</v>
      </c>
      <c r="G30" s="8">
        <v>120</v>
      </c>
      <c r="H30" s="8">
        <v>122</v>
      </c>
      <c r="I30" s="8"/>
      <c r="J30" s="8">
        <v>125</v>
      </c>
      <c r="K30" s="25"/>
      <c r="L30" s="71"/>
      <c r="M30" s="89">
        <f>AVERAGE(G30:L30)</f>
        <v>122.33333333333333</v>
      </c>
      <c r="N30" s="26">
        <v>46176</v>
      </c>
      <c r="O30" s="8">
        <v>3</v>
      </c>
      <c r="P30" s="8">
        <v>0</v>
      </c>
      <c r="Q30" s="8">
        <v>300</v>
      </c>
      <c r="R30" s="8">
        <v>312</v>
      </c>
      <c r="S30" s="8"/>
      <c r="T30" s="8">
        <v>290</v>
      </c>
      <c r="U30" s="8"/>
      <c r="V30" s="8"/>
      <c r="W30" s="94">
        <f>AVERAGE(Q30:V30)</f>
        <v>300.66666666666669</v>
      </c>
    </row>
    <row r="31" spans="1:23" ht="15.75" x14ac:dyDescent="0.25">
      <c r="A31" s="6">
        <v>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27"/>
      <c r="M31" s="27"/>
      <c r="N31" s="8"/>
      <c r="O31" s="8"/>
      <c r="P31" s="8"/>
      <c r="Q31" s="8"/>
      <c r="R31" s="8"/>
      <c r="S31" s="8"/>
      <c r="T31" s="8"/>
      <c r="U31" s="8"/>
      <c r="V31" s="8"/>
      <c r="W31" s="9"/>
    </row>
    <row r="32" spans="1:23" ht="15.75" x14ac:dyDescent="0.25">
      <c r="A32" s="5">
        <v>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</row>
    <row r="33" spans="1:23" ht="15.75" x14ac:dyDescent="0.25">
      <c r="A33" s="5">
        <v>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</row>
    <row r="34" spans="1:23" ht="16.5" thickBot="1" x14ac:dyDescent="0.3">
      <c r="A34" s="7">
        <v>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6" spans="1:23" ht="15.75" thickBot="1" x14ac:dyDescent="0.3"/>
    <row r="37" spans="1:23" ht="15.75" x14ac:dyDescent="0.25">
      <c r="A37" s="156" t="s">
        <v>260</v>
      </c>
      <c r="B37" s="157"/>
      <c r="C37" s="111" t="s">
        <v>331</v>
      </c>
      <c r="D37" s="112"/>
      <c r="E37" s="111" t="s">
        <v>419</v>
      </c>
      <c r="F37" s="112"/>
      <c r="G37" s="103" t="s">
        <v>4</v>
      </c>
      <c r="H37" s="157"/>
      <c r="I37" s="111" t="s">
        <v>359</v>
      </c>
      <c r="J37" s="158"/>
      <c r="K37" s="158"/>
      <c r="L37" s="158"/>
      <c r="M37" s="158"/>
      <c r="N37" s="112"/>
      <c r="O37" s="103" t="s">
        <v>6</v>
      </c>
      <c r="P37" s="157"/>
      <c r="Q37" s="166">
        <v>45835</v>
      </c>
      <c r="R37" s="167"/>
      <c r="S37" s="167"/>
      <c r="T37" s="167"/>
      <c r="U37" s="167"/>
      <c r="V37" s="167"/>
      <c r="W37" s="168"/>
    </row>
    <row r="38" spans="1:23" ht="15.75" x14ac:dyDescent="0.25">
      <c r="A38" s="144" t="s">
        <v>7</v>
      </c>
      <c r="B38" s="145"/>
      <c r="C38" s="135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7"/>
      <c r="O38" s="135"/>
      <c r="P38" s="137"/>
      <c r="Q38" s="149"/>
      <c r="R38" s="150"/>
      <c r="S38" s="150"/>
      <c r="T38" s="150"/>
      <c r="U38" s="150"/>
      <c r="V38" s="150"/>
      <c r="W38" s="151"/>
    </row>
    <row r="39" spans="1:23" x14ac:dyDescent="0.25">
      <c r="A39" s="152" t="s">
        <v>8</v>
      </c>
      <c r="B39" s="138" t="s">
        <v>9</v>
      </c>
      <c r="C39" s="138" t="s">
        <v>10</v>
      </c>
      <c r="D39" s="138" t="s">
        <v>11</v>
      </c>
      <c r="E39" s="138" t="s">
        <v>12</v>
      </c>
      <c r="F39" s="138" t="s">
        <v>13</v>
      </c>
      <c r="G39" s="140" t="s">
        <v>14</v>
      </c>
      <c r="H39" s="141"/>
      <c r="I39" s="141"/>
      <c r="J39" s="141"/>
      <c r="K39" s="141"/>
      <c r="L39" s="142"/>
      <c r="M39" s="138" t="s">
        <v>15</v>
      </c>
      <c r="N39" s="138" t="s">
        <v>16</v>
      </c>
      <c r="O39" s="138" t="s">
        <v>17</v>
      </c>
      <c r="P39" s="138" t="s">
        <v>18</v>
      </c>
      <c r="Q39" s="140" t="s">
        <v>19</v>
      </c>
      <c r="R39" s="141"/>
      <c r="S39" s="141"/>
      <c r="T39" s="141"/>
      <c r="U39" s="141"/>
      <c r="V39" s="142"/>
      <c r="W39" s="154" t="s">
        <v>20</v>
      </c>
    </row>
    <row r="40" spans="1:23" x14ac:dyDescent="0.25">
      <c r="A40" s="153"/>
      <c r="B40" s="139"/>
      <c r="C40" s="139"/>
      <c r="D40" s="139"/>
      <c r="E40" s="139"/>
      <c r="F40" s="139"/>
      <c r="G40" s="31" t="s">
        <v>21</v>
      </c>
      <c r="H40" s="31" t="s">
        <v>21</v>
      </c>
      <c r="I40" s="31" t="s">
        <v>21</v>
      </c>
      <c r="J40" s="31" t="s">
        <v>22</v>
      </c>
      <c r="K40" s="31" t="s">
        <v>22</v>
      </c>
      <c r="L40" s="32" t="s">
        <v>22</v>
      </c>
      <c r="M40" s="169"/>
      <c r="N40" s="139"/>
      <c r="O40" s="139"/>
      <c r="P40" s="139"/>
      <c r="Q40" s="31" t="s">
        <v>21</v>
      </c>
      <c r="R40" s="31" t="s">
        <v>21</v>
      </c>
      <c r="S40" s="31" t="s">
        <v>21</v>
      </c>
      <c r="T40" s="31" t="s">
        <v>22</v>
      </c>
      <c r="U40" s="31" t="s">
        <v>22</v>
      </c>
      <c r="V40" s="31" t="s">
        <v>22</v>
      </c>
      <c r="W40" s="155"/>
    </row>
    <row r="41" spans="1:23" ht="15.75" x14ac:dyDescent="0.25">
      <c r="A41" s="5">
        <v>1</v>
      </c>
      <c r="B41" s="21" t="s">
        <v>242</v>
      </c>
      <c r="C41" s="20">
        <v>45947</v>
      </c>
      <c r="D41" s="36" t="s">
        <v>428</v>
      </c>
      <c r="E41" s="21"/>
      <c r="F41" s="21"/>
      <c r="G41" s="21"/>
      <c r="H41" s="21"/>
      <c r="I41" s="21"/>
      <c r="J41" s="21"/>
      <c r="K41" s="24"/>
      <c r="L41" s="58"/>
      <c r="M41" s="63"/>
      <c r="O41" s="21"/>
      <c r="P41" s="21"/>
      <c r="Q41" s="21"/>
      <c r="R41" s="21"/>
      <c r="S41" s="21"/>
      <c r="T41" s="21"/>
      <c r="U41" s="21"/>
      <c r="V41" s="21"/>
      <c r="W41" s="22"/>
    </row>
    <row r="42" spans="1:23" ht="15.75" x14ac:dyDescent="0.25">
      <c r="A42" s="6">
        <v>2</v>
      </c>
      <c r="B42" s="21" t="s">
        <v>449</v>
      </c>
      <c r="C42" s="13">
        <v>46039</v>
      </c>
      <c r="D42" s="13">
        <v>46122</v>
      </c>
      <c r="E42" s="21">
        <v>1</v>
      </c>
      <c r="F42" s="21">
        <v>0</v>
      </c>
      <c r="G42" s="21">
        <v>130</v>
      </c>
      <c r="H42" s="21"/>
      <c r="I42" s="21"/>
      <c r="J42" s="21"/>
      <c r="K42" s="24"/>
      <c r="L42" s="58"/>
      <c r="M42" s="31">
        <v>130</v>
      </c>
      <c r="N42" s="26">
        <v>46139</v>
      </c>
      <c r="O42" s="21">
        <v>1</v>
      </c>
      <c r="P42" s="21">
        <v>0</v>
      </c>
      <c r="Q42" s="21">
        <v>189</v>
      </c>
      <c r="R42" s="21"/>
      <c r="S42" s="21"/>
      <c r="T42" s="21"/>
      <c r="U42" s="21"/>
      <c r="V42" s="21"/>
      <c r="W42" s="22">
        <v>189</v>
      </c>
    </row>
    <row r="43" spans="1:23" ht="15.75" x14ac:dyDescent="0.25">
      <c r="A43" s="6">
        <v>3</v>
      </c>
      <c r="B43" s="8" t="s">
        <v>449</v>
      </c>
      <c r="C43" s="13">
        <v>46148</v>
      </c>
      <c r="D43" s="8"/>
      <c r="E43" s="21"/>
      <c r="F43" s="21"/>
      <c r="G43" s="21"/>
      <c r="H43" s="21"/>
      <c r="I43" s="21"/>
      <c r="J43" s="21"/>
      <c r="K43" s="21"/>
      <c r="L43" s="44"/>
      <c r="M43" s="44"/>
      <c r="N43" s="21"/>
      <c r="O43" s="21"/>
      <c r="P43" s="21"/>
      <c r="Q43" s="21"/>
      <c r="R43" s="21"/>
      <c r="S43" s="21"/>
      <c r="T43" s="21"/>
      <c r="U43" s="21"/>
      <c r="V43" s="21"/>
      <c r="W43" s="22"/>
    </row>
    <row r="44" spans="1:23" ht="15.75" x14ac:dyDescent="0.25">
      <c r="A44" s="5">
        <v>4</v>
      </c>
      <c r="B44" s="8"/>
      <c r="C44" s="8"/>
      <c r="D44" s="8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2"/>
    </row>
    <row r="45" spans="1:23" ht="15.75" x14ac:dyDescent="0.25">
      <c r="A45" s="5">
        <v>5</v>
      </c>
      <c r="B45" s="8"/>
      <c r="C45" s="8"/>
      <c r="D45" s="8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2"/>
    </row>
    <row r="46" spans="1:23" ht="16.5" thickBot="1" x14ac:dyDescent="0.3">
      <c r="A46" s="7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8" spans="1:23" ht="15.75" thickBot="1" x14ac:dyDescent="0.3"/>
    <row r="49" spans="1:23" ht="15.75" x14ac:dyDescent="0.25">
      <c r="A49" s="156" t="s">
        <v>260</v>
      </c>
      <c r="B49" s="157"/>
      <c r="C49" s="202" t="s">
        <v>332</v>
      </c>
      <c r="D49" s="203"/>
      <c r="E49" s="111" t="s">
        <v>419</v>
      </c>
      <c r="F49" s="112"/>
      <c r="G49" s="103" t="s">
        <v>4</v>
      </c>
      <c r="H49" s="157"/>
      <c r="I49" s="111" t="s">
        <v>359</v>
      </c>
      <c r="J49" s="158"/>
      <c r="K49" s="158"/>
      <c r="L49" s="158"/>
      <c r="M49" s="158"/>
      <c r="N49" s="112"/>
      <c r="O49" s="103" t="s">
        <v>6</v>
      </c>
      <c r="P49" s="157"/>
      <c r="Q49" s="166">
        <v>45807</v>
      </c>
      <c r="R49" s="167"/>
      <c r="S49" s="167"/>
      <c r="T49" s="167"/>
      <c r="U49" s="167"/>
      <c r="V49" s="167"/>
      <c r="W49" s="168"/>
    </row>
    <row r="50" spans="1:23" ht="15.75" x14ac:dyDescent="0.25">
      <c r="A50" s="144" t="s">
        <v>7</v>
      </c>
      <c r="B50" s="145"/>
      <c r="C50" s="135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7"/>
      <c r="O50" s="135"/>
      <c r="P50" s="137"/>
      <c r="Q50" s="149"/>
      <c r="R50" s="150"/>
      <c r="S50" s="150"/>
      <c r="T50" s="150"/>
      <c r="U50" s="150"/>
      <c r="V50" s="150"/>
      <c r="W50" s="151"/>
    </row>
    <row r="51" spans="1:23" x14ac:dyDescent="0.25">
      <c r="A51" s="152" t="s">
        <v>8</v>
      </c>
      <c r="B51" s="138" t="s">
        <v>9</v>
      </c>
      <c r="C51" s="138" t="s">
        <v>10</v>
      </c>
      <c r="D51" s="138" t="s">
        <v>11</v>
      </c>
      <c r="E51" s="138" t="s">
        <v>12</v>
      </c>
      <c r="F51" s="138" t="s">
        <v>13</v>
      </c>
      <c r="G51" s="140" t="s">
        <v>14</v>
      </c>
      <c r="H51" s="141"/>
      <c r="I51" s="141"/>
      <c r="J51" s="141"/>
      <c r="K51" s="141"/>
      <c r="L51" s="142"/>
      <c r="M51" s="138" t="s">
        <v>15</v>
      </c>
      <c r="N51" s="138" t="s">
        <v>16</v>
      </c>
      <c r="O51" s="138" t="s">
        <v>17</v>
      </c>
      <c r="P51" s="138" t="s">
        <v>18</v>
      </c>
      <c r="Q51" s="140" t="s">
        <v>19</v>
      </c>
      <c r="R51" s="141"/>
      <c r="S51" s="141"/>
      <c r="T51" s="141"/>
      <c r="U51" s="141"/>
      <c r="V51" s="142"/>
      <c r="W51" s="154" t="s">
        <v>20</v>
      </c>
    </row>
    <row r="52" spans="1:23" x14ac:dyDescent="0.25">
      <c r="A52" s="153"/>
      <c r="B52" s="139"/>
      <c r="C52" s="139"/>
      <c r="D52" s="139"/>
      <c r="E52" s="139"/>
      <c r="F52" s="139"/>
      <c r="G52" s="31" t="s">
        <v>21</v>
      </c>
      <c r="H52" s="31" t="s">
        <v>21</v>
      </c>
      <c r="I52" s="31" t="s">
        <v>21</v>
      </c>
      <c r="J52" s="31" t="s">
        <v>22</v>
      </c>
      <c r="K52" s="31" t="s">
        <v>22</v>
      </c>
      <c r="L52" s="32" t="s">
        <v>22</v>
      </c>
      <c r="M52" s="169"/>
      <c r="N52" s="139"/>
      <c r="O52" s="139"/>
      <c r="P52" s="139"/>
      <c r="Q52" s="31" t="s">
        <v>21</v>
      </c>
      <c r="R52" s="31" t="s">
        <v>21</v>
      </c>
      <c r="S52" s="31" t="s">
        <v>21</v>
      </c>
      <c r="T52" s="31" t="s">
        <v>22</v>
      </c>
      <c r="U52" s="31" t="s">
        <v>22</v>
      </c>
      <c r="V52" s="31" t="s">
        <v>22</v>
      </c>
      <c r="W52" s="155"/>
    </row>
    <row r="53" spans="1:23" ht="15.75" x14ac:dyDescent="0.25">
      <c r="A53" s="5">
        <v>1</v>
      </c>
      <c r="B53" s="21" t="s">
        <v>242</v>
      </c>
      <c r="C53" s="20">
        <v>45917</v>
      </c>
      <c r="D53" s="36">
        <v>46007</v>
      </c>
      <c r="E53" s="21">
        <v>1</v>
      </c>
      <c r="F53" s="21">
        <v>0</v>
      </c>
      <c r="G53" s="21"/>
      <c r="H53" s="21"/>
      <c r="I53" s="21"/>
      <c r="J53" s="21">
        <v>165</v>
      </c>
      <c r="K53" s="24"/>
      <c r="L53" s="58"/>
      <c r="M53" s="31">
        <v>165</v>
      </c>
      <c r="N53" s="70">
        <v>46028</v>
      </c>
      <c r="O53" s="21">
        <v>1</v>
      </c>
      <c r="P53" s="21">
        <v>0</v>
      </c>
      <c r="Q53" s="21"/>
      <c r="R53" s="21"/>
      <c r="S53" s="21"/>
      <c r="T53" s="21">
        <v>335</v>
      </c>
      <c r="U53" s="21"/>
      <c r="V53" s="21"/>
      <c r="W53" s="22">
        <v>335</v>
      </c>
    </row>
    <row r="54" spans="1:23" ht="15.75" x14ac:dyDescent="0.25">
      <c r="A54" s="6">
        <v>2</v>
      </c>
      <c r="B54" s="21" t="s">
        <v>449</v>
      </c>
      <c r="C54" s="13">
        <v>46039</v>
      </c>
      <c r="D54" s="13">
        <v>46109</v>
      </c>
      <c r="E54" s="21">
        <v>3</v>
      </c>
      <c r="F54" s="21">
        <v>0</v>
      </c>
      <c r="G54" s="21">
        <v>151</v>
      </c>
      <c r="H54" s="21">
        <v>157</v>
      </c>
      <c r="I54" s="21">
        <v>159</v>
      </c>
      <c r="J54" s="21"/>
      <c r="K54" s="24"/>
      <c r="L54" s="58"/>
      <c r="M54" s="90">
        <f>AVERAGE(G54:L54)</f>
        <v>155.66666666666666</v>
      </c>
      <c r="N54" s="26">
        <v>46133</v>
      </c>
      <c r="O54" s="21">
        <v>3</v>
      </c>
      <c r="P54" s="21">
        <v>0</v>
      </c>
      <c r="Q54" s="21">
        <v>333</v>
      </c>
      <c r="R54" s="21">
        <v>331</v>
      </c>
      <c r="S54" s="21">
        <v>317</v>
      </c>
      <c r="T54" s="21"/>
      <c r="U54" s="21"/>
      <c r="V54" s="21"/>
      <c r="W54" s="22">
        <f>AVERAGE(Q54:V54)</f>
        <v>327</v>
      </c>
    </row>
    <row r="55" spans="1:23" ht="15.75" x14ac:dyDescent="0.25">
      <c r="A55" s="6">
        <v>3</v>
      </c>
      <c r="B55" s="8" t="s">
        <v>449</v>
      </c>
      <c r="C55" s="13">
        <v>46148</v>
      </c>
      <c r="D55" s="8"/>
      <c r="E55" s="21"/>
      <c r="F55" s="21"/>
      <c r="G55" s="21"/>
      <c r="H55" s="21"/>
      <c r="I55" s="21"/>
      <c r="J55" s="21"/>
      <c r="K55" s="21"/>
      <c r="L55" s="44"/>
      <c r="M55" s="44"/>
      <c r="N55" s="21"/>
      <c r="O55" s="21"/>
      <c r="P55" s="21"/>
      <c r="Q55" s="21"/>
      <c r="R55" s="21"/>
      <c r="S55" s="21"/>
      <c r="T55" s="21"/>
      <c r="U55" s="21"/>
      <c r="V55" s="21"/>
      <c r="W55" s="22"/>
    </row>
    <row r="56" spans="1:23" ht="15.75" x14ac:dyDescent="0.25">
      <c r="A56" s="5">
        <v>4</v>
      </c>
      <c r="B56" s="8"/>
      <c r="C56" s="8"/>
      <c r="D56" s="8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2"/>
    </row>
    <row r="57" spans="1:23" ht="15.75" x14ac:dyDescent="0.25">
      <c r="A57" s="5">
        <v>5</v>
      </c>
      <c r="B57" s="8"/>
      <c r="C57" s="8"/>
      <c r="D57" s="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2"/>
    </row>
    <row r="58" spans="1:23" ht="16.5" thickBot="1" x14ac:dyDescent="0.3">
      <c r="A58" s="7">
        <v>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60" spans="1:23" ht="15.75" thickBot="1" x14ac:dyDescent="0.3"/>
    <row r="61" spans="1:23" ht="15.75" x14ac:dyDescent="0.25">
      <c r="A61" s="156" t="s">
        <v>260</v>
      </c>
      <c r="B61" s="157"/>
      <c r="C61" s="111" t="s">
        <v>333</v>
      </c>
      <c r="D61" s="112"/>
      <c r="E61" s="111" t="s">
        <v>419</v>
      </c>
      <c r="F61" s="112"/>
      <c r="G61" s="103" t="s">
        <v>4</v>
      </c>
      <c r="H61" s="157"/>
      <c r="I61" s="111" t="s">
        <v>359</v>
      </c>
      <c r="J61" s="158"/>
      <c r="K61" s="158"/>
      <c r="L61" s="158"/>
      <c r="M61" s="158"/>
      <c r="N61" s="112"/>
      <c r="O61" s="103" t="s">
        <v>6</v>
      </c>
      <c r="P61" s="157"/>
      <c r="Q61" s="166">
        <v>45817</v>
      </c>
      <c r="R61" s="167"/>
      <c r="S61" s="167"/>
      <c r="T61" s="167"/>
      <c r="U61" s="167"/>
      <c r="V61" s="167"/>
      <c r="W61" s="168"/>
    </row>
    <row r="62" spans="1:23" ht="15.75" x14ac:dyDescent="0.25">
      <c r="A62" s="144" t="s">
        <v>7</v>
      </c>
      <c r="B62" s="145"/>
      <c r="C62" s="135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7"/>
      <c r="O62" s="135"/>
      <c r="P62" s="137"/>
      <c r="Q62" s="149"/>
      <c r="R62" s="150"/>
      <c r="S62" s="150"/>
      <c r="T62" s="150"/>
      <c r="U62" s="150"/>
      <c r="V62" s="150"/>
      <c r="W62" s="151"/>
    </row>
    <row r="63" spans="1:23" x14ac:dyDescent="0.25">
      <c r="A63" s="152" t="s">
        <v>8</v>
      </c>
      <c r="B63" s="138" t="s">
        <v>9</v>
      </c>
      <c r="C63" s="138" t="s">
        <v>10</v>
      </c>
      <c r="D63" s="138" t="s">
        <v>11</v>
      </c>
      <c r="E63" s="138" t="s">
        <v>12</v>
      </c>
      <c r="F63" s="138" t="s">
        <v>13</v>
      </c>
      <c r="G63" s="140" t="s">
        <v>14</v>
      </c>
      <c r="H63" s="141"/>
      <c r="I63" s="141"/>
      <c r="J63" s="141"/>
      <c r="K63" s="141"/>
      <c r="L63" s="142"/>
      <c r="M63" s="138" t="s">
        <v>15</v>
      </c>
      <c r="N63" s="138" t="s">
        <v>16</v>
      </c>
      <c r="O63" s="138" t="s">
        <v>17</v>
      </c>
      <c r="P63" s="138" t="s">
        <v>18</v>
      </c>
      <c r="Q63" s="140" t="s">
        <v>19</v>
      </c>
      <c r="R63" s="141"/>
      <c r="S63" s="141"/>
      <c r="T63" s="141"/>
      <c r="U63" s="141"/>
      <c r="V63" s="142"/>
      <c r="W63" s="154" t="s">
        <v>20</v>
      </c>
    </row>
    <row r="64" spans="1:23" x14ac:dyDescent="0.25">
      <c r="A64" s="153"/>
      <c r="B64" s="139"/>
      <c r="C64" s="139"/>
      <c r="D64" s="139"/>
      <c r="E64" s="139"/>
      <c r="F64" s="139"/>
      <c r="G64" s="31" t="s">
        <v>21</v>
      </c>
      <c r="H64" s="31" t="s">
        <v>21</v>
      </c>
      <c r="I64" s="31" t="s">
        <v>21</v>
      </c>
      <c r="J64" s="31" t="s">
        <v>22</v>
      </c>
      <c r="K64" s="31" t="s">
        <v>22</v>
      </c>
      <c r="L64" s="32" t="s">
        <v>22</v>
      </c>
      <c r="M64" s="169"/>
      <c r="N64" s="139"/>
      <c r="O64" s="139"/>
      <c r="P64" s="139"/>
      <c r="Q64" s="31" t="s">
        <v>21</v>
      </c>
      <c r="R64" s="31" t="s">
        <v>21</v>
      </c>
      <c r="S64" s="31" t="s">
        <v>21</v>
      </c>
      <c r="T64" s="31" t="s">
        <v>22</v>
      </c>
      <c r="U64" s="31" t="s">
        <v>22</v>
      </c>
      <c r="V64" s="31" t="s">
        <v>22</v>
      </c>
      <c r="W64" s="155"/>
    </row>
    <row r="65" spans="1:23" ht="15.75" x14ac:dyDescent="0.25">
      <c r="A65" s="5">
        <v>1</v>
      </c>
      <c r="B65" s="21" t="s">
        <v>242</v>
      </c>
      <c r="C65" s="20">
        <v>45917</v>
      </c>
      <c r="D65" s="36" t="s">
        <v>283</v>
      </c>
      <c r="E65" s="21"/>
      <c r="F65" s="21"/>
      <c r="G65" s="21"/>
      <c r="H65" s="21"/>
      <c r="I65" s="21"/>
      <c r="J65" s="21"/>
      <c r="K65" s="24"/>
      <c r="L65" s="58"/>
      <c r="M65" s="63"/>
      <c r="O65" s="21"/>
      <c r="P65" s="21"/>
      <c r="Q65" s="21"/>
      <c r="R65" s="21"/>
      <c r="S65" s="21"/>
      <c r="T65" s="21"/>
      <c r="U65" s="21"/>
      <c r="V65" s="21"/>
      <c r="W65" s="22"/>
    </row>
    <row r="66" spans="1:23" ht="15.75" x14ac:dyDescent="0.25">
      <c r="A66" s="6">
        <v>2</v>
      </c>
      <c r="B66" s="21" t="s">
        <v>449</v>
      </c>
      <c r="C66" s="13">
        <v>46039</v>
      </c>
      <c r="D66" s="13">
        <v>46111</v>
      </c>
      <c r="E66" s="21">
        <v>3</v>
      </c>
      <c r="F66" s="21">
        <v>0</v>
      </c>
      <c r="G66" s="21">
        <v>127</v>
      </c>
      <c r="H66" s="21"/>
      <c r="I66" s="21"/>
      <c r="J66" s="21">
        <v>138</v>
      </c>
      <c r="K66" s="24"/>
      <c r="L66" s="58"/>
      <c r="M66" s="31">
        <f>AVERAGE(G66:L66)</f>
        <v>132.5</v>
      </c>
      <c r="N66" s="26">
        <v>46133</v>
      </c>
      <c r="O66" s="21">
        <v>2</v>
      </c>
      <c r="P66" s="21">
        <v>0</v>
      </c>
      <c r="Q66" s="21">
        <v>385</v>
      </c>
      <c r="R66" s="21"/>
      <c r="S66" s="21"/>
      <c r="T66" s="21">
        <v>303</v>
      </c>
      <c r="U66" s="21"/>
      <c r="V66" s="21"/>
      <c r="W66" s="22">
        <f>AVERAGE(Q66:V66)</f>
        <v>344</v>
      </c>
    </row>
    <row r="67" spans="1:23" ht="15.75" x14ac:dyDescent="0.25">
      <c r="A67" s="6">
        <v>3</v>
      </c>
      <c r="B67" s="8" t="s">
        <v>449</v>
      </c>
      <c r="C67" s="13">
        <v>46148</v>
      </c>
      <c r="D67" s="8"/>
      <c r="E67" s="21"/>
      <c r="F67" s="21"/>
      <c r="G67" s="21"/>
      <c r="H67" s="21"/>
      <c r="I67" s="21"/>
      <c r="J67" s="21"/>
      <c r="K67" s="21"/>
      <c r="L67" s="44"/>
      <c r="M67" s="44"/>
      <c r="N67" s="21"/>
      <c r="O67" s="21"/>
      <c r="P67" s="21"/>
      <c r="Q67" s="21"/>
      <c r="R67" s="21"/>
      <c r="S67" s="21"/>
      <c r="T67" s="21"/>
      <c r="U67" s="21"/>
      <c r="V67" s="21"/>
      <c r="W67" s="22"/>
    </row>
    <row r="68" spans="1:23" ht="15.75" x14ac:dyDescent="0.25">
      <c r="A68" s="5">
        <v>4</v>
      </c>
      <c r="B68" s="8"/>
      <c r="C68" s="8"/>
      <c r="D68" s="8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2"/>
    </row>
    <row r="69" spans="1:23" ht="15.75" x14ac:dyDescent="0.25">
      <c r="A69" s="5">
        <v>5</v>
      </c>
      <c r="B69" s="8"/>
      <c r="C69" s="8"/>
      <c r="D69" s="8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2"/>
    </row>
    <row r="70" spans="1:23" ht="16.5" thickBot="1" x14ac:dyDescent="0.3">
      <c r="A70" s="7">
        <v>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2" spans="1:23" ht="15.75" thickBot="1" x14ac:dyDescent="0.3"/>
    <row r="73" spans="1:23" ht="15.75" x14ac:dyDescent="0.25">
      <c r="A73" s="156" t="s">
        <v>260</v>
      </c>
      <c r="B73" s="157"/>
      <c r="C73" s="111" t="s">
        <v>334</v>
      </c>
      <c r="D73" s="112"/>
      <c r="E73" s="111" t="s">
        <v>419</v>
      </c>
      <c r="F73" s="112"/>
      <c r="G73" s="103" t="s">
        <v>4</v>
      </c>
      <c r="H73" s="157"/>
      <c r="I73" s="111" t="s">
        <v>359</v>
      </c>
      <c r="J73" s="158"/>
      <c r="K73" s="158"/>
      <c r="L73" s="158"/>
      <c r="M73" s="158"/>
      <c r="N73" s="112"/>
      <c r="O73" s="103" t="s">
        <v>6</v>
      </c>
      <c r="P73" s="157"/>
      <c r="Q73" s="166">
        <v>45826</v>
      </c>
      <c r="R73" s="167"/>
      <c r="S73" s="167"/>
      <c r="T73" s="167"/>
      <c r="U73" s="167"/>
      <c r="V73" s="167"/>
      <c r="W73" s="168"/>
    </row>
    <row r="74" spans="1:23" ht="15.75" x14ac:dyDescent="0.25">
      <c r="A74" s="144" t="s">
        <v>7</v>
      </c>
      <c r="B74" s="145"/>
      <c r="C74" s="146" t="s">
        <v>44</v>
      </c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8"/>
      <c r="O74" s="135"/>
      <c r="P74" s="137"/>
      <c r="Q74" s="149"/>
      <c r="R74" s="150"/>
      <c r="S74" s="150"/>
      <c r="T74" s="150"/>
      <c r="U74" s="150"/>
      <c r="V74" s="150"/>
      <c r="W74" s="151"/>
    </row>
    <row r="75" spans="1:23" x14ac:dyDescent="0.25">
      <c r="A75" s="152" t="s">
        <v>8</v>
      </c>
      <c r="B75" s="138" t="s">
        <v>9</v>
      </c>
      <c r="C75" s="138" t="s">
        <v>10</v>
      </c>
      <c r="D75" s="138" t="s">
        <v>11</v>
      </c>
      <c r="E75" s="138" t="s">
        <v>12</v>
      </c>
      <c r="F75" s="138" t="s">
        <v>13</v>
      </c>
      <c r="G75" s="140" t="s">
        <v>14</v>
      </c>
      <c r="H75" s="141"/>
      <c r="I75" s="141"/>
      <c r="J75" s="141"/>
      <c r="K75" s="141"/>
      <c r="L75" s="142"/>
      <c r="M75" s="138" t="s">
        <v>15</v>
      </c>
      <c r="N75" s="138" t="s">
        <v>16</v>
      </c>
      <c r="O75" s="138" t="s">
        <v>17</v>
      </c>
      <c r="P75" s="138" t="s">
        <v>18</v>
      </c>
      <c r="Q75" s="140" t="s">
        <v>19</v>
      </c>
      <c r="R75" s="141"/>
      <c r="S75" s="141"/>
      <c r="T75" s="141"/>
      <c r="U75" s="141"/>
      <c r="V75" s="142"/>
      <c r="W75" s="154" t="s">
        <v>20</v>
      </c>
    </row>
    <row r="76" spans="1:23" x14ac:dyDescent="0.25">
      <c r="A76" s="153"/>
      <c r="B76" s="139"/>
      <c r="C76" s="139"/>
      <c r="D76" s="139"/>
      <c r="E76" s="139"/>
      <c r="F76" s="139"/>
      <c r="G76" s="31" t="s">
        <v>21</v>
      </c>
      <c r="H76" s="31" t="s">
        <v>21</v>
      </c>
      <c r="I76" s="31" t="s">
        <v>21</v>
      </c>
      <c r="J76" s="31" t="s">
        <v>22</v>
      </c>
      <c r="K76" s="31" t="s">
        <v>22</v>
      </c>
      <c r="L76" s="32" t="s">
        <v>22</v>
      </c>
      <c r="M76" s="172"/>
      <c r="N76" s="139"/>
      <c r="O76" s="139"/>
      <c r="P76" s="139"/>
      <c r="Q76" s="31" t="s">
        <v>21</v>
      </c>
      <c r="R76" s="31" t="s">
        <v>21</v>
      </c>
      <c r="S76" s="31" t="s">
        <v>21</v>
      </c>
      <c r="T76" s="31" t="s">
        <v>22</v>
      </c>
      <c r="U76" s="31" t="s">
        <v>22</v>
      </c>
      <c r="V76" s="31" t="s">
        <v>22</v>
      </c>
      <c r="W76" s="155"/>
    </row>
    <row r="77" spans="1:23" ht="15.75" x14ac:dyDescent="0.25">
      <c r="A77" s="5">
        <v>1</v>
      </c>
      <c r="B77" s="21" t="s">
        <v>242</v>
      </c>
      <c r="C77" s="20">
        <v>45917</v>
      </c>
      <c r="D77" s="36" t="s">
        <v>283</v>
      </c>
      <c r="E77" s="21"/>
      <c r="F77" s="21"/>
      <c r="G77" s="21"/>
      <c r="H77" s="21"/>
      <c r="I77" s="21"/>
      <c r="J77" s="21"/>
      <c r="K77" s="24"/>
      <c r="L77" s="29"/>
      <c r="M77" s="170"/>
      <c r="O77" s="21"/>
      <c r="P77" s="21"/>
      <c r="Q77" s="21"/>
      <c r="R77" s="21"/>
      <c r="S77" s="21"/>
      <c r="T77" s="21"/>
      <c r="U77" s="21"/>
      <c r="V77" s="21"/>
      <c r="W77" s="22"/>
    </row>
    <row r="78" spans="1:23" ht="15.75" x14ac:dyDescent="0.25">
      <c r="A78" s="6">
        <v>2</v>
      </c>
      <c r="B78" s="21" t="s">
        <v>449</v>
      </c>
      <c r="C78" s="13">
        <v>46039</v>
      </c>
      <c r="D78" s="8"/>
      <c r="E78" s="8"/>
      <c r="F78" s="8"/>
      <c r="G78" s="8"/>
      <c r="H78" s="8"/>
      <c r="I78" s="8"/>
      <c r="J78" s="8"/>
      <c r="K78" s="25"/>
      <c r="L78" s="30"/>
      <c r="M78" s="171"/>
      <c r="N78" s="26"/>
      <c r="O78" s="8"/>
      <c r="P78" s="8"/>
      <c r="Q78" s="8"/>
      <c r="R78" s="8"/>
      <c r="S78" s="8"/>
      <c r="T78" s="8"/>
      <c r="U78" s="8"/>
      <c r="V78" s="8"/>
      <c r="W78" s="9"/>
    </row>
    <row r="79" spans="1:23" ht="15.75" x14ac:dyDescent="0.25">
      <c r="A79" s="6">
        <v>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27"/>
      <c r="M79" s="27"/>
      <c r="N79" s="8"/>
      <c r="O79" s="8"/>
      <c r="P79" s="8"/>
      <c r="Q79" s="8"/>
      <c r="R79" s="8"/>
      <c r="S79" s="8"/>
      <c r="T79" s="8"/>
      <c r="U79" s="8"/>
      <c r="V79" s="8"/>
      <c r="W79" s="9"/>
    </row>
    <row r="80" spans="1:23" ht="15.75" x14ac:dyDescent="0.25">
      <c r="A80" s="5">
        <v>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</row>
    <row r="81" spans="1:23" ht="15.75" x14ac:dyDescent="0.25">
      <c r="A81" s="5">
        <v>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3" ht="16.5" thickBot="1" x14ac:dyDescent="0.3">
      <c r="A82" s="7">
        <v>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4" spans="1:23" ht="15.75" thickBot="1" x14ac:dyDescent="0.3"/>
    <row r="85" spans="1:23" ht="15.75" x14ac:dyDescent="0.25">
      <c r="A85" s="156" t="s">
        <v>260</v>
      </c>
      <c r="B85" s="157"/>
      <c r="C85" s="111" t="s">
        <v>335</v>
      </c>
      <c r="D85" s="112"/>
      <c r="E85" s="111" t="s">
        <v>419</v>
      </c>
      <c r="F85" s="112"/>
      <c r="G85" s="103" t="s">
        <v>4</v>
      </c>
      <c r="H85" s="157"/>
      <c r="I85" s="111" t="s">
        <v>359</v>
      </c>
      <c r="J85" s="158"/>
      <c r="K85" s="158"/>
      <c r="L85" s="158"/>
      <c r="M85" s="158"/>
      <c r="N85" s="112"/>
      <c r="O85" s="103" t="s">
        <v>6</v>
      </c>
      <c r="P85" s="157"/>
      <c r="Q85" s="166">
        <v>45826</v>
      </c>
      <c r="R85" s="167"/>
      <c r="S85" s="167"/>
      <c r="T85" s="167"/>
      <c r="U85" s="167"/>
      <c r="V85" s="167"/>
      <c r="W85" s="168"/>
    </row>
    <row r="86" spans="1:23" ht="15.75" x14ac:dyDescent="0.25">
      <c r="A86" s="144" t="s">
        <v>7</v>
      </c>
      <c r="B86" s="145"/>
      <c r="C86" s="135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7"/>
      <c r="O86" s="135"/>
      <c r="P86" s="137"/>
      <c r="Q86" s="149"/>
      <c r="R86" s="150"/>
      <c r="S86" s="150"/>
      <c r="T86" s="150"/>
      <c r="U86" s="150"/>
      <c r="V86" s="150"/>
      <c r="W86" s="151"/>
    </row>
    <row r="87" spans="1:23" x14ac:dyDescent="0.25">
      <c r="A87" s="152" t="s">
        <v>8</v>
      </c>
      <c r="B87" s="138" t="s">
        <v>9</v>
      </c>
      <c r="C87" s="138" t="s">
        <v>10</v>
      </c>
      <c r="D87" s="138" t="s">
        <v>11</v>
      </c>
      <c r="E87" s="138" t="s">
        <v>12</v>
      </c>
      <c r="F87" s="138" t="s">
        <v>13</v>
      </c>
      <c r="G87" s="140" t="s">
        <v>14</v>
      </c>
      <c r="H87" s="141"/>
      <c r="I87" s="141"/>
      <c r="J87" s="141"/>
      <c r="K87" s="141"/>
      <c r="L87" s="142"/>
      <c r="M87" s="138" t="s">
        <v>15</v>
      </c>
      <c r="N87" s="138" t="s">
        <v>16</v>
      </c>
      <c r="O87" s="138" t="s">
        <v>17</v>
      </c>
      <c r="P87" s="138" t="s">
        <v>18</v>
      </c>
      <c r="Q87" s="140" t="s">
        <v>19</v>
      </c>
      <c r="R87" s="141"/>
      <c r="S87" s="141"/>
      <c r="T87" s="141"/>
      <c r="U87" s="141"/>
      <c r="V87" s="142"/>
      <c r="W87" s="154" t="s">
        <v>20</v>
      </c>
    </row>
    <row r="88" spans="1:23" x14ac:dyDescent="0.25">
      <c r="A88" s="153"/>
      <c r="B88" s="139"/>
      <c r="C88" s="139"/>
      <c r="D88" s="139"/>
      <c r="E88" s="139"/>
      <c r="F88" s="139"/>
      <c r="G88" s="31" t="s">
        <v>21</v>
      </c>
      <c r="H88" s="31" t="s">
        <v>21</v>
      </c>
      <c r="I88" s="31" t="s">
        <v>21</v>
      </c>
      <c r="J88" s="31" t="s">
        <v>22</v>
      </c>
      <c r="K88" s="31" t="s">
        <v>22</v>
      </c>
      <c r="L88" s="32" t="s">
        <v>22</v>
      </c>
      <c r="M88" s="169"/>
      <c r="N88" s="139"/>
      <c r="O88" s="139"/>
      <c r="P88" s="139"/>
      <c r="Q88" s="31" t="s">
        <v>21</v>
      </c>
      <c r="R88" s="31" t="s">
        <v>21</v>
      </c>
      <c r="S88" s="31" t="s">
        <v>21</v>
      </c>
      <c r="T88" s="31" t="s">
        <v>22</v>
      </c>
      <c r="U88" s="31" t="s">
        <v>22</v>
      </c>
      <c r="V88" s="31" t="s">
        <v>22</v>
      </c>
      <c r="W88" s="155"/>
    </row>
    <row r="89" spans="1:23" ht="15.75" x14ac:dyDescent="0.25">
      <c r="A89" s="5">
        <v>1</v>
      </c>
      <c r="B89" s="21" t="s">
        <v>242</v>
      </c>
      <c r="C89" s="20">
        <v>45917</v>
      </c>
      <c r="D89" s="36" t="s">
        <v>428</v>
      </c>
      <c r="E89" s="21"/>
      <c r="F89" s="21"/>
      <c r="G89" s="21"/>
      <c r="H89" s="21"/>
      <c r="I89" s="21"/>
      <c r="J89" s="21"/>
      <c r="K89" s="24"/>
      <c r="L89" s="58"/>
      <c r="M89" s="63"/>
      <c r="O89" s="21"/>
      <c r="P89" s="21"/>
      <c r="Q89" s="21"/>
      <c r="R89" s="21"/>
      <c r="S89" s="21"/>
      <c r="T89" s="21"/>
      <c r="U89" s="21"/>
      <c r="V89" s="21"/>
      <c r="W89" s="22"/>
    </row>
    <row r="90" spans="1:23" ht="15.75" x14ac:dyDescent="0.25">
      <c r="A90" s="6">
        <v>2</v>
      </c>
      <c r="B90" s="21" t="s">
        <v>449</v>
      </c>
      <c r="C90" s="13">
        <v>46039</v>
      </c>
      <c r="D90" s="13">
        <v>46118</v>
      </c>
      <c r="E90" s="21">
        <v>3</v>
      </c>
      <c r="F90" s="21">
        <v>2</v>
      </c>
      <c r="G90" s="21"/>
      <c r="H90" s="21"/>
      <c r="I90" s="21"/>
      <c r="J90" s="21">
        <v>122</v>
      </c>
      <c r="K90" s="24"/>
      <c r="L90" s="58"/>
      <c r="M90" s="31">
        <v>122</v>
      </c>
      <c r="N90" s="26">
        <v>46133</v>
      </c>
      <c r="O90" s="21">
        <v>1</v>
      </c>
      <c r="P90" s="21">
        <v>0</v>
      </c>
      <c r="Q90" s="21"/>
      <c r="R90" s="21"/>
      <c r="S90" s="21"/>
      <c r="T90" s="21">
        <v>303</v>
      </c>
      <c r="U90" s="21"/>
      <c r="V90" s="21"/>
      <c r="W90" s="22">
        <v>303</v>
      </c>
    </row>
    <row r="91" spans="1:23" ht="15.75" x14ac:dyDescent="0.25">
      <c r="A91" s="6">
        <v>3</v>
      </c>
      <c r="B91" s="21" t="s">
        <v>449</v>
      </c>
      <c r="C91" s="13">
        <v>46148</v>
      </c>
      <c r="D91" s="8"/>
      <c r="E91" s="21"/>
      <c r="F91" s="21"/>
      <c r="G91" s="21"/>
      <c r="H91" s="21"/>
      <c r="I91" s="21"/>
      <c r="J91" s="21"/>
      <c r="K91" s="21"/>
      <c r="L91" s="44"/>
      <c r="M91" s="44"/>
      <c r="N91" s="21"/>
      <c r="O91" s="21"/>
      <c r="P91" s="21"/>
      <c r="Q91" s="21"/>
      <c r="R91" s="21"/>
      <c r="S91" s="21"/>
      <c r="T91" s="21"/>
      <c r="U91" s="21"/>
      <c r="V91" s="21"/>
      <c r="W91" s="22"/>
    </row>
    <row r="92" spans="1:23" ht="15.75" x14ac:dyDescent="0.25">
      <c r="A92" s="5">
        <v>4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</row>
    <row r="93" spans="1:23" ht="15.75" x14ac:dyDescent="0.25">
      <c r="A93" s="5">
        <v>5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6.5" thickBot="1" x14ac:dyDescent="0.3">
      <c r="A94" s="7">
        <v>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6" spans="1:23" ht="15.75" thickBot="1" x14ac:dyDescent="0.3"/>
    <row r="97" spans="1:23" ht="15.75" x14ac:dyDescent="0.25">
      <c r="A97" s="156" t="s">
        <v>260</v>
      </c>
      <c r="B97" s="157"/>
      <c r="C97" s="111" t="s">
        <v>336</v>
      </c>
      <c r="D97" s="112"/>
      <c r="E97" s="111" t="s">
        <v>420</v>
      </c>
      <c r="F97" s="112"/>
      <c r="G97" s="103" t="s">
        <v>4</v>
      </c>
      <c r="H97" s="157"/>
      <c r="I97" s="111" t="s">
        <v>359</v>
      </c>
      <c r="J97" s="158"/>
      <c r="K97" s="158"/>
      <c r="L97" s="158"/>
      <c r="M97" s="158"/>
      <c r="N97" s="112"/>
      <c r="O97" s="103" t="s">
        <v>6</v>
      </c>
      <c r="P97" s="157"/>
      <c r="Q97" s="166">
        <v>45828</v>
      </c>
      <c r="R97" s="167"/>
      <c r="S97" s="167"/>
      <c r="T97" s="167"/>
      <c r="U97" s="167"/>
      <c r="V97" s="167"/>
      <c r="W97" s="168"/>
    </row>
    <row r="98" spans="1:23" ht="15.75" x14ac:dyDescent="0.25">
      <c r="A98" s="144" t="s">
        <v>7</v>
      </c>
      <c r="B98" s="145"/>
      <c r="C98" s="146" t="s">
        <v>44</v>
      </c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8"/>
      <c r="O98" s="135"/>
      <c r="P98" s="137"/>
      <c r="Q98" s="149"/>
      <c r="R98" s="150"/>
      <c r="S98" s="150"/>
      <c r="T98" s="150"/>
      <c r="U98" s="150"/>
      <c r="V98" s="150"/>
      <c r="W98" s="151"/>
    </row>
    <row r="99" spans="1:23" x14ac:dyDescent="0.25">
      <c r="A99" s="152" t="s">
        <v>8</v>
      </c>
      <c r="B99" s="138" t="s">
        <v>9</v>
      </c>
      <c r="C99" s="138" t="s">
        <v>10</v>
      </c>
      <c r="D99" s="138" t="s">
        <v>11</v>
      </c>
      <c r="E99" s="138" t="s">
        <v>12</v>
      </c>
      <c r="F99" s="138" t="s">
        <v>13</v>
      </c>
      <c r="G99" s="140" t="s">
        <v>14</v>
      </c>
      <c r="H99" s="141"/>
      <c r="I99" s="141"/>
      <c r="J99" s="141"/>
      <c r="K99" s="141"/>
      <c r="L99" s="142"/>
      <c r="M99" s="138" t="s">
        <v>15</v>
      </c>
      <c r="N99" s="138" t="s">
        <v>16</v>
      </c>
      <c r="O99" s="138" t="s">
        <v>17</v>
      </c>
      <c r="P99" s="138" t="s">
        <v>18</v>
      </c>
      <c r="Q99" s="140" t="s">
        <v>19</v>
      </c>
      <c r="R99" s="141"/>
      <c r="S99" s="141"/>
      <c r="T99" s="141"/>
      <c r="U99" s="141"/>
      <c r="V99" s="142"/>
      <c r="W99" s="154" t="s">
        <v>20</v>
      </c>
    </row>
    <row r="100" spans="1:23" x14ac:dyDescent="0.25">
      <c r="A100" s="153"/>
      <c r="B100" s="139"/>
      <c r="C100" s="139"/>
      <c r="D100" s="139"/>
      <c r="E100" s="139"/>
      <c r="F100" s="139"/>
      <c r="G100" s="31" t="s">
        <v>21</v>
      </c>
      <c r="H100" s="31" t="s">
        <v>21</v>
      </c>
      <c r="I100" s="31" t="s">
        <v>21</v>
      </c>
      <c r="J100" s="31" t="s">
        <v>22</v>
      </c>
      <c r="K100" s="31" t="s">
        <v>22</v>
      </c>
      <c r="L100" s="32" t="s">
        <v>22</v>
      </c>
      <c r="M100" s="172"/>
      <c r="N100" s="139"/>
      <c r="O100" s="139"/>
      <c r="P100" s="139"/>
      <c r="Q100" s="31" t="s">
        <v>21</v>
      </c>
      <c r="R100" s="31" t="s">
        <v>21</v>
      </c>
      <c r="S100" s="31" t="s">
        <v>21</v>
      </c>
      <c r="T100" s="31" t="s">
        <v>22</v>
      </c>
      <c r="U100" s="31" t="s">
        <v>22</v>
      </c>
      <c r="V100" s="31" t="s">
        <v>22</v>
      </c>
      <c r="W100" s="155"/>
    </row>
    <row r="101" spans="1:23" ht="15.75" x14ac:dyDescent="0.25">
      <c r="A101" s="5">
        <v>1</v>
      </c>
      <c r="B101" s="21" t="s">
        <v>242</v>
      </c>
      <c r="C101" s="20">
        <v>45917</v>
      </c>
      <c r="D101" s="36" t="s">
        <v>283</v>
      </c>
      <c r="E101" s="21"/>
      <c r="F101" s="21"/>
      <c r="G101" s="21"/>
      <c r="H101" s="21"/>
      <c r="I101" s="21"/>
      <c r="J101" s="21"/>
      <c r="K101" s="24"/>
      <c r="L101" s="29"/>
      <c r="M101" s="170"/>
      <c r="O101" s="21"/>
      <c r="P101" s="21"/>
      <c r="Q101" s="21"/>
      <c r="R101" s="21"/>
      <c r="S101" s="21"/>
      <c r="T101" s="21"/>
      <c r="U101" s="21"/>
      <c r="V101" s="21"/>
      <c r="W101" s="22"/>
    </row>
    <row r="102" spans="1:23" ht="15.75" x14ac:dyDescent="0.25">
      <c r="A102" s="6">
        <v>2</v>
      </c>
      <c r="B102" s="21" t="s">
        <v>449</v>
      </c>
      <c r="C102" s="13">
        <v>46039</v>
      </c>
      <c r="D102" s="8"/>
      <c r="E102" s="8"/>
      <c r="F102" s="8"/>
      <c r="G102" s="8"/>
      <c r="H102" s="8"/>
      <c r="I102" s="8"/>
      <c r="J102" s="8"/>
      <c r="K102" s="25"/>
      <c r="L102" s="30"/>
      <c r="M102" s="171"/>
      <c r="N102" s="26"/>
      <c r="O102" s="8"/>
      <c r="P102" s="8"/>
      <c r="Q102" s="8"/>
      <c r="R102" s="8"/>
      <c r="S102" s="8"/>
      <c r="T102" s="8"/>
      <c r="U102" s="8"/>
      <c r="V102" s="8"/>
      <c r="W102" s="9"/>
    </row>
    <row r="103" spans="1:23" ht="15.75" x14ac:dyDescent="0.25">
      <c r="A103" s="6">
        <v>3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27"/>
      <c r="M103" s="27"/>
      <c r="N103" s="8"/>
      <c r="O103" s="8"/>
      <c r="P103" s="8"/>
      <c r="Q103" s="8"/>
      <c r="R103" s="8"/>
      <c r="S103" s="8"/>
      <c r="T103" s="8"/>
      <c r="U103" s="8"/>
      <c r="V103" s="8"/>
      <c r="W103" s="9"/>
    </row>
    <row r="104" spans="1:23" ht="15.75" x14ac:dyDescent="0.25">
      <c r="A104" s="5">
        <v>4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</row>
    <row r="105" spans="1:23" ht="15.75" x14ac:dyDescent="0.25">
      <c r="A105" s="5">
        <v>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6.5" thickBot="1" x14ac:dyDescent="0.3">
      <c r="A106" s="7">
        <v>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8" spans="1:23" ht="15.75" thickBot="1" x14ac:dyDescent="0.3"/>
    <row r="109" spans="1:23" ht="15.75" x14ac:dyDescent="0.25">
      <c r="A109" s="156" t="s">
        <v>260</v>
      </c>
      <c r="B109" s="157"/>
      <c r="C109" s="111" t="s">
        <v>337</v>
      </c>
      <c r="D109" s="112"/>
      <c r="E109" s="111" t="s">
        <v>421</v>
      </c>
      <c r="F109" s="112"/>
      <c r="G109" s="103" t="s">
        <v>4</v>
      </c>
      <c r="H109" s="157"/>
      <c r="I109" s="111" t="s">
        <v>364</v>
      </c>
      <c r="J109" s="158"/>
      <c r="K109" s="158"/>
      <c r="L109" s="158"/>
      <c r="M109" s="158"/>
      <c r="N109" s="112"/>
      <c r="O109" s="103" t="s">
        <v>6</v>
      </c>
      <c r="P109" s="157"/>
      <c r="Q109" s="103"/>
      <c r="R109" s="104"/>
      <c r="S109" s="104"/>
      <c r="T109" s="104"/>
      <c r="U109" s="104"/>
      <c r="V109" s="104"/>
      <c r="W109" s="105"/>
    </row>
    <row r="110" spans="1:23" ht="15.75" x14ac:dyDescent="0.25">
      <c r="A110" s="144" t="s">
        <v>7</v>
      </c>
      <c r="B110" s="145"/>
      <c r="C110" s="146" t="s">
        <v>44</v>
      </c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8"/>
      <c r="O110" s="135"/>
      <c r="P110" s="137"/>
      <c r="Q110" s="149"/>
      <c r="R110" s="150"/>
      <c r="S110" s="150"/>
      <c r="T110" s="150"/>
      <c r="U110" s="150"/>
      <c r="V110" s="150"/>
      <c r="W110" s="151"/>
    </row>
    <row r="111" spans="1:23" x14ac:dyDescent="0.25">
      <c r="A111" s="152" t="s">
        <v>8</v>
      </c>
      <c r="B111" s="138" t="s">
        <v>9</v>
      </c>
      <c r="C111" s="138" t="s">
        <v>10</v>
      </c>
      <c r="D111" s="138" t="s">
        <v>11</v>
      </c>
      <c r="E111" s="138" t="s">
        <v>12</v>
      </c>
      <c r="F111" s="138" t="s">
        <v>13</v>
      </c>
      <c r="G111" s="140" t="s">
        <v>14</v>
      </c>
      <c r="H111" s="141"/>
      <c r="I111" s="141"/>
      <c r="J111" s="141"/>
      <c r="K111" s="141"/>
      <c r="L111" s="142"/>
      <c r="M111" s="138" t="s">
        <v>15</v>
      </c>
      <c r="N111" s="138" t="s">
        <v>16</v>
      </c>
      <c r="O111" s="138" t="s">
        <v>17</v>
      </c>
      <c r="P111" s="138" t="s">
        <v>18</v>
      </c>
      <c r="Q111" s="140" t="s">
        <v>19</v>
      </c>
      <c r="R111" s="141"/>
      <c r="S111" s="141"/>
      <c r="T111" s="141"/>
      <c r="U111" s="141"/>
      <c r="V111" s="142"/>
      <c r="W111" s="154" t="s">
        <v>20</v>
      </c>
    </row>
    <row r="112" spans="1:23" x14ac:dyDescent="0.25">
      <c r="A112" s="153"/>
      <c r="B112" s="139"/>
      <c r="C112" s="139"/>
      <c r="D112" s="139"/>
      <c r="E112" s="139"/>
      <c r="F112" s="139"/>
      <c r="G112" s="31" t="s">
        <v>21</v>
      </c>
      <c r="H112" s="31" t="s">
        <v>21</v>
      </c>
      <c r="I112" s="31" t="s">
        <v>21</v>
      </c>
      <c r="J112" s="31" t="s">
        <v>22</v>
      </c>
      <c r="K112" s="31" t="s">
        <v>22</v>
      </c>
      <c r="L112" s="32" t="s">
        <v>22</v>
      </c>
      <c r="M112" s="172"/>
      <c r="N112" s="139"/>
      <c r="O112" s="139"/>
      <c r="P112" s="139"/>
      <c r="Q112" s="31" t="s">
        <v>21</v>
      </c>
      <c r="R112" s="31" t="s">
        <v>21</v>
      </c>
      <c r="S112" s="31" t="s">
        <v>21</v>
      </c>
      <c r="T112" s="31" t="s">
        <v>22</v>
      </c>
      <c r="U112" s="31" t="s">
        <v>22</v>
      </c>
      <c r="V112" s="31" t="s">
        <v>22</v>
      </c>
      <c r="W112" s="155"/>
    </row>
    <row r="113" spans="1:23" ht="15.75" x14ac:dyDescent="0.25">
      <c r="A113" s="5">
        <v>1</v>
      </c>
      <c r="B113" s="21" t="s">
        <v>422</v>
      </c>
      <c r="C113" s="20"/>
      <c r="D113" s="36" t="s">
        <v>283</v>
      </c>
      <c r="E113" s="21"/>
      <c r="F113" s="21"/>
      <c r="G113" s="21"/>
      <c r="H113" s="21"/>
      <c r="I113" s="21"/>
      <c r="J113" s="21"/>
      <c r="K113" s="24"/>
      <c r="L113" s="29"/>
      <c r="M113" s="170"/>
      <c r="O113" s="21"/>
      <c r="P113" s="21"/>
      <c r="Q113" s="21"/>
      <c r="R113" s="21"/>
      <c r="S113" s="21"/>
      <c r="T113" s="21"/>
      <c r="U113" s="21"/>
      <c r="V113" s="21"/>
      <c r="W113" s="22"/>
    </row>
    <row r="114" spans="1:23" ht="15.75" x14ac:dyDescent="0.25">
      <c r="A114" s="6">
        <v>2</v>
      </c>
      <c r="B114" s="21"/>
      <c r="C114" s="8"/>
      <c r="D114" s="8"/>
      <c r="E114" s="8"/>
      <c r="F114" s="8"/>
      <c r="G114" s="8"/>
      <c r="H114" s="8"/>
      <c r="I114" s="8"/>
      <c r="J114" s="8"/>
      <c r="K114" s="25"/>
      <c r="L114" s="30"/>
      <c r="M114" s="171"/>
      <c r="N114" s="26"/>
      <c r="O114" s="8"/>
      <c r="P114" s="8"/>
      <c r="Q114" s="8"/>
      <c r="R114" s="8"/>
      <c r="S114" s="8"/>
      <c r="T114" s="8"/>
      <c r="U114" s="8"/>
      <c r="V114" s="8"/>
      <c r="W114" s="9"/>
    </row>
    <row r="115" spans="1:23" ht="15.75" x14ac:dyDescent="0.25">
      <c r="A115" s="6">
        <v>3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27"/>
      <c r="M115" s="27"/>
      <c r="N115" s="8"/>
      <c r="O115" s="8"/>
      <c r="P115" s="8"/>
      <c r="Q115" s="8"/>
      <c r="R115" s="8"/>
      <c r="S115" s="8"/>
      <c r="T115" s="8"/>
      <c r="U115" s="8"/>
      <c r="V115" s="8"/>
      <c r="W115" s="9"/>
    </row>
    <row r="116" spans="1:23" ht="15.75" x14ac:dyDescent="0.25">
      <c r="A116" s="5">
        <v>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5">
        <v>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6.5" thickBot="1" x14ac:dyDescent="0.3">
      <c r="A118" s="7">
        <v>6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20" spans="1:23" ht="15.75" thickBot="1" x14ac:dyDescent="0.3"/>
    <row r="121" spans="1:23" ht="15.75" x14ac:dyDescent="0.25">
      <c r="A121" s="156" t="s">
        <v>260</v>
      </c>
      <c r="B121" s="157"/>
      <c r="C121" s="111" t="s">
        <v>338</v>
      </c>
      <c r="D121" s="112"/>
      <c r="E121" s="111" t="s">
        <v>421</v>
      </c>
      <c r="F121" s="112"/>
      <c r="G121" s="103" t="s">
        <v>4</v>
      </c>
      <c r="H121" s="157"/>
      <c r="I121" s="111" t="s">
        <v>364</v>
      </c>
      <c r="J121" s="158"/>
      <c r="K121" s="158"/>
      <c r="L121" s="158"/>
      <c r="M121" s="158"/>
      <c r="N121" s="112"/>
      <c r="O121" s="103" t="s">
        <v>6</v>
      </c>
      <c r="P121" s="157"/>
      <c r="Q121" s="103"/>
      <c r="R121" s="104"/>
      <c r="S121" s="104"/>
      <c r="T121" s="104"/>
      <c r="U121" s="104"/>
      <c r="V121" s="104"/>
      <c r="W121" s="105"/>
    </row>
    <row r="122" spans="1:23" ht="15.75" x14ac:dyDescent="0.25">
      <c r="A122" s="144" t="s">
        <v>7</v>
      </c>
      <c r="B122" s="145"/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7"/>
      <c r="O122" s="135"/>
      <c r="P122" s="137"/>
      <c r="Q122" s="149"/>
      <c r="R122" s="150"/>
      <c r="S122" s="150"/>
      <c r="T122" s="150"/>
      <c r="U122" s="150"/>
      <c r="V122" s="150"/>
      <c r="W122" s="151"/>
    </row>
    <row r="123" spans="1:23" x14ac:dyDescent="0.25">
      <c r="A123" s="152" t="s">
        <v>8</v>
      </c>
      <c r="B123" s="138" t="s">
        <v>9</v>
      </c>
      <c r="C123" s="138" t="s">
        <v>10</v>
      </c>
      <c r="D123" s="138" t="s">
        <v>11</v>
      </c>
      <c r="E123" s="138" t="s">
        <v>12</v>
      </c>
      <c r="F123" s="138" t="s">
        <v>13</v>
      </c>
      <c r="G123" s="140" t="s">
        <v>14</v>
      </c>
      <c r="H123" s="141"/>
      <c r="I123" s="141"/>
      <c r="J123" s="141"/>
      <c r="K123" s="141"/>
      <c r="L123" s="142"/>
      <c r="M123" s="138" t="s">
        <v>15</v>
      </c>
      <c r="N123" s="138" t="s">
        <v>16</v>
      </c>
      <c r="O123" s="138" t="s">
        <v>17</v>
      </c>
      <c r="P123" s="138" t="s">
        <v>18</v>
      </c>
      <c r="Q123" s="140" t="s">
        <v>19</v>
      </c>
      <c r="R123" s="141"/>
      <c r="S123" s="141"/>
      <c r="T123" s="141"/>
      <c r="U123" s="141"/>
      <c r="V123" s="142"/>
      <c r="W123" s="154" t="s">
        <v>20</v>
      </c>
    </row>
    <row r="124" spans="1:23" x14ac:dyDescent="0.25">
      <c r="A124" s="153"/>
      <c r="B124" s="139"/>
      <c r="C124" s="139"/>
      <c r="D124" s="139"/>
      <c r="E124" s="139"/>
      <c r="F124" s="139"/>
      <c r="G124" s="31" t="s">
        <v>21</v>
      </c>
      <c r="H124" s="31" t="s">
        <v>21</v>
      </c>
      <c r="I124" s="31" t="s">
        <v>21</v>
      </c>
      <c r="J124" s="31" t="s">
        <v>22</v>
      </c>
      <c r="K124" s="31" t="s">
        <v>22</v>
      </c>
      <c r="L124" s="32" t="s">
        <v>22</v>
      </c>
      <c r="M124" s="169"/>
      <c r="N124" s="139"/>
      <c r="O124" s="139"/>
      <c r="P124" s="139"/>
      <c r="Q124" s="31" t="s">
        <v>21</v>
      </c>
      <c r="R124" s="31" t="s">
        <v>21</v>
      </c>
      <c r="S124" s="31" t="s">
        <v>21</v>
      </c>
      <c r="T124" s="31" t="s">
        <v>22</v>
      </c>
      <c r="U124" s="31" t="s">
        <v>22</v>
      </c>
      <c r="V124" s="31" t="s">
        <v>22</v>
      </c>
      <c r="W124" s="155"/>
    </row>
    <row r="125" spans="1:23" ht="15.75" x14ac:dyDescent="0.25">
      <c r="A125" s="5">
        <v>1</v>
      </c>
      <c r="B125" s="21" t="s">
        <v>422</v>
      </c>
      <c r="C125" s="20">
        <v>46070</v>
      </c>
      <c r="D125" s="36">
        <v>46096</v>
      </c>
      <c r="E125" s="21">
        <v>3</v>
      </c>
      <c r="F125" s="21">
        <v>0</v>
      </c>
      <c r="G125" s="21">
        <v>89</v>
      </c>
      <c r="H125" s="21">
        <v>80</v>
      </c>
      <c r="I125" s="21">
        <v>93</v>
      </c>
      <c r="J125" s="21"/>
      <c r="K125" s="24"/>
      <c r="L125" s="58"/>
      <c r="M125" s="89">
        <f>AVERAGE(G125:L125)</f>
        <v>87.333333333333329</v>
      </c>
      <c r="N125" s="70">
        <v>46133</v>
      </c>
      <c r="O125" s="21">
        <v>1</v>
      </c>
      <c r="P125" s="21">
        <v>2</v>
      </c>
      <c r="Q125" s="21">
        <v>279</v>
      </c>
      <c r="R125" s="21"/>
      <c r="S125" s="21"/>
      <c r="T125" s="21"/>
      <c r="U125" s="21"/>
      <c r="V125" s="21"/>
      <c r="W125" s="22">
        <v>279</v>
      </c>
    </row>
    <row r="126" spans="1:23" ht="15.75" x14ac:dyDescent="0.25">
      <c r="A126" s="6">
        <v>2</v>
      </c>
      <c r="B126" s="21"/>
      <c r="C126" s="8"/>
      <c r="D126" s="8"/>
      <c r="E126" s="8"/>
      <c r="F126" s="8"/>
      <c r="G126" s="8"/>
      <c r="H126" s="8"/>
      <c r="I126" s="8"/>
      <c r="J126" s="8"/>
      <c r="K126" s="25"/>
      <c r="L126" s="71"/>
      <c r="M126" s="63"/>
      <c r="N126" s="26"/>
      <c r="O126" s="8"/>
      <c r="P126" s="8"/>
      <c r="Q126" s="8"/>
      <c r="R126" s="8"/>
      <c r="S126" s="8"/>
      <c r="T126" s="8"/>
      <c r="U126" s="8"/>
      <c r="V126" s="8"/>
      <c r="W126" s="9"/>
    </row>
    <row r="127" spans="1:23" ht="15.75" x14ac:dyDescent="0.25">
      <c r="A127" s="6">
        <v>3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27"/>
      <c r="M127" s="27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spans="1:23" ht="15.75" x14ac:dyDescent="0.25">
      <c r="A128" s="5">
        <v>4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spans="1:23" ht="15.75" x14ac:dyDescent="0.25">
      <c r="A129" s="5">
        <v>5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</row>
    <row r="130" spans="1:23" ht="16.5" thickBot="1" x14ac:dyDescent="0.3">
      <c r="A130" s="7">
        <v>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2" spans="1:23" ht="15.75" thickBot="1" x14ac:dyDescent="0.3"/>
    <row r="133" spans="1:23" ht="15.75" x14ac:dyDescent="0.25">
      <c r="A133" s="156" t="s">
        <v>260</v>
      </c>
      <c r="B133" s="157"/>
      <c r="C133" s="111" t="s">
        <v>339</v>
      </c>
      <c r="D133" s="112"/>
      <c r="E133" s="111" t="s">
        <v>421</v>
      </c>
      <c r="F133" s="112"/>
      <c r="G133" s="103" t="s">
        <v>4</v>
      </c>
      <c r="H133" s="157"/>
      <c r="I133" s="111" t="s">
        <v>364</v>
      </c>
      <c r="J133" s="158"/>
      <c r="K133" s="158"/>
      <c r="L133" s="158"/>
      <c r="M133" s="158"/>
      <c r="N133" s="112"/>
      <c r="O133" s="103" t="s">
        <v>6</v>
      </c>
      <c r="P133" s="157"/>
      <c r="Q133" s="103"/>
      <c r="R133" s="104"/>
      <c r="S133" s="104"/>
      <c r="T133" s="104"/>
      <c r="U133" s="104"/>
      <c r="V133" s="104"/>
      <c r="W133" s="105"/>
    </row>
    <row r="134" spans="1:23" ht="15.75" x14ac:dyDescent="0.25">
      <c r="A134" s="144" t="s">
        <v>7</v>
      </c>
      <c r="B134" s="145"/>
      <c r="C134" s="135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7"/>
      <c r="O134" s="135"/>
      <c r="P134" s="137"/>
      <c r="Q134" s="149"/>
      <c r="R134" s="150"/>
      <c r="S134" s="150"/>
      <c r="T134" s="150"/>
      <c r="U134" s="150"/>
      <c r="V134" s="150"/>
      <c r="W134" s="151"/>
    </row>
    <row r="135" spans="1:23" x14ac:dyDescent="0.25">
      <c r="A135" s="152" t="s">
        <v>8</v>
      </c>
      <c r="B135" s="138" t="s">
        <v>9</v>
      </c>
      <c r="C135" s="138" t="s">
        <v>10</v>
      </c>
      <c r="D135" s="138" t="s">
        <v>11</v>
      </c>
      <c r="E135" s="138" t="s">
        <v>12</v>
      </c>
      <c r="F135" s="138" t="s">
        <v>13</v>
      </c>
      <c r="G135" s="140" t="s">
        <v>14</v>
      </c>
      <c r="H135" s="141"/>
      <c r="I135" s="141"/>
      <c r="J135" s="141"/>
      <c r="K135" s="141"/>
      <c r="L135" s="142"/>
      <c r="M135" s="138" t="s">
        <v>15</v>
      </c>
      <c r="N135" s="138" t="s">
        <v>16</v>
      </c>
      <c r="O135" s="138" t="s">
        <v>17</v>
      </c>
      <c r="P135" s="138" t="s">
        <v>18</v>
      </c>
      <c r="Q135" s="140" t="s">
        <v>19</v>
      </c>
      <c r="R135" s="141"/>
      <c r="S135" s="141"/>
      <c r="T135" s="141"/>
      <c r="U135" s="141"/>
      <c r="V135" s="142"/>
      <c r="W135" s="154" t="s">
        <v>20</v>
      </c>
    </row>
    <row r="136" spans="1:23" x14ac:dyDescent="0.25">
      <c r="A136" s="153"/>
      <c r="B136" s="139"/>
      <c r="C136" s="139"/>
      <c r="D136" s="139"/>
      <c r="E136" s="139"/>
      <c r="F136" s="139"/>
      <c r="G136" s="31" t="s">
        <v>21</v>
      </c>
      <c r="H136" s="31" t="s">
        <v>21</v>
      </c>
      <c r="I136" s="31" t="s">
        <v>21</v>
      </c>
      <c r="J136" s="31" t="s">
        <v>22</v>
      </c>
      <c r="K136" s="31" t="s">
        <v>22</v>
      </c>
      <c r="L136" s="32" t="s">
        <v>22</v>
      </c>
      <c r="M136" s="169"/>
      <c r="N136" s="139"/>
      <c r="O136" s="139"/>
      <c r="P136" s="139"/>
      <c r="Q136" s="31" t="s">
        <v>21</v>
      </c>
      <c r="R136" s="31" t="s">
        <v>21</v>
      </c>
      <c r="S136" s="31" t="s">
        <v>21</v>
      </c>
      <c r="T136" s="31" t="s">
        <v>22</v>
      </c>
      <c r="U136" s="31" t="s">
        <v>22</v>
      </c>
      <c r="V136" s="31" t="s">
        <v>22</v>
      </c>
      <c r="W136" s="155"/>
    </row>
    <row r="137" spans="1:23" ht="15.75" x14ac:dyDescent="0.25">
      <c r="A137" s="5">
        <v>1</v>
      </c>
      <c r="B137" s="21" t="s">
        <v>422</v>
      </c>
      <c r="C137" s="20">
        <v>46070</v>
      </c>
      <c r="D137" s="36">
        <v>46103</v>
      </c>
      <c r="E137" s="21">
        <v>4</v>
      </c>
      <c r="F137" s="21">
        <v>0</v>
      </c>
      <c r="G137" s="21">
        <v>133</v>
      </c>
      <c r="H137" s="21">
        <v>116</v>
      </c>
      <c r="I137" s="21"/>
      <c r="J137" s="21">
        <v>88</v>
      </c>
      <c r="K137" s="24">
        <v>107</v>
      </c>
      <c r="L137" s="58"/>
      <c r="M137" s="63">
        <f>AVERAGE(G137:L137)</f>
        <v>111</v>
      </c>
      <c r="N137" s="70">
        <v>46133</v>
      </c>
      <c r="O137" s="21">
        <v>4</v>
      </c>
      <c r="P137" s="21">
        <v>0</v>
      </c>
      <c r="Q137" s="21">
        <v>331</v>
      </c>
      <c r="R137" s="21">
        <v>331</v>
      </c>
      <c r="S137" s="21"/>
      <c r="T137" s="21">
        <v>374</v>
      </c>
      <c r="U137" s="21">
        <v>316</v>
      </c>
      <c r="V137" s="21"/>
      <c r="W137" s="22">
        <f>AVERAGE(Q137:V137)</f>
        <v>338</v>
      </c>
    </row>
    <row r="138" spans="1:23" ht="15.75" x14ac:dyDescent="0.25">
      <c r="A138" s="6">
        <v>2</v>
      </c>
      <c r="B138" s="21"/>
      <c r="C138" s="8"/>
      <c r="D138" s="8"/>
      <c r="E138" s="8"/>
      <c r="F138" s="8"/>
      <c r="G138" s="8"/>
      <c r="H138" s="8"/>
      <c r="I138" s="8"/>
      <c r="J138" s="8"/>
      <c r="K138" s="25"/>
      <c r="L138" s="71"/>
      <c r="M138" s="63"/>
      <c r="N138" s="26"/>
      <c r="O138" s="8"/>
      <c r="P138" s="8"/>
      <c r="Q138" s="8"/>
      <c r="R138" s="8"/>
      <c r="S138" s="8"/>
      <c r="T138" s="8"/>
      <c r="U138" s="8"/>
      <c r="V138" s="8"/>
      <c r="W138" s="9"/>
    </row>
    <row r="139" spans="1:23" ht="15.75" x14ac:dyDescent="0.25">
      <c r="A139" s="6">
        <v>3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27"/>
      <c r="M139" s="27"/>
      <c r="N139" s="8"/>
      <c r="O139" s="8"/>
      <c r="P139" s="8"/>
      <c r="Q139" s="8"/>
      <c r="R139" s="8"/>
      <c r="S139" s="8"/>
      <c r="T139" s="8"/>
      <c r="U139" s="8"/>
      <c r="V139" s="8"/>
      <c r="W139" s="9"/>
    </row>
    <row r="140" spans="1:23" ht="15.75" x14ac:dyDescent="0.25">
      <c r="A140" s="5">
        <v>4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</row>
    <row r="141" spans="1:23" ht="15.75" x14ac:dyDescent="0.25">
      <c r="A141" s="5">
        <v>5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spans="1:23" ht="16.5" thickBot="1" x14ac:dyDescent="0.3">
      <c r="A142" s="7">
        <v>6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4" spans="1:23" ht="15.75" thickBot="1" x14ac:dyDescent="0.3"/>
    <row r="145" spans="1:23" ht="15.75" x14ac:dyDescent="0.25">
      <c r="A145" s="156" t="s">
        <v>260</v>
      </c>
      <c r="B145" s="157"/>
      <c r="C145" s="111" t="s">
        <v>340</v>
      </c>
      <c r="D145" s="112"/>
      <c r="E145" s="111" t="s">
        <v>421</v>
      </c>
      <c r="F145" s="112"/>
      <c r="G145" s="103" t="s">
        <v>4</v>
      </c>
      <c r="H145" s="157"/>
      <c r="I145" s="111" t="s">
        <v>364</v>
      </c>
      <c r="J145" s="158"/>
      <c r="K145" s="158"/>
      <c r="L145" s="158"/>
      <c r="M145" s="158"/>
      <c r="N145" s="112"/>
      <c r="O145" s="103" t="s">
        <v>6</v>
      </c>
      <c r="P145" s="157"/>
      <c r="Q145" s="103"/>
      <c r="R145" s="104"/>
      <c r="S145" s="104"/>
      <c r="T145" s="104"/>
      <c r="U145" s="104"/>
      <c r="V145" s="104"/>
      <c r="W145" s="105"/>
    </row>
    <row r="146" spans="1:23" ht="15.75" x14ac:dyDescent="0.25">
      <c r="A146" s="144" t="s">
        <v>7</v>
      </c>
      <c r="B146" s="145"/>
      <c r="C146" s="135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7"/>
      <c r="O146" s="135"/>
      <c r="P146" s="137"/>
      <c r="Q146" s="149"/>
      <c r="R146" s="150"/>
      <c r="S146" s="150"/>
      <c r="T146" s="150"/>
      <c r="U146" s="150"/>
      <c r="V146" s="150"/>
      <c r="W146" s="151"/>
    </row>
    <row r="147" spans="1:23" x14ac:dyDescent="0.25">
      <c r="A147" s="152" t="s">
        <v>8</v>
      </c>
      <c r="B147" s="138" t="s">
        <v>9</v>
      </c>
      <c r="C147" s="138" t="s">
        <v>10</v>
      </c>
      <c r="D147" s="138" t="s">
        <v>11</v>
      </c>
      <c r="E147" s="138" t="s">
        <v>12</v>
      </c>
      <c r="F147" s="138" t="s">
        <v>13</v>
      </c>
      <c r="G147" s="140" t="s">
        <v>14</v>
      </c>
      <c r="H147" s="141"/>
      <c r="I147" s="141"/>
      <c r="J147" s="141"/>
      <c r="K147" s="141"/>
      <c r="L147" s="142"/>
      <c r="M147" s="138" t="s">
        <v>15</v>
      </c>
      <c r="N147" s="138" t="s">
        <v>16</v>
      </c>
      <c r="O147" s="138" t="s">
        <v>17</v>
      </c>
      <c r="P147" s="138" t="s">
        <v>18</v>
      </c>
      <c r="Q147" s="140" t="s">
        <v>19</v>
      </c>
      <c r="R147" s="141"/>
      <c r="S147" s="141"/>
      <c r="T147" s="141"/>
      <c r="U147" s="141"/>
      <c r="V147" s="142"/>
      <c r="W147" s="154" t="s">
        <v>20</v>
      </c>
    </row>
    <row r="148" spans="1:23" x14ac:dyDescent="0.25">
      <c r="A148" s="153"/>
      <c r="B148" s="139"/>
      <c r="C148" s="139"/>
      <c r="D148" s="139"/>
      <c r="E148" s="139"/>
      <c r="F148" s="139"/>
      <c r="G148" s="31" t="s">
        <v>21</v>
      </c>
      <c r="H148" s="31" t="s">
        <v>21</v>
      </c>
      <c r="I148" s="31" t="s">
        <v>21</v>
      </c>
      <c r="J148" s="31" t="s">
        <v>22</v>
      </c>
      <c r="K148" s="31" t="s">
        <v>22</v>
      </c>
      <c r="L148" s="32" t="s">
        <v>22</v>
      </c>
      <c r="M148" s="169"/>
      <c r="N148" s="139"/>
      <c r="O148" s="139"/>
      <c r="P148" s="139"/>
      <c r="Q148" s="31" t="s">
        <v>21</v>
      </c>
      <c r="R148" s="31" t="s">
        <v>21</v>
      </c>
      <c r="S148" s="31" t="s">
        <v>21</v>
      </c>
      <c r="T148" s="31" t="s">
        <v>22</v>
      </c>
      <c r="U148" s="31" t="s">
        <v>22</v>
      </c>
      <c r="V148" s="31" t="s">
        <v>22</v>
      </c>
      <c r="W148" s="155"/>
    </row>
    <row r="149" spans="1:23" ht="15.75" x14ac:dyDescent="0.25">
      <c r="A149" s="5">
        <v>1</v>
      </c>
      <c r="B149" s="21" t="s">
        <v>422</v>
      </c>
      <c r="C149" s="20">
        <v>45971</v>
      </c>
      <c r="D149" s="36">
        <v>46062</v>
      </c>
      <c r="E149" s="21">
        <v>3</v>
      </c>
      <c r="F149" s="21">
        <v>0</v>
      </c>
      <c r="G149" s="21">
        <v>126</v>
      </c>
      <c r="H149" s="21"/>
      <c r="I149" s="21"/>
      <c r="J149" s="21">
        <v>128</v>
      </c>
      <c r="K149" s="24">
        <v>127</v>
      </c>
      <c r="L149" s="58"/>
      <c r="M149" s="83">
        <f>AVERAGE(G149:L149)</f>
        <v>127</v>
      </c>
      <c r="N149" s="70">
        <v>46077</v>
      </c>
      <c r="O149" s="21">
        <v>3</v>
      </c>
      <c r="P149" s="21">
        <v>0</v>
      </c>
      <c r="Q149" s="21"/>
      <c r="R149" s="21"/>
      <c r="S149" s="21"/>
      <c r="T149" s="21"/>
      <c r="U149" s="21"/>
      <c r="V149" s="21"/>
      <c r="W149" s="22"/>
    </row>
    <row r="150" spans="1:23" ht="15.75" x14ac:dyDescent="0.25">
      <c r="A150" s="6">
        <v>2</v>
      </c>
      <c r="B150" s="21" t="s">
        <v>422</v>
      </c>
      <c r="C150" s="13">
        <v>46070</v>
      </c>
      <c r="D150" s="13">
        <v>46114</v>
      </c>
      <c r="E150" s="21">
        <v>4</v>
      </c>
      <c r="F150" s="21">
        <v>0</v>
      </c>
      <c r="G150" s="21">
        <v>106</v>
      </c>
      <c r="H150" s="21">
        <v>104</v>
      </c>
      <c r="I150" s="21">
        <v>97</v>
      </c>
      <c r="J150" s="21"/>
      <c r="K150" s="24"/>
      <c r="L150" s="58"/>
      <c r="M150" s="90">
        <f>AVERAGE(G150:L150)</f>
        <v>102.33333333333333</v>
      </c>
      <c r="N150" s="26">
        <v>46139</v>
      </c>
      <c r="O150" s="21">
        <v>4</v>
      </c>
      <c r="P150" s="21">
        <v>0</v>
      </c>
      <c r="Q150" s="21">
        <v>175</v>
      </c>
      <c r="R150" s="21">
        <v>166</v>
      </c>
      <c r="S150" s="21">
        <v>184</v>
      </c>
      <c r="T150" s="21">
        <v>184</v>
      </c>
      <c r="U150" s="21"/>
      <c r="V150" s="21"/>
      <c r="W150" s="68">
        <f>AVERAGE(Q150:V150)</f>
        <v>177.25</v>
      </c>
    </row>
    <row r="151" spans="1:23" ht="15.75" x14ac:dyDescent="0.25">
      <c r="A151" s="6">
        <v>3</v>
      </c>
      <c r="B151" s="8"/>
      <c r="C151" s="8"/>
      <c r="D151" s="8"/>
      <c r="E151" s="21"/>
      <c r="F151" s="21"/>
      <c r="G151" s="21"/>
      <c r="H151" s="21"/>
      <c r="I151" s="21"/>
      <c r="J151" s="21"/>
      <c r="K151" s="21"/>
      <c r="L151" s="44"/>
      <c r="M151" s="44"/>
      <c r="N151" s="21"/>
      <c r="O151" s="21"/>
      <c r="P151" s="21"/>
      <c r="Q151" s="21"/>
      <c r="R151" s="21"/>
      <c r="S151" s="21"/>
      <c r="T151" s="21"/>
      <c r="U151" s="21"/>
      <c r="V151" s="21"/>
      <c r="W151" s="22"/>
    </row>
    <row r="152" spans="1:23" ht="15.75" x14ac:dyDescent="0.25">
      <c r="A152" s="5">
        <v>4</v>
      </c>
      <c r="B152" s="8"/>
      <c r="C152" s="8"/>
      <c r="D152" s="8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2"/>
    </row>
    <row r="153" spans="1:23" ht="15.75" x14ac:dyDescent="0.25">
      <c r="A153" s="5">
        <v>5</v>
      </c>
      <c r="B153" s="8"/>
      <c r="C153" s="8"/>
      <c r="D153" s="8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2"/>
    </row>
    <row r="154" spans="1:23" ht="16.5" thickBot="1" x14ac:dyDescent="0.3">
      <c r="A154" s="7">
        <v>6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6" spans="1:23" ht="15.75" thickBot="1" x14ac:dyDescent="0.3"/>
    <row r="157" spans="1:23" ht="15.75" x14ac:dyDescent="0.25">
      <c r="A157" s="156" t="s">
        <v>260</v>
      </c>
      <c r="B157" s="157"/>
      <c r="C157" s="111" t="s">
        <v>341</v>
      </c>
      <c r="D157" s="112"/>
      <c r="E157" s="111" t="s">
        <v>421</v>
      </c>
      <c r="F157" s="112"/>
      <c r="G157" s="103" t="s">
        <v>4</v>
      </c>
      <c r="H157" s="157"/>
      <c r="I157" s="111" t="s">
        <v>364</v>
      </c>
      <c r="J157" s="158"/>
      <c r="K157" s="158"/>
      <c r="L157" s="158"/>
      <c r="M157" s="158"/>
      <c r="N157" s="112"/>
      <c r="O157" s="103" t="s">
        <v>6</v>
      </c>
      <c r="P157" s="157"/>
      <c r="Q157" s="103"/>
      <c r="R157" s="104"/>
      <c r="S157" s="104"/>
      <c r="T157" s="104"/>
      <c r="U157" s="104"/>
      <c r="V157" s="104"/>
      <c r="W157" s="105"/>
    </row>
    <row r="158" spans="1:23" ht="15.75" x14ac:dyDescent="0.25">
      <c r="A158" s="144" t="s">
        <v>7</v>
      </c>
      <c r="B158" s="145"/>
      <c r="C158" s="135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7"/>
      <c r="O158" s="135"/>
      <c r="P158" s="137"/>
      <c r="Q158" s="149"/>
      <c r="R158" s="150"/>
      <c r="S158" s="150"/>
      <c r="T158" s="150"/>
      <c r="U158" s="150"/>
      <c r="V158" s="150"/>
      <c r="W158" s="151"/>
    </row>
    <row r="159" spans="1:23" x14ac:dyDescent="0.25">
      <c r="A159" s="152" t="s">
        <v>8</v>
      </c>
      <c r="B159" s="138" t="s">
        <v>9</v>
      </c>
      <c r="C159" s="138" t="s">
        <v>10</v>
      </c>
      <c r="D159" s="138" t="s">
        <v>11</v>
      </c>
      <c r="E159" s="138" t="s">
        <v>12</v>
      </c>
      <c r="F159" s="138" t="s">
        <v>13</v>
      </c>
      <c r="G159" s="140" t="s">
        <v>14</v>
      </c>
      <c r="H159" s="141"/>
      <c r="I159" s="141"/>
      <c r="J159" s="141"/>
      <c r="K159" s="141"/>
      <c r="L159" s="142"/>
      <c r="M159" s="138" t="s">
        <v>15</v>
      </c>
      <c r="N159" s="138" t="s">
        <v>16</v>
      </c>
      <c r="O159" s="138" t="s">
        <v>17</v>
      </c>
      <c r="P159" s="138" t="s">
        <v>18</v>
      </c>
      <c r="Q159" s="140" t="s">
        <v>19</v>
      </c>
      <c r="R159" s="141"/>
      <c r="S159" s="141"/>
      <c r="T159" s="141"/>
      <c r="U159" s="141"/>
      <c r="V159" s="142"/>
      <c r="W159" s="154" t="s">
        <v>20</v>
      </c>
    </row>
    <row r="160" spans="1:23" x14ac:dyDescent="0.25">
      <c r="A160" s="153"/>
      <c r="B160" s="139"/>
      <c r="C160" s="139"/>
      <c r="D160" s="139"/>
      <c r="E160" s="139"/>
      <c r="F160" s="139"/>
      <c r="G160" s="31" t="s">
        <v>21</v>
      </c>
      <c r="H160" s="31" t="s">
        <v>21</v>
      </c>
      <c r="I160" s="31" t="s">
        <v>21</v>
      </c>
      <c r="J160" s="31" t="s">
        <v>22</v>
      </c>
      <c r="K160" s="31" t="s">
        <v>22</v>
      </c>
      <c r="L160" s="32" t="s">
        <v>22</v>
      </c>
      <c r="M160" s="172"/>
      <c r="N160" s="139"/>
      <c r="O160" s="139"/>
      <c r="P160" s="139"/>
      <c r="Q160" s="31" t="s">
        <v>21</v>
      </c>
      <c r="R160" s="31" t="s">
        <v>21</v>
      </c>
      <c r="S160" s="31" t="s">
        <v>21</v>
      </c>
      <c r="T160" s="31" t="s">
        <v>22</v>
      </c>
      <c r="U160" s="31" t="s">
        <v>22</v>
      </c>
      <c r="V160" s="31" t="s">
        <v>22</v>
      </c>
      <c r="W160" s="155"/>
    </row>
    <row r="161" spans="1:23" ht="15.75" x14ac:dyDescent="0.25">
      <c r="A161" s="5">
        <v>1</v>
      </c>
      <c r="B161" s="21" t="s">
        <v>422</v>
      </c>
      <c r="C161" s="20" t="s">
        <v>435</v>
      </c>
      <c r="D161" s="36" t="s">
        <v>283</v>
      </c>
      <c r="E161" s="21"/>
      <c r="F161" s="21"/>
      <c r="G161" s="21"/>
      <c r="H161" s="21"/>
      <c r="I161" s="21"/>
      <c r="J161" s="21"/>
      <c r="K161" s="24"/>
      <c r="L161" s="29"/>
      <c r="M161" s="170"/>
      <c r="O161" s="21"/>
      <c r="P161" s="21"/>
      <c r="Q161" s="21"/>
      <c r="R161" s="21"/>
      <c r="S161" s="21"/>
      <c r="T161" s="21"/>
      <c r="U161" s="21"/>
      <c r="V161" s="21"/>
      <c r="W161" s="22"/>
    </row>
    <row r="162" spans="1:23" ht="15.75" x14ac:dyDescent="0.25">
      <c r="A162" s="6">
        <v>2</v>
      </c>
      <c r="B162" s="21"/>
      <c r="C162" s="8"/>
      <c r="D162" s="8"/>
      <c r="E162" s="8"/>
      <c r="F162" s="8"/>
      <c r="G162" s="8"/>
      <c r="H162" s="8"/>
      <c r="I162" s="8"/>
      <c r="J162" s="8"/>
      <c r="K162" s="25"/>
      <c r="L162" s="30"/>
      <c r="M162" s="171"/>
      <c r="N162" s="26"/>
      <c r="O162" s="8"/>
      <c r="P162" s="8"/>
      <c r="Q162" s="8"/>
      <c r="R162" s="8"/>
      <c r="S162" s="8"/>
      <c r="T162" s="8"/>
      <c r="U162" s="8"/>
      <c r="V162" s="8"/>
      <c r="W162" s="9"/>
    </row>
    <row r="163" spans="1:23" ht="15.75" x14ac:dyDescent="0.25">
      <c r="A163" s="6">
        <v>3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27"/>
      <c r="M163" s="27"/>
      <c r="N163" s="8"/>
      <c r="O163" s="8"/>
      <c r="P163" s="8"/>
      <c r="Q163" s="8"/>
      <c r="R163" s="8"/>
      <c r="S163" s="8"/>
      <c r="T163" s="8"/>
      <c r="U163" s="8"/>
      <c r="V163" s="8"/>
      <c r="W163" s="9"/>
    </row>
    <row r="164" spans="1:23" ht="15.75" x14ac:dyDescent="0.25">
      <c r="A164" s="5">
        <v>4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</row>
    <row r="165" spans="1:23" ht="15.75" x14ac:dyDescent="0.25">
      <c r="A165" s="5">
        <v>5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spans="1:23" ht="16.5" thickBot="1" x14ac:dyDescent="0.3">
      <c r="A166" s="7">
        <v>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8" spans="1:23" ht="15.75" thickBot="1" x14ac:dyDescent="0.3"/>
    <row r="169" spans="1:23" ht="15.75" x14ac:dyDescent="0.25">
      <c r="A169" s="156" t="s">
        <v>260</v>
      </c>
      <c r="B169" s="157"/>
      <c r="C169" s="111" t="s">
        <v>342</v>
      </c>
      <c r="D169" s="112"/>
      <c r="E169" s="111" t="s">
        <v>421</v>
      </c>
      <c r="F169" s="112"/>
      <c r="G169" s="103" t="s">
        <v>4</v>
      </c>
      <c r="H169" s="157"/>
      <c r="I169" s="111" t="s">
        <v>364</v>
      </c>
      <c r="J169" s="158"/>
      <c r="K169" s="158"/>
      <c r="L169" s="158"/>
      <c r="M169" s="158"/>
      <c r="N169" s="112"/>
      <c r="O169" s="103" t="s">
        <v>6</v>
      </c>
      <c r="P169" s="157"/>
      <c r="Q169" s="103"/>
      <c r="R169" s="104"/>
      <c r="S169" s="104"/>
      <c r="T169" s="104"/>
      <c r="U169" s="104"/>
      <c r="V169" s="104"/>
      <c r="W169" s="105"/>
    </row>
    <row r="170" spans="1:23" ht="15.75" x14ac:dyDescent="0.25">
      <c r="A170" s="144" t="s">
        <v>7</v>
      </c>
      <c r="B170" s="145"/>
      <c r="C170" s="135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7"/>
      <c r="O170" s="135"/>
      <c r="P170" s="137"/>
      <c r="Q170" s="149"/>
      <c r="R170" s="150"/>
      <c r="S170" s="150"/>
      <c r="T170" s="150"/>
      <c r="U170" s="150"/>
      <c r="V170" s="150"/>
      <c r="W170" s="151"/>
    </row>
    <row r="171" spans="1:23" x14ac:dyDescent="0.25">
      <c r="A171" s="152" t="s">
        <v>8</v>
      </c>
      <c r="B171" s="138" t="s">
        <v>9</v>
      </c>
      <c r="C171" s="138" t="s">
        <v>10</v>
      </c>
      <c r="D171" s="138" t="s">
        <v>11</v>
      </c>
      <c r="E171" s="138" t="s">
        <v>12</v>
      </c>
      <c r="F171" s="138" t="s">
        <v>13</v>
      </c>
      <c r="G171" s="140" t="s">
        <v>14</v>
      </c>
      <c r="H171" s="141"/>
      <c r="I171" s="141"/>
      <c r="J171" s="141"/>
      <c r="K171" s="141"/>
      <c r="L171" s="142"/>
      <c r="M171" s="138" t="s">
        <v>15</v>
      </c>
      <c r="N171" s="138" t="s">
        <v>16</v>
      </c>
      <c r="O171" s="138" t="s">
        <v>17</v>
      </c>
      <c r="P171" s="138" t="s">
        <v>18</v>
      </c>
      <c r="Q171" s="140" t="s">
        <v>19</v>
      </c>
      <c r="R171" s="141"/>
      <c r="S171" s="141"/>
      <c r="T171" s="141"/>
      <c r="U171" s="141"/>
      <c r="V171" s="142"/>
      <c r="W171" s="154" t="s">
        <v>20</v>
      </c>
    </row>
    <row r="172" spans="1:23" x14ac:dyDescent="0.25">
      <c r="A172" s="153"/>
      <c r="B172" s="139"/>
      <c r="C172" s="139"/>
      <c r="D172" s="139"/>
      <c r="E172" s="139"/>
      <c r="F172" s="139"/>
      <c r="G172" s="31" t="s">
        <v>21</v>
      </c>
      <c r="H172" s="31" t="s">
        <v>21</v>
      </c>
      <c r="I172" s="31" t="s">
        <v>21</v>
      </c>
      <c r="J172" s="31" t="s">
        <v>22</v>
      </c>
      <c r="K172" s="31" t="s">
        <v>22</v>
      </c>
      <c r="L172" s="32" t="s">
        <v>22</v>
      </c>
      <c r="M172" s="169"/>
      <c r="N172" s="139"/>
      <c r="O172" s="139"/>
      <c r="P172" s="139"/>
      <c r="Q172" s="31" t="s">
        <v>21</v>
      </c>
      <c r="R172" s="31" t="s">
        <v>21</v>
      </c>
      <c r="S172" s="31" t="s">
        <v>21</v>
      </c>
      <c r="T172" s="31" t="s">
        <v>22</v>
      </c>
      <c r="U172" s="31" t="s">
        <v>22</v>
      </c>
      <c r="V172" s="31" t="s">
        <v>22</v>
      </c>
      <c r="W172" s="155"/>
    </row>
    <row r="173" spans="1:23" ht="15.75" x14ac:dyDescent="0.25">
      <c r="A173" s="5">
        <v>1</v>
      </c>
      <c r="B173" s="21" t="s">
        <v>422</v>
      </c>
      <c r="C173" s="20"/>
      <c r="D173" s="36">
        <v>46097</v>
      </c>
      <c r="E173" s="21">
        <v>2</v>
      </c>
      <c r="F173" s="21">
        <v>0</v>
      </c>
      <c r="G173" s="21">
        <v>152</v>
      </c>
      <c r="H173" s="21">
        <v>142</v>
      </c>
      <c r="I173" s="21"/>
      <c r="J173" s="21"/>
      <c r="K173" s="24"/>
      <c r="L173" s="58"/>
      <c r="M173" s="31">
        <f>AVERAGE(G173:L173)</f>
        <v>147</v>
      </c>
      <c r="N173" s="93">
        <v>46133</v>
      </c>
      <c r="O173" s="21">
        <v>2</v>
      </c>
      <c r="P173" s="21">
        <v>0</v>
      </c>
      <c r="Q173" s="21">
        <v>458</v>
      </c>
      <c r="R173" s="21">
        <v>366</v>
      </c>
      <c r="S173" s="21"/>
      <c r="T173" s="21"/>
      <c r="U173" s="21"/>
      <c r="V173" s="21"/>
      <c r="W173" s="22">
        <f>AVERAGE(Q173:V173)</f>
        <v>412</v>
      </c>
    </row>
    <row r="174" spans="1:23" ht="15.75" x14ac:dyDescent="0.25">
      <c r="A174" s="6">
        <v>2</v>
      </c>
      <c r="B174" s="21"/>
      <c r="C174" s="8"/>
      <c r="D174" s="21"/>
      <c r="E174" s="21"/>
      <c r="F174" s="21"/>
      <c r="G174" s="21"/>
      <c r="H174" s="21"/>
      <c r="I174" s="21"/>
      <c r="J174" s="21"/>
      <c r="K174" s="24"/>
      <c r="L174" s="58"/>
      <c r="M174" s="31"/>
      <c r="N174" s="26"/>
      <c r="O174" s="21"/>
      <c r="P174" s="21"/>
      <c r="Q174" s="21"/>
      <c r="R174" s="21"/>
      <c r="S174" s="21"/>
      <c r="T174" s="21"/>
      <c r="U174" s="21"/>
      <c r="V174" s="21"/>
      <c r="W174" s="22"/>
    </row>
    <row r="175" spans="1:23" ht="15.75" x14ac:dyDescent="0.25">
      <c r="A175" s="6">
        <v>3</v>
      </c>
      <c r="B175" s="8"/>
      <c r="C175" s="8"/>
      <c r="D175" s="21"/>
      <c r="E175" s="21"/>
      <c r="F175" s="21"/>
      <c r="G175" s="21"/>
      <c r="H175" s="21"/>
      <c r="I175" s="21"/>
      <c r="J175" s="21"/>
      <c r="K175" s="21"/>
      <c r="L175" s="44"/>
      <c r="M175" s="44"/>
      <c r="N175" s="21"/>
      <c r="O175" s="21"/>
      <c r="P175" s="21"/>
      <c r="Q175" s="21"/>
      <c r="R175" s="21"/>
      <c r="S175" s="21"/>
      <c r="T175" s="21"/>
      <c r="U175" s="21"/>
      <c r="V175" s="21"/>
      <c r="W175" s="22"/>
    </row>
    <row r="176" spans="1:23" ht="15.75" x14ac:dyDescent="0.25">
      <c r="A176" s="5">
        <v>4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</row>
    <row r="177" spans="1:23" ht="15.75" x14ac:dyDescent="0.25">
      <c r="A177" s="5">
        <v>5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</row>
    <row r="178" spans="1:23" ht="16.5" thickBot="1" x14ac:dyDescent="0.3">
      <c r="A178" s="7">
        <v>6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80" spans="1:23" ht="15.75" thickBot="1" x14ac:dyDescent="0.3"/>
    <row r="181" spans="1:23" ht="15.75" x14ac:dyDescent="0.25">
      <c r="A181" s="156" t="s">
        <v>260</v>
      </c>
      <c r="B181" s="157"/>
      <c r="C181" s="111" t="s">
        <v>343</v>
      </c>
      <c r="D181" s="112"/>
      <c r="E181" s="111" t="s">
        <v>406</v>
      </c>
      <c r="F181" s="112"/>
      <c r="G181" s="103" t="s">
        <v>4</v>
      </c>
      <c r="H181" s="157"/>
      <c r="I181" s="111" t="s">
        <v>364</v>
      </c>
      <c r="J181" s="158"/>
      <c r="K181" s="158"/>
      <c r="L181" s="158"/>
      <c r="M181" s="158"/>
      <c r="N181" s="112"/>
      <c r="O181" s="103" t="s">
        <v>6</v>
      </c>
      <c r="P181" s="157"/>
      <c r="Q181" s="103"/>
      <c r="R181" s="104"/>
      <c r="S181" s="104"/>
      <c r="T181" s="104"/>
      <c r="U181" s="104"/>
      <c r="V181" s="104"/>
      <c r="W181" s="105"/>
    </row>
    <row r="182" spans="1:23" ht="15.75" x14ac:dyDescent="0.25">
      <c r="A182" s="144" t="s">
        <v>7</v>
      </c>
      <c r="B182" s="145"/>
      <c r="C182" s="146" t="s">
        <v>44</v>
      </c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8"/>
      <c r="O182" s="135"/>
      <c r="P182" s="137"/>
      <c r="Q182" s="149"/>
      <c r="R182" s="150"/>
      <c r="S182" s="150"/>
      <c r="T182" s="150"/>
      <c r="U182" s="150"/>
      <c r="V182" s="150"/>
      <c r="W182" s="151"/>
    </row>
    <row r="183" spans="1:23" x14ac:dyDescent="0.25">
      <c r="A183" s="152" t="s">
        <v>8</v>
      </c>
      <c r="B183" s="138" t="s">
        <v>9</v>
      </c>
      <c r="C183" s="138" t="s">
        <v>10</v>
      </c>
      <c r="D183" s="138" t="s">
        <v>11</v>
      </c>
      <c r="E183" s="138" t="s">
        <v>12</v>
      </c>
      <c r="F183" s="138" t="s">
        <v>13</v>
      </c>
      <c r="G183" s="140" t="s">
        <v>14</v>
      </c>
      <c r="H183" s="141"/>
      <c r="I183" s="141"/>
      <c r="J183" s="141"/>
      <c r="K183" s="141"/>
      <c r="L183" s="142"/>
      <c r="M183" s="138" t="s">
        <v>15</v>
      </c>
      <c r="N183" s="138" t="s">
        <v>16</v>
      </c>
      <c r="O183" s="138" t="s">
        <v>17</v>
      </c>
      <c r="P183" s="138" t="s">
        <v>18</v>
      </c>
      <c r="Q183" s="140" t="s">
        <v>19</v>
      </c>
      <c r="R183" s="141"/>
      <c r="S183" s="141"/>
      <c r="T183" s="141"/>
      <c r="U183" s="141"/>
      <c r="V183" s="142"/>
      <c r="W183" s="154" t="s">
        <v>20</v>
      </c>
    </row>
    <row r="184" spans="1:23" x14ac:dyDescent="0.25">
      <c r="A184" s="153"/>
      <c r="B184" s="139"/>
      <c r="C184" s="139"/>
      <c r="D184" s="139"/>
      <c r="E184" s="139"/>
      <c r="F184" s="139"/>
      <c r="G184" s="31" t="s">
        <v>21</v>
      </c>
      <c r="H184" s="31" t="s">
        <v>21</v>
      </c>
      <c r="I184" s="31" t="s">
        <v>21</v>
      </c>
      <c r="J184" s="31" t="s">
        <v>22</v>
      </c>
      <c r="K184" s="31" t="s">
        <v>22</v>
      </c>
      <c r="L184" s="32" t="s">
        <v>22</v>
      </c>
      <c r="M184" s="172"/>
      <c r="N184" s="139"/>
      <c r="O184" s="139"/>
      <c r="P184" s="139"/>
      <c r="Q184" s="31" t="s">
        <v>21</v>
      </c>
      <c r="R184" s="31" t="s">
        <v>21</v>
      </c>
      <c r="S184" s="31" t="s">
        <v>21</v>
      </c>
      <c r="T184" s="31" t="s">
        <v>22</v>
      </c>
      <c r="U184" s="31" t="s">
        <v>22</v>
      </c>
      <c r="V184" s="31" t="s">
        <v>22</v>
      </c>
      <c r="W184" s="155"/>
    </row>
    <row r="185" spans="1:23" ht="15.75" x14ac:dyDescent="0.25">
      <c r="A185" s="5">
        <v>1</v>
      </c>
      <c r="B185" s="21"/>
      <c r="C185" s="20"/>
      <c r="D185" s="36" t="s">
        <v>283</v>
      </c>
      <c r="E185" s="21"/>
      <c r="F185" s="21"/>
      <c r="G185" s="21"/>
      <c r="H185" s="21"/>
      <c r="I185" s="21"/>
      <c r="J185" s="21"/>
      <c r="K185" s="24"/>
      <c r="L185" s="29"/>
      <c r="M185" s="170"/>
      <c r="O185" s="21"/>
      <c r="P185" s="21"/>
      <c r="Q185" s="21"/>
      <c r="R185" s="21"/>
      <c r="S185" s="21"/>
      <c r="T185" s="21"/>
      <c r="U185" s="21"/>
      <c r="V185" s="21"/>
      <c r="W185" s="22"/>
    </row>
    <row r="186" spans="1:23" ht="15.75" x14ac:dyDescent="0.25">
      <c r="A186" s="6">
        <v>2</v>
      </c>
      <c r="B186" s="21"/>
      <c r="C186" s="8"/>
      <c r="D186" s="8"/>
      <c r="E186" s="8"/>
      <c r="F186" s="8"/>
      <c r="G186" s="8"/>
      <c r="H186" s="8"/>
      <c r="I186" s="8"/>
      <c r="J186" s="8"/>
      <c r="K186" s="25"/>
      <c r="L186" s="30"/>
      <c r="M186" s="171"/>
      <c r="N186" s="26"/>
      <c r="O186" s="8"/>
      <c r="P186" s="8"/>
      <c r="Q186" s="8"/>
      <c r="R186" s="8"/>
      <c r="S186" s="8"/>
      <c r="T186" s="8"/>
      <c r="U186" s="8"/>
      <c r="V186" s="8"/>
      <c r="W186" s="9"/>
    </row>
    <row r="187" spans="1:23" ht="15.75" x14ac:dyDescent="0.25">
      <c r="A187" s="6">
        <v>3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27"/>
      <c r="M187" s="27"/>
      <c r="N187" s="8"/>
      <c r="O187" s="8"/>
      <c r="P187" s="8"/>
      <c r="Q187" s="8"/>
      <c r="R187" s="8"/>
      <c r="S187" s="8"/>
      <c r="T187" s="8"/>
      <c r="U187" s="8"/>
      <c r="V187" s="8"/>
      <c r="W187" s="9"/>
    </row>
    <row r="188" spans="1:23" ht="15.75" x14ac:dyDescent="0.25">
      <c r="A188" s="5">
        <v>4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</row>
    <row r="189" spans="1:23" ht="15.75" x14ac:dyDescent="0.25">
      <c r="A189" s="5">
        <v>5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</row>
    <row r="190" spans="1:23" ht="16.5" thickBot="1" x14ac:dyDescent="0.3">
      <c r="A190" s="7">
        <v>6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2" spans="1:23" ht="15.75" thickBot="1" x14ac:dyDescent="0.3"/>
    <row r="193" spans="1:23" ht="15.75" x14ac:dyDescent="0.25">
      <c r="A193" s="156" t="s">
        <v>260</v>
      </c>
      <c r="B193" s="157"/>
      <c r="C193" s="111" t="s">
        <v>344</v>
      </c>
      <c r="D193" s="112"/>
      <c r="E193" s="111" t="s">
        <v>407</v>
      </c>
      <c r="F193" s="112"/>
      <c r="G193" s="103" t="s">
        <v>4</v>
      </c>
      <c r="H193" s="157"/>
      <c r="I193" s="111" t="s">
        <v>364</v>
      </c>
      <c r="J193" s="158"/>
      <c r="K193" s="158"/>
      <c r="L193" s="158"/>
      <c r="M193" s="158"/>
      <c r="N193" s="112"/>
      <c r="O193" s="103" t="s">
        <v>6</v>
      </c>
      <c r="P193" s="157"/>
      <c r="Q193" s="103"/>
      <c r="R193" s="104"/>
      <c r="S193" s="104"/>
      <c r="T193" s="104"/>
      <c r="U193" s="104"/>
      <c r="V193" s="104"/>
      <c r="W193" s="105"/>
    </row>
    <row r="194" spans="1:23" ht="15.75" x14ac:dyDescent="0.25">
      <c r="A194" s="144" t="s">
        <v>7</v>
      </c>
      <c r="B194" s="145"/>
      <c r="C194" s="146" t="s">
        <v>44</v>
      </c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8"/>
      <c r="O194" s="135"/>
      <c r="P194" s="137"/>
      <c r="Q194" s="149"/>
      <c r="R194" s="150"/>
      <c r="S194" s="150"/>
      <c r="T194" s="150"/>
      <c r="U194" s="150"/>
      <c r="V194" s="150"/>
      <c r="W194" s="151"/>
    </row>
    <row r="195" spans="1:23" x14ac:dyDescent="0.25">
      <c r="A195" s="152" t="s">
        <v>8</v>
      </c>
      <c r="B195" s="138" t="s">
        <v>9</v>
      </c>
      <c r="C195" s="138" t="s">
        <v>10</v>
      </c>
      <c r="D195" s="138" t="s">
        <v>11</v>
      </c>
      <c r="E195" s="138" t="s">
        <v>12</v>
      </c>
      <c r="F195" s="138" t="s">
        <v>13</v>
      </c>
      <c r="G195" s="140" t="s">
        <v>14</v>
      </c>
      <c r="H195" s="141"/>
      <c r="I195" s="141"/>
      <c r="J195" s="141"/>
      <c r="K195" s="141"/>
      <c r="L195" s="142"/>
      <c r="M195" s="138" t="s">
        <v>15</v>
      </c>
      <c r="N195" s="138" t="s">
        <v>16</v>
      </c>
      <c r="O195" s="138" t="s">
        <v>17</v>
      </c>
      <c r="P195" s="138" t="s">
        <v>18</v>
      </c>
      <c r="Q195" s="140" t="s">
        <v>19</v>
      </c>
      <c r="R195" s="141"/>
      <c r="S195" s="141"/>
      <c r="T195" s="141"/>
      <c r="U195" s="141"/>
      <c r="V195" s="142"/>
      <c r="W195" s="154" t="s">
        <v>20</v>
      </c>
    </row>
    <row r="196" spans="1:23" x14ac:dyDescent="0.25">
      <c r="A196" s="153"/>
      <c r="B196" s="139"/>
      <c r="C196" s="139"/>
      <c r="D196" s="139"/>
      <c r="E196" s="139"/>
      <c r="F196" s="139"/>
      <c r="G196" s="31" t="s">
        <v>21</v>
      </c>
      <c r="H196" s="31" t="s">
        <v>21</v>
      </c>
      <c r="I196" s="31" t="s">
        <v>21</v>
      </c>
      <c r="J196" s="31" t="s">
        <v>22</v>
      </c>
      <c r="K196" s="31" t="s">
        <v>22</v>
      </c>
      <c r="L196" s="32" t="s">
        <v>22</v>
      </c>
      <c r="M196" s="172"/>
      <c r="N196" s="139"/>
      <c r="O196" s="139"/>
      <c r="P196" s="139"/>
      <c r="Q196" s="31" t="s">
        <v>21</v>
      </c>
      <c r="R196" s="31" t="s">
        <v>21</v>
      </c>
      <c r="S196" s="31" t="s">
        <v>21</v>
      </c>
      <c r="T196" s="31" t="s">
        <v>22</v>
      </c>
      <c r="U196" s="31" t="s">
        <v>22</v>
      </c>
      <c r="V196" s="31" t="s">
        <v>22</v>
      </c>
      <c r="W196" s="155"/>
    </row>
    <row r="197" spans="1:23" ht="15.75" x14ac:dyDescent="0.25">
      <c r="A197" s="5">
        <v>1</v>
      </c>
      <c r="B197" s="21" t="s">
        <v>237</v>
      </c>
      <c r="C197" s="20">
        <v>45958</v>
      </c>
      <c r="D197" s="36">
        <v>46062</v>
      </c>
      <c r="E197" s="21">
        <v>3</v>
      </c>
      <c r="F197" s="21">
        <v>3</v>
      </c>
      <c r="G197" s="21"/>
      <c r="H197" s="21"/>
      <c r="I197" s="21"/>
      <c r="J197" s="21"/>
      <c r="K197" s="24"/>
      <c r="L197" s="29"/>
      <c r="M197" s="170"/>
      <c r="O197" s="21"/>
      <c r="P197" s="21"/>
      <c r="Q197" s="21"/>
      <c r="R197" s="21"/>
      <c r="S197" s="21"/>
      <c r="T197" s="21"/>
      <c r="U197" s="21"/>
      <c r="V197" s="21"/>
      <c r="W197" s="22"/>
    </row>
    <row r="198" spans="1:23" ht="15.75" x14ac:dyDescent="0.25">
      <c r="A198" s="6">
        <v>2</v>
      </c>
      <c r="B198" s="21" t="s">
        <v>237</v>
      </c>
      <c r="C198" s="13">
        <v>46070</v>
      </c>
      <c r="D198" s="8"/>
      <c r="E198" s="8"/>
      <c r="F198" s="8"/>
      <c r="G198" s="8"/>
      <c r="H198" s="8"/>
      <c r="I198" s="8"/>
      <c r="J198" s="8"/>
      <c r="K198" s="25"/>
      <c r="L198" s="30"/>
      <c r="M198" s="171"/>
      <c r="N198" s="26"/>
      <c r="O198" s="8"/>
      <c r="P198" s="8"/>
      <c r="Q198" s="8"/>
      <c r="R198" s="8"/>
      <c r="S198" s="8"/>
      <c r="T198" s="8"/>
      <c r="U198" s="8"/>
      <c r="V198" s="8"/>
      <c r="W198" s="9"/>
    </row>
    <row r="199" spans="1:23" ht="15.75" x14ac:dyDescent="0.25">
      <c r="A199" s="6">
        <v>3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27"/>
      <c r="M199" s="27"/>
      <c r="N199" s="8"/>
      <c r="O199" s="8"/>
      <c r="P199" s="8"/>
      <c r="Q199" s="8"/>
      <c r="R199" s="8"/>
      <c r="S199" s="8"/>
      <c r="T199" s="8"/>
      <c r="U199" s="8"/>
      <c r="V199" s="8"/>
      <c r="W199" s="9"/>
    </row>
    <row r="200" spans="1:23" ht="15.75" x14ac:dyDescent="0.25">
      <c r="A200" s="5">
        <v>4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</row>
    <row r="201" spans="1:23" ht="15.75" x14ac:dyDescent="0.25">
      <c r="A201" s="5">
        <v>5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</row>
    <row r="202" spans="1:23" ht="16.5" thickBot="1" x14ac:dyDescent="0.3">
      <c r="A202" s="7">
        <v>6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4" spans="1:23" ht="15.75" thickBot="1" x14ac:dyDescent="0.3"/>
    <row r="205" spans="1:23" ht="15.75" x14ac:dyDescent="0.25">
      <c r="A205" s="156" t="s">
        <v>423</v>
      </c>
      <c r="B205" s="157"/>
      <c r="C205" s="111" t="s">
        <v>345</v>
      </c>
      <c r="D205" s="112"/>
      <c r="E205" s="111" t="s">
        <v>407</v>
      </c>
      <c r="F205" s="112"/>
      <c r="G205" s="103" t="s">
        <v>4</v>
      </c>
      <c r="H205" s="157"/>
      <c r="I205" s="111" t="s">
        <v>364</v>
      </c>
      <c r="J205" s="158"/>
      <c r="K205" s="158"/>
      <c r="L205" s="158"/>
      <c r="M205" s="158"/>
      <c r="N205" s="112"/>
      <c r="O205" s="103" t="s">
        <v>6</v>
      </c>
      <c r="P205" s="157"/>
      <c r="Q205" s="103"/>
      <c r="R205" s="104"/>
      <c r="S205" s="104"/>
      <c r="T205" s="104"/>
      <c r="U205" s="104"/>
      <c r="V205" s="104"/>
      <c r="W205" s="105"/>
    </row>
    <row r="206" spans="1:23" ht="15.75" x14ac:dyDescent="0.25">
      <c r="A206" s="144" t="s">
        <v>7</v>
      </c>
      <c r="B206" s="145"/>
      <c r="C206" s="135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7"/>
      <c r="O206" s="135"/>
      <c r="P206" s="137"/>
      <c r="Q206" s="149"/>
      <c r="R206" s="150"/>
      <c r="S206" s="150"/>
      <c r="T206" s="150"/>
      <c r="U206" s="150"/>
      <c r="V206" s="150"/>
      <c r="W206" s="151"/>
    </row>
    <row r="207" spans="1:23" x14ac:dyDescent="0.25">
      <c r="A207" s="152" t="s">
        <v>8</v>
      </c>
      <c r="B207" s="138" t="s">
        <v>9</v>
      </c>
      <c r="C207" s="138" t="s">
        <v>10</v>
      </c>
      <c r="D207" s="138" t="s">
        <v>11</v>
      </c>
      <c r="E207" s="138" t="s">
        <v>12</v>
      </c>
      <c r="F207" s="138" t="s">
        <v>13</v>
      </c>
      <c r="G207" s="140" t="s">
        <v>14</v>
      </c>
      <c r="H207" s="141"/>
      <c r="I207" s="141"/>
      <c r="J207" s="141"/>
      <c r="K207" s="141"/>
      <c r="L207" s="142"/>
      <c r="M207" s="138" t="s">
        <v>15</v>
      </c>
      <c r="N207" s="138" t="s">
        <v>16</v>
      </c>
      <c r="O207" s="138" t="s">
        <v>17</v>
      </c>
      <c r="P207" s="138" t="s">
        <v>18</v>
      </c>
      <c r="Q207" s="140" t="s">
        <v>19</v>
      </c>
      <c r="R207" s="141"/>
      <c r="S207" s="141"/>
      <c r="T207" s="141"/>
      <c r="U207" s="141"/>
      <c r="V207" s="142"/>
      <c r="W207" s="154" t="s">
        <v>20</v>
      </c>
    </row>
    <row r="208" spans="1:23" x14ac:dyDescent="0.25">
      <c r="A208" s="153"/>
      <c r="B208" s="139"/>
      <c r="C208" s="139"/>
      <c r="D208" s="139"/>
      <c r="E208" s="139"/>
      <c r="F208" s="139"/>
      <c r="G208" s="31" t="s">
        <v>21</v>
      </c>
      <c r="H208" s="31" t="s">
        <v>21</v>
      </c>
      <c r="I208" s="31" t="s">
        <v>21</v>
      </c>
      <c r="J208" s="31" t="s">
        <v>22</v>
      </c>
      <c r="K208" s="31" t="s">
        <v>22</v>
      </c>
      <c r="L208" s="32" t="s">
        <v>22</v>
      </c>
      <c r="M208" s="169"/>
      <c r="N208" s="139"/>
      <c r="O208" s="139"/>
      <c r="P208" s="139"/>
      <c r="Q208" s="31" t="s">
        <v>21</v>
      </c>
      <c r="R208" s="31" t="s">
        <v>21</v>
      </c>
      <c r="S208" s="31" t="s">
        <v>21</v>
      </c>
      <c r="T208" s="31" t="s">
        <v>22</v>
      </c>
      <c r="U208" s="31" t="s">
        <v>22</v>
      </c>
      <c r="V208" s="31" t="s">
        <v>22</v>
      </c>
      <c r="W208" s="155"/>
    </row>
    <row r="209" spans="1:23" ht="15.75" x14ac:dyDescent="0.25">
      <c r="A209" s="5">
        <v>1</v>
      </c>
      <c r="B209" s="21" t="s">
        <v>237</v>
      </c>
      <c r="C209" s="20">
        <v>45958</v>
      </c>
      <c r="D209" s="36">
        <v>46041</v>
      </c>
      <c r="E209" s="21">
        <v>3</v>
      </c>
      <c r="F209" s="21">
        <v>2</v>
      </c>
      <c r="G209" s="21"/>
      <c r="H209" s="21"/>
      <c r="I209" s="21"/>
      <c r="J209" s="21">
        <v>120</v>
      </c>
      <c r="K209" s="24"/>
      <c r="L209" s="58"/>
      <c r="M209" s="31">
        <v>120</v>
      </c>
      <c r="N209" s="70">
        <v>46055</v>
      </c>
      <c r="O209" s="21">
        <v>1</v>
      </c>
      <c r="P209" s="21">
        <v>0</v>
      </c>
      <c r="Q209" s="21"/>
      <c r="R209" s="21"/>
      <c r="S209" s="21"/>
      <c r="T209" s="21">
        <v>212</v>
      </c>
      <c r="U209" s="21"/>
      <c r="V209" s="21"/>
      <c r="W209" s="22">
        <v>212</v>
      </c>
    </row>
    <row r="210" spans="1:23" ht="15.75" x14ac:dyDescent="0.25">
      <c r="A210" s="6">
        <v>2</v>
      </c>
      <c r="B210" s="21" t="s">
        <v>237</v>
      </c>
      <c r="C210" s="13">
        <v>46070</v>
      </c>
      <c r="D210" s="13">
        <v>46143</v>
      </c>
      <c r="E210" s="21">
        <v>3</v>
      </c>
      <c r="F210" s="21">
        <v>0</v>
      </c>
      <c r="G210" s="21">
        <v>123</v>
      </c>
      <c r="H210" s="21"/>
      <c r="I210" s="21"/>
      <c r="J210" s="21">
        <v>122</v>
      </c>
      <c r="K210" s="24">
        <v>128</v>
      </c>
      <c r="L210" s="58"/>
      <c r="M210" s="90">
        <f>AVERAGE(G210:L210)</f>
        <v>124.33333333333333</v>
      </c>
      <c r="N210" s="26">
        <v>46176</v>
      </c>
      <c r="O210" s="21">
        <v>3</v>
      </c>
      <c r="P210" s="21">
        <v>0</v>
      </c>
      <c r="Q210" s="21">
        <v>258</v>
      </c>
      <c r="R210" s="21"/>
      <c r="S210" s="21"/>
      <c r="T210" s="21">
        <v>260</v>
      </c>
      <c r="U210" s="21">
        <v>270</v>
      </c>
      <c r="V210" s="21"/>
      <c r="W210" s="68">
        <f>AVERAGE(Q210:V210)</f>
        <v>262.66666666666669</v>
      </c>
    </row>
    <row r="211" spans="1:23" ht="15.75" x14ac:dyDescent="0.25">
      <c r="A211" s="6">
        <v>3</v>
      </c>
      <c r="B211" s="8"/>
      <c r="C211" s="8"/>
      <c r="D211" s="8"/>
      <c r="E211" s="21"/>
      <c r="F211" s="21"/>
      <c r="G211" s="21"/>
      <c r="H211" s="21"/>
      <c r="I211" s="21"/>
      <c r="J211" s="21"/>
      <c r="K211" s="21"/>
      <c r="L211" s="44"/>
      <c r="M211" s="44"/>
      <c r="N211" s="21"/>
      <c r="O211" s="21"/>
      <c r="P211" s="21"/>
      <c r="Q211" s="21"/>
      <c r="R211" s="21"/>
      <c r="S211" s="21"/>
      <c r="T211" s="21"/>
      <c r="U211" s="21"/>
      <c r="V211" s="21"/>
      <c r="W211" s="22"/>
    </row>
    <row r="212" spans="1:23" ht="15.75" x14ac:dyDescent="0.25">
      <c r="A212" s="5">
        <v>4</v>
      </c>
      <c r="B212" s="8"/>
      <c r="C212" s="8"/>
      <c r="D212" s="8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2"/>
    </row>
    <row r="213" spans="1:23" ht="15.75" x14ac:dyDescent="0.25">
      <c r="A213" s="5">
        <v>5</v>
      </c>
      <c r="B213" s="8"/>
      <c r="C213" s="8"/>
      <c r="D213" s="8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2"/>
    </row>
    <row r="214" spans="1:23" ht="16.5" thickBot="1" x14ac:dyDescent="0.3">
      <c r="A214" s="7">
        <v>6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</sheetData>
  <mergeCells count="438">
    <mergeCell ref="G207:L207"/>
    <mergeCell ref="M207:M208"/>
    <mergeCell ref="N207:N208"/>
    <mergeCell ref="O207:O208"/>
    <mergeCell ref="P207:P208"/>
    <mergeCell ref="Q207:V207"/>
    <mergeCell ref="A206:B206"/>
    <mergeCell ref="C206:N206"/>
    <mergeCell ref="O206:P206"/>
    <mergeCell ref="Q206:W206"/>
    <mergeCell ref="A207:A208"/>
    <mergeCell ref="B207:B208"/>
    <mergeCell ref="C207:C208"/>
    <mergeCell ref="D207:D208"/>
    <mergeCell ref="E207:E208"/>
    <mergeCell ref="F207:F208"/>
    <mergeCell ref="W207:W208"/>
    <mergeCell ref="M197:M198"/>
    <mergeCell ref="A205:B205"/>
    <mergeCell ref="G205:H205"/>
    <mergeCell ref="I205:N205"/>
    <mergeCell ref="O205:P205"/>
    <mergeCell ref="Q205:W205"/>
    <mergeCell ref="G195:L195"/>
    <mergeCell ref="M195:M196"/>
    <mergeCell ref="N195:N196"/>
    <mergeCell ref="O195:O196"/>
    <mergeCell ref="P195:P196"/>
    <mergeCell ref="Q195:V195"/>
    <mergeCell ref="E205:F205"/>
    <mergeCell ref="C205:D205"/>
    <mergeCell ref="A194:B194"/>
    <mergeCell ref="C194:N194"/>
    <mergeCell ref="O194:P194"/>
    <mergeCell ref="Q194:W194"/>
    <mergeCell ref="A195:A196"/>
    <mergeCell ref="B195:B196"/>
    <mergeCell ref="C195:C196"/>
    <mergeCell ref="D195:D196"/>
    <mergeCell ref="E195:E196"/>
    <mergeCell ref="F195:F196"/>
    <mergeCell ref="W195:W196"/>
    <mergeCell ref="M185:M186"/>
    <mergeCell ref="A193:B193"/>
    <mergeCell ref="G193:H193"/>
    <mergeCell ref="I193:N193"/>
    <mergeCell ref="O193:P193"/>
    <mergeCell ref="Q193:W193"/>
    <mergeCell ref="G183:L183"/>
    <mergeCell ref="M183:M184"/>
    <mergeCell ref="N183:N184"/>
    <mergeCell ref="O183:O184"/>
    <mergeCell ref="P183:P184"/>
    <mergeCell ref="Q183:V183"/>
    <mergeCell ref="E193:F193"/>
    <mergeCell ref="C193:D193"/>
    <mergeCell ref="A182:B182"/>
    <mergeCell ref="C182:N182"/>
    <mergeCell ref="O182:P182"/>
    <mergeCell ref="Q182:W182"/>
    <mergeCell ref="A183:A184"/>
    <mergeCell ref="B183:B184"/>
    <mergeCell ref="C183:C184"/>
    <mergeCell ref="D183:D184"/>
    <mergeCell ref="E183:E184"/>
    <mergeCell ref="F183:F184"/>
    <mergeCell ref="W183:W184"/>
    <mergeCell ref="A181:B181"/>
    <mergeCell ref="G181:H181"/>
    <mergeCell ref="I181:N181"/>
    <mergeCell ref="O181:P181"/>
    <mergeCell ref="Q181:W181"/>
    <mergeCell ref="G171:L171"/>
    <mergeCell ref="M171:M172"/>
    <mergeCell ref="N171:N172"/>
    <mergeCell ref="O171:O172"/>
    <mergeCell ref="P171:P172"/>
    <mergeCell ref="Q171:V171"/>
    <mergeCell ref="E181:F181"/>
    <mergeCell ref="C181:D181"/>
    <mergeCell ref="A170:B170"/>
    <mergeCell ref="C170:N170"/>
    <mergeCell ref="O170:P170"/>
    <mergeCell ref="Q170:W170"/>
    <mergeCell ref="A171:A172"/>
    <mergeCell ref="B171:B172"/>
    <mergeCell ref="C171:C172"/>
    <mergeCell ref="D171:D172"/>
    <mergeCell ref="E171:E172"/>
    <mergeCell ref="F171:F172"/>
    <mergeCell ref="W171:W172"/>
    <mergeCell ref="M161:M162"/>
    <mergeCell ref="A169:B169"/>
    <mergeCell ref="G169:H169"/>
    <mergeCell ref="I169:N169"/>
    <mergeCell ref="O169:P169"/>
    <mergeCell ref="Q169:W169"/>
    <mergeCell ref="G159:L159"/>
    <mergeCell ref="M159:M160"/>
    <mergeCell ref="N159:N160"/>
    <mergeCell ref="O159:O160"/>
    <mergeCell ref="P159:P160"/>
    <mergeCell ref="Q159:V159"/>
    <mergeCell ref="E169:F169"/>
    <mergeCell ref="C169:D169"/>
    <mergeCell ref="A158:B158"/>
    <mergeCell ref="C158:N158"/>
    <mergeCell ref="O158:P158"/>
    <mergeCell ref="Q158:W158"/>
    <mergeCell ref="A159:A160"/>
    <mergeCell ref="B159:B160"/>
    <mergeCell ref="C159:C160"/>
    <mergeCell ref="D159:D160"/>
    <mergeCell ref="E159:E160"/>
    <mergeCell ref="F159:F160"/>
    <mergeCell ref="W159:W160"/>
    <mergeCell ref="A157:B157"/>
    <mergeCell ref="G157:H157"/>
    <mergeCell ref="I157:N157"/>
    <mergeCell ref="O157:P157"/>
    <mergeCell ref="Q157:W157"/>
    <mergeCell ref="G147:L147"/>
    <mergeCell ref="M147:M148"/>
    <mergeCell ref="N147:N148"/>
    <mergeCell ref="O147:O148"/>
    <mergeCell ref="P147:P148"/>
    <mergeCell ref="Q147:V147"/>
    <mergeCell ref="E157:F157"/>
    <mergeCell ref="C157:D157"/>
    <mergeCell ref="A146:B146"/>
    <mergeCell ref="C146:N146"/>
    <mergeCell ref="O146:P146"/>
    <mergeCell ref="Q146:W146"/>
    <mergeCell ref="A147:A148"/>
    <mergeCell ref="B147:B148"/>
    <mergeCell ref="C147:C148"/>
    <mergeCell ref="D147:D148"/>
    <mergeCell ref="E147:E148"/>
    <mergeCell ref="F147:F148"/>
    <mergeCell ref="W147:W148"/>
    <mergeCell ref="A145:B145"/>
    <mergeCell ref="G145:H145"/>
    <mergeCell ref="I145:N145"/>
    <mergeCell ref="O145:P145"/>
    <mergeCell ref="Q145:W145"/>
    <mergeCell ref="G135:L135"/>
    <mergeCell ref="M135:M136"/>
    <mergeCell ref="N135:N136"/>
    <mergeCell ref="O135:O136"/>
    <mergeCell ref="P135:P136"/>
    <mergeCell ref="Q135:V135"/>
    <mergeCell ref="E145:F145"/>
    <mergeCell ref="C145:D145"/>
    <mergeCell ref="A134:B134"/>
    <mergeCell ref="C134:N134"/>
    <mergeCell ref="O134:P134"/>
    <mergeCell ref="Q134:W134"/>
    <mergeCell ref="A135:A136"/>
    <mergeCell ref="B135:B136"/>
    <mergeCell ref="C135:C136"/>
    <mergeCell ref="D135:D136"/>
    <mergeCell ref="E135:E136"/>
    <mergeCell ref="F135:F136"/>
    <mergeCell ref="W135:W136"/>
    <mergeCell ref="A133:B133"/>
    <mergeCell ref="G133:H133"/>
    <mergeCell ref="I133:N133"/>
    <mergeCell ref="O133:P133"/>
    <mergeCell ref="Q133:W133"/>
    <mergeCell ref="G123:L123"/>
    <mergeCell ref="M123:M124"/>
    <mergeCell ref="N123:N124"/>
    <mergeCell ref="O123:O124"/>
    <mergeCell ref="P123:P124"/>
    <mergeCell ref="Q123:V123"/>
    <mergeCell ref="E133:F133"/>
    <mergeCell ref="C133:D133"/>
    <mergeCell ref="A122:B122"/>
    <mergeCell ref="C122:N122"/>
    <mergeCell ref="O122:P122"/>
    <mergeCell ref="Q122:W122"/>
    <mergeCell ref="A123:A124"/>
    <mergeCell ref="B123:B124"/>
    <mergeCell ref="C123:C124"/>
    <mergeCell ref="D123:D124"/>
    <mergeCell ref="E123:E124"/>
    <mergeCell ref="F123:F124"/>
    <mergeCell ref="W123:W124"/>
    <mergeCell ref="M113:M114"/>
    <mergeCell ref="A121:B121"/>
    <mergeCell ref="G121:H121"/>
    <mergeCell ref="I121:N121"/>
    <mergeCell ref="O121:P121"/>
    <mergeCell ref="Q121:W121"/>
    <mergeCell ref="G111:L111"/>
    <mergeCell ref="M111:M112"/>
    <mergeCell ref="N111:N112"/>
    <mergeCell ref="O111:O112"/>
    <mergeCell ref="P111:P112"/>
    <mergeCell ref="Q111:V111"/>
    <mergeCell ref="E121:F121"/>
    <mergeCell ref="C121:D121"/>
    <mergeCell ref="A110:B110"/>
    <mergeCell ref="C110:N110"/>
    <mergeCell ref="O110:P110"/>
    <mergeCell ref="Q110:W110"/>
    <mergeCell ref="A111:A112"/>
    <mergeCell ref="B111:B112"/>
    <mergeCell ref="C111:C112"/>
    <mergeCell ref="D111:D112"/>
    <mergeCell ref="E111:E112"/>
    <mergeCell ref="F111:F112"/>
    <mergeCell ref="W111:W112"/>
    <mergeCell ref="M101:M102"/>
    <mergeCell ref="A109:B109"/>
    <mergeCell ref="G109:H109"/>
    <mergeCell ref="I109:N109"/>
    <mergeCell ref="O109:P109"/>
    <mergeCell ref="Q109:W109"/>
    <mergeCell ref="G99:L99"/>
    <mergeCell ref="M99:M100"/>
    <mergeCell ref="N99:N100"/>
    <mergeCell ref="O99:O100"/>
    <mergeCell ref="P99:P100"/>
    <mergeCell ref="Q99:V99"/>
    <mergeCell ref="E109:F109"/>
    <mergeCell ref="C109:D109"/>
    <mergeCell ref="A98:B98"/>
    <mergeCell ref="C98:N98"/>
    <mergeCell ref="O98:P98"/>
    <mergeCell ref="Q98:W98"/>
    <mergeCell ref="A99:A100"/>
    <mergeCell ref="B99:B100"/>
    <mergeCell ref="C99:C100"/>
    <mergeCell ref="D99:D100"/>
    <mergeCell ref="E99:E100"/>
    <mergeCell ref="F99:F100"/>
    <mergeCell ref="W99:W100"/>
    <mergeCell ref="A97:B97"/>
    <mergeCell ref="G97:H97"/>
    <mergeCell ref="I97:N97"/>
    <mergeCell ref="O97:P97"/>
    <mergeCell ref="Q97:W97"/>
    <mergeCell ref="G87:L87"/>
    <mergeCell ref="M87:M88"/>
    <mergeCell ref="N87:N88"/>
    <mergeCell ref="O87:O88"/>
    <mergeCell ref="P87:P88"/>
    <mergeCell ref="Q87:V87"/>
    <mergeCell ref="E97:F97"/>
    <mergeCell ref="C97:D97"/>
    <mergeCell ref="A86:B86"/>
    <mergeCell ref="C86:N86"/>
    <mergeCell ref="O86:P86"/>
    <mergeCell ref="Q86:W86"/>
    <mergeCell ref="A87:A88"/>
    <mergeCell ref="B87:B88"/>
    <mergeCell ref="C87:C88"/>
    <mergeCell ref="D87:D88"/>
    <mergeCell ref="E87:E88"/>
    <mergeCell ref="F87:F88"/>
    <mergeCell ref="W87:W88"/>
    <mergeCell ref="M77:M78"/>
    <mergeCell ref="A85:B85"/>
    <mergeCell ref="G85:H85"/>
    <mergeCell ref="I85:N85"/>
    <mergeCell ref="O85:P85"/>
    <mergeCell ref="Q85:W85"/>
    <mergeCell ref="G75:L75"/>
    <mergeCell ref="M75:M76"/>
    <mergeCell ref="N75:N76"/>
    <mergeCell ref="O75:O76"/>
    <mergeCell ref="P75:P76"/>
    <mergeCell ref="Q75:V75"/>
    <mergeCell ref="E85:F85"/>
    <mergeCell ref="C85:D85"/>
    <mergeCell ref="A74:B74"/>
    <mergeCell ref="C74:N74"/>
    <mergeCell ref="O74:P74"/>
    <mergeCell ref="Q74:W74"/>
    <mergeCell ref="A75:A76"/>
    <mergeCell ref="B75:B76"/>
    <mergeCell ref="C75:C76"/>
    <mergeCell ref="D75:D76"/>
    <mergeCell ref="E75:E76"/>
    <mergeCell ref="F75:F76"/>
    <mergeCell ref="W75:W76"/>
    <mergeCell ref="A73:B73"/>
    <mergeCell ref="G73:H73"/>
    <mergeCell ref="I73:N73"/>
    <mergeCell ref="O73:P73"/>
    <mergeCell ref="Q73:W73"/>
    <mergeCell ref="G63:L63"/>
    <mergeCell ref="M63:M64"/>
    <mergeCell ref="N63:N64"/>
    <mergeCell ref="O63:O64"/>
    <mergeCell ref="P63:P64"/>
    <mergeCell ref="Q63:V63"/>
    <mergeCell ref="E73:F73"/>
    <mergeCell ref="C73:D73"/>
    <mergeCell ref="A62:B62"/>
    <mergeCell ref="C62:N62"/>
    <mergeCell ref="O62:P62"/>
    <mergeCell ref="Q62:W62"/>
    <mergeCell ref="A63:A64"/>
    <mergeCell ref="B63:B64"/>
    <mergeCell ref="C63:C64"/>
    <mergeCell ref="D63:D64"/>
    <mergeCell ref="E63:E64"/>
    <mergeCell ref="F63:F64"/>
    <mergeCell ref="W63:W64"/>
    <mergeCell ref="A61:B61"/>
    <mergeCell ref="G61:H61"/>
    <mergeCell ref="I61:N61"/>
    <mergeCell ref="O61:P61"/>
    <mergeCell ref="Q61:W61"/>
    <mergeCell ref="G51:L51"/>
    <mergeCell ref="M51:M52"/>
    <mergeCell ref="N51:N52"/>
    <mergeCell ref="O51:O52"/>
    <mergeCell ref="P51:P52"/>
    <mergeCell ref="Q51:V51"/>
    <mergeCell ref="E61:F61"/>
    <mergeCell ref="C61:D61"/>
    <mergeCell ref="A50:B50"/>
    <mergeCell ref="C50:N50"/>
    <mergeCell ref="O50:P50"/>
    <mergeCell ref="Q50:W50"/>
    <mergeCell ref="A51:A52"/>
    <mergeCell ref="B51:B52"/>
    <mergeCell ref="C51:C52"/>
    <mergeCell ref="D51:D52"/>
    <mergeCell ref="E51:E52"/>
    <mergeCell ref="F51:F52"/>
    <mergeCell ref="W51:W52"/>
    <mergeCell ref="A49:B49"/>
    <mergeCell ref="G49:H49"/>
    <mergeCell ref="I49:N49"/>
    <mergeCell ref="O49:P49"/>
    <mergeCell ref="Q49:W49"/>
    <mergeCell ref="G39:L39"/>
    <mergeCell ref="M39:M40"/>
    <mergeCell ref="N39:N40"/>
    <mergeCell ref="O39:O40"/>
    <mergeCell ref="P39:P40"/>
    <mergeCell ref="Q39:V39"/>
    <mergeCell ref="E49:F49"/>
    <mergeCell ref="C49:D49"/>
    <mergeCell ref="A38:B38"/>
    <mergeCell ref="C38:N38"/>
    <mergeCell ref="O38:P38"/>
    <mergeCell ref="Q38:W38"/>
    <mergeCell ref="A39:A40"/>
    <mergeCell ref="B39:B40"/>
    <mergeCell ref="C39:C40"/>
    <mergeCell ref="D39:D40"/>
    <mergeCell ref="E39:E40"/>
    <mergeCell ref="F39:F40"/>
    <mergeCell ref="W39:W40"/>
    <mergeCell ref="A37:B37"/>
    <mergeCell ref="G37:H37"/>
    <mergeCell ref="I37:N37"/>
    <mergeCell ref="O37:P37"/>
    <mergeCell ref="Q37:W37"/>
    <mergeCell ref="G27:L27"/>
    <mergeCell ref="M27:M28"/>
    <mergeCell ref="N27:N28"/>
    <mergeCell ref="O27:O28"/>
    <mergeCell ref="P27:P28"/>
    <mergeCell ref="Q27:V27"/>
    <mergeCell ref="E37:F37"/>
    <mergeCell ref="C37:D37"/>
    <mergeCell ref="A26:B26"/>
    <mergeCell ref="C26:N26"/>
    <mergeCell ref="O26:P26"/>
    <mergeCell ref="Q26:W26"/>
    <mergeCell ref="A27:A28"/>
    <mergeCell ref="B27:B28"/>
    <mergeCell ref="C27:C28"/>
    <mergeCell ref="D27:D28"/>
    <mergeCell ref="E27:E28"/>
    <mergeCell ref="F27:F28"/>
    <mergeCell ref="W27:W28"/>
    <mergeCell ref="A25:B25"/>
    <mergeCell ref="G25:H25"/>
    <mergeCell ref="I25:N25"/>
    <mergeCell ref="O25:P25"/>
    <mergeCell ref="Q25:W25"/>
    <mergeCell ref="G15:L15"/>
    <mergeCell ref="M15:M16"/>
    <mergeCell ref="N15:N16"/>
    <mergeCell ref="O15:O16"/>
    <mergeCell ref="P15:P16"/>
    <mergeCell ref="Q15:V15"/>
    <mergeCell ref="E25:F25"/>
    <mergeCell ref="C25:D25"/>
    <mergeCell ref="A14:B14"/>
    <mergeCell ref="C14:N14"/>
    <mergeCell ref="O14:P14"/>
    <mergeCell ref="Q14:W14"/>
    <mergeCell ref="A15:A16"/>
    <mergeCell ref="B15:B16"/>
    <mergeCell ref="C15:C16"/>
    <mergeCell ref="D15:D16"/>
    <mergeCell ref="E15:E16"/>
    <mergeCell ref="F15:F16"/>
    <mergeCell ref="W15:W16"/>
    <mergeCell ref="A3:A4"/>
    <mergeCell ref="B3:B4"/>
    <mergeCell ref="C3:C4"/>
    <mergeCell ref="D3:D4"/>
    <mergeCell ref="E3:E4"/>
    <mergeCell ref="F3:F4"/>
    <mergeCell ref="W3:W4"/>
    <mergeCell ref="A13:B13"/>
    <mergeCell ref="G13:H13"/>
    <mergeCell ref="I13:N13"/>
    <mergeCell ref="O13:P13"/>
    <mergeCell ref="Q13:W13"/>
    <mergeCell ref="G3:L3"/>
    <mergeCell ref="M3:M4"/>
    <mergeCell ref="N3:N4"/>
    <mergeCell ref="O3:O4"/>
    <mergeCell ref="P3:P4"/>
    <mergeCell ref="Q3:V3"/>
    <mergeCell ref="E13:F13"/>
    <mergeCell ref="C13:D13"/>
    <mergeCell ref="A1:B1"/>
    <mergeCell ref="G1:H1"/>
    <mergeCell ref="I1:N1"/>
    <mergeCell ref="O1:P1"/>
    <mergeCell ref="Q1:W1"/>
    <mergeCell ref="A2:B2"/>
    <mergeCell ref="C2:N2"/>
    <mergeCell ref="O2:P2"/>
    <mergeCell ref="Q2:W2"/>
    <mergeCell ref="E1:F1"/>
    <mergeCell ref="C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3049-A0DE-429D-8ED5-FE86107E0629}">
  <dimension ref="A1:W226"/>
  <sheetViews>
    <sheetView topLeftCell="A207" workbookViewId="0">
      <selection activeCell="C205" sqref="C205:D205"/>
    </sheetView>
  </sheetViews>
  <sheetFormatPr baseColWidth="10" defaultRowHeight="15" x14ac:dyDescent="0.25"/>
  <cols>
    <col min="2" max="2" width="9.42578125" customWidth="1"/>
    <col min="3" max="3" width="12.7109375" bestFit="1" customWidth="1"/>
    <col min="4" max="4" width="12.5703125" customWidth="1"/>
    <col min="5" max="5" width="9.7109375" customWidth="1"/>
    <col min="7" max="7" width="5.28515625" customWidth="1"/>
    <col min="8" max="8" width="5.140625" customWidth="1"/>
    <col min="9" max="9" width="5.5703125" customWidth="1"/>
    <col min="10" max="11" width="5" customWidth="1"/>
    <col min="12" max="12" width="5.28515625" customWidth="1"/>
    <col min="13" max="13" width="10.7109375" customWidth="1"/>
    <col min="14" max="14" width="12.42578125" customWidth="1"/>
    <col min="15" max="15" width="9" customWidth="1"/>
    <col min="17" max="17" width="5.42578125" customWidth="1"/>
    <col min="18" max="18" width="5.140625" customWidth="1"/>
    <col min="19" max="20" width="5.7109375" customWidth="1"/>
    <col min="21" max="21" width="5.42578125" customWidth="1"/>
    <col min="22" max="22" width="5.5703125" customWidth="1"/>
  </cols>
  <sheetData>
    <row r="1" spans="1:23" ht="15.75" x14ac:dyDescent="0.25">
      <c r="A1" s="156" t="s">
        <v>260</v>
      </c>
      <c r="B1" s="157"/>
      <c r="C1" s="202" t="s">
        <v>290</v>
      </c>
      <c r="D1" s="203"/>
      <c r="E1" s="111" t="s">
        <v>485</v>
      </c>
      <c r="F1" s="112"/>
      <c r="G1" s="103" t="s">
        <v>4</v>
      </c>
      <c r="H1" s="157"/>
      <c r="I1" s="111" t="s">
        <v>139</v>
      </c>
      <c r="J1" s="158"/>
      <c r="K1" s="158"/>
      <c r="L1" s="158"/>
      <c r="M1" s="158"/>
      <c r="N1" s="112"/>
      <c r="O1" s="103" t="s">
        <v>6</v>
      </c>
      <c r="P1" s="157"/>
      <c r="Q1" s="166">
        <v>45838</v>
      </c>
      <c r="R1" s="167"/>
      <c r="S1" s="167"/>
      <c r="T1" s="167"/>
      <c r="U1" s="167"/>
      <c r="V1" s="167"/>
      <c r="W1" s="168"/>
    </row>
    <row r="2" spans="1:23" ht="15.75" x14ac:dyDescent="0.25">
      <c r="A2" s="144" t="s">
        <v>7</v>
      </c>
      <c r="B2" s="145"/>
      <c r="C2" s="135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  <c r="O2" s="135"/>
      <c r="P2" s="137"/>
      <c r="Q2" s="149"/>
      <c r="R2" s="150"/>
      <c r="S2" s="150"/>
      <c r="T2" s="150"/>
      <c r="U2" s="150"/>
      <c r="V2" s="150"/>
      <c r="W2" s="151"/>
    </row>
    <row r="3" spans="1:23" x14ac:dyDescent="0.25">
      <c r="A3" s="152" t="s">
        <v>8</v>
      </c>
      <c r="B3" s="138" t="s">
        <v>9</v>
      </c>
      <c r="C3" s="138" t="s">
        <v>10</v>
      </c>
      <c r="D3" s="138" t="s">
        <v>11</v>
      </c>
      <c r="E3" s="138" t="s">
        <v>12</v>
      </c>
      <c r="F3" s="138" t="s">
        <v>13</v>
      </c>
      <c r="G3" s="140" t="s">
        <v>14</v>
      </c>
      <c r="H3" s="141"/>
      <c r="I3" s="141"/>
      <c r="J3" s="141"/>
      <c r="K3" s="141"/>
      <c r="L3" s="142"/>
      <c r="M3" s="138" t="s">
        <v>15</v>
      </c>
      <c r="N3" s="138" t="s">
        <v>16</v>
      </c>
      <c r="O3" s="138" t="s">
        <v>17</v>
      </c>
      <c r="P3" s="138" t="s">
        <v>18</v>
      </c>
      <c r="Q3" s="140" t="s">
        <v>19</v>
      </c>
      <c r="R3" s="141"/>
      <c r="S3" s="141"/>
      <c r="T3" s="141"/>
      <c r="U3" s="141"/>
      <c r="V3" s="142"/>
      <c r="W3" s="154" t="s">
        <v>20</v>
      </c>
    </row>
    <row r="4" spans="1:23" x14ac:dyDescent="0.25">
      <c r="A4" s="153"/>
      <c r="B4" s="139"/>
      <c r="C4" s="139"/>
      <c r="D4" s="139"/>
      <c r="E4" s="139"/>
      <c r="F4" s="139"/>
      <c r="G4" s="31" t="s">
        <v>21</v>
      </c>
      <c r="H4" s="31" t="s">
        <v>21</v>
      </c>
      <c r="I4" s="31" t="s">
        <v>21</v>
      </c>
      <c r="J4" s="31" t="s">
        <v>22</v>
      </c>
      <c r="K4" s="31" t="s">
        <v>22</v>
      </c>
      <c r="L4" s="32" t="s">
        <v>22</v>
      </c>
      <c r="M4" s="169"/>
      <c r="N4" s="139"/>
      <c r="O4" s="139"/>
      <c r="P4" s="139"/>
      <c r="Q4" s="31" t="s">
        <v>21</v>
      </c>
      <c r="R4" s="31" t="s">
        <v>21</v>
      </c>
      <c r="S4" s="31" t="s">
        <v>21</v>
      </c>
      <c r="T4" s="31" t="s">
        <v>22</v>
      </c>
      <c r="U4" s="31" t="s">
        <v>22</v>
      </c>
      <c r="V4" s="31" t="s">
        <v>22</v>
      </c>
      <c r="W4" s="155"/>
    </row>
    <row r="5" spans="1:23" ht="15.75" x14ac:dyDescent="0.25">
      <c r="A5" s="5">
        <v>1</v>
      </c>
      <c r="B5" s="21" t="s">
        <v>251</v>
      </c>
      <c r="C5" s="20">
        <v>45939</v>
      </c>
      <c r="D5" s="36">
        <v>46012</v>
      </c>
      <c r="E5" s="21">
        <v>3</v>
      </c>
      <c r="F5" s="21">
        <v>0</v>
      </c>
      <c r="G5" s="21">
        <v>139</v>
      </c>
      <c r="H5" s="21">
        <v>142</v>
      </c>
      <c r="I5" s="21"/>
      <c r="J5" s="21">
        <v>128</v>
      </c>
      <c r="K5" s="24"/>
      <c r="L5" s="58"/>
      <c r="M5" s="74">
        <f>AVERAGE(G5:L5)</f>
        <v>136.33333333333334</v>
      </c>
      <c r="N5" s="70">
        <v>46028</v>
      </c>
      <c r="O5" s="21">
        <v>3</v>
      </c>
      <c r="P5" s="21">
        <v>0</v>
      </c>
      <c r="Q5" s="21">
        <v>182</v>
      </c>
      <c r="R5" s="21">
        <v>220</v>
      </c>
      <c r="S5" s="21"/>
      <c r="T5" s="21">
        <v>172</v>
      </c>
      <c r="U5" s="21"/>
      <c r="V5" s="21"/>
      <c r="W5" s="40">
        <f>AVERAGE(Q5:V5)</f>
        <v>191.33333333333334</v>
      </c>
    </row>
    <row r="6" spans="1:23" ht="15.75" x14ac:dyDescent="0.25">
      <c r="A6" s="6">
        <v>2</v>
      </c>
      <c r="B6" s="21" t="s">
        <v>447</v>
      </c>
      <c r="C6" s="13">
        <v>46039</v>
      </c>
      <c r="D6" s="13">
        <v>46122</v>
      </c>
      <c r="E6" s="21">
        <v>2</v>
      </c>
      <c r="F6" s="21">
        <v>0</v>
      </c>
      <c r="G6" s="21">
        <v>128</v>
      </c>
      <c r="H6" s="21"/>
      <c r="I6" s="21"/>
      <c r="J6" s="21">
        <v>132</v>
      </c>
      <c r="K6" s="24"/>
      <c r="L6" s="58"/>
      <c r="M6" s="31">
        <f>AVERAGE(G6:L6)</f>
        <v>130</v>
      </c>
      <c r="N6" s="26">
        <v>46139</v>
      </c>
      <c r="O6" s="21">
        <v>2</v>
      </c>
      <c r="P6" s="21">
        <v>0</v>
      </c>
      <c r="Q6" s="21">
        <v>234</v>
      </c>
      <c r="R6" s="21"/>
      <c r="S6" s="21"/>
      <c r="T6" s="21">
        <v>230</v>
      </c>
      <c r="U6" s="21"/>
      <c r="V6" s="21"/>
      <c r="W6" s="22">
        <f>AVERAGE(Q6:V6)</f>
        <v>232</v>
      </c>
    </row>
    <row r="7" spans="1:23" ht="15.75" x14ac:dyDescent="0.25">
      <c r="A7" s="6">
        <v>3</v>
      </c>
      <c r="B7" s="8"/>
      <c r="C7" s="8"/>
      <c r="D7" s="8"/>
      <c r="E7" s="21"/>
      <c r="F7" s="21"/>
      <c r="G7" s="21"/>
      <c r="H7" s="21"/>
      <c r="I7" s="21"/>
      <c r="J7" s="21"/>
      <c r="K7" s="21"/>
      <c r="L7" s="44"/>
      <c r="M7" s="44"/>
      <c r="N7" s="21"/>
      <c r="O7" s="21"/>
      <c r="P7" s="21"/>
      <c r="Q7" s="21"/>
      <c r="R7" s="21"/>
      <c r="S7" s="21"/>
      <c r="T7" s="21"/>
      <c r="U7" s="21"/>
      <c r="V7" s="21"/>
      <c r="W7" s="22"/>
    </row>
    <row r="8" spans="1:23" ht="15.75" x14ac:dyDescent="0.25">
      <c r="A8" s="5">
        <v>4</v>
      </c>
      <c r="B8" s="8"/>
      <c r="C8" s="8"/>
      <c r="D8" s="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2"/>
    </row>
    <row r="9" spans="1:23" ht="15.75" x14ac:dyDescent="0.25">
      <c r="A9" s="5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</row>
    <row r="10" spans="1:23" ht="16.5" thickBot="1" x14ac:dyDescent="0.3">
      <c r="A10" s="7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2" spans="1:23" ht="15.75" thickBot="1" x14ac:dyDescent="0.3"/>
    <row r="13" spans="1:23" ht="15.75" x14ac:dyDescent="0.25">
      <c r="A13" s="156" t="s">
        <v>260</v>
      </c>
      <c r="B13" s="157"/>
      <c r="C13" s="111" t="s">
        <v>291</v>
      </c>
      <c r="D13" s="112"/>
      <c r="E13" s="111" t="s">
        <v>485</v>
      </c>
      <c r="F13" s="112"/>
      <c r="G13" s="103" t="s">
        <v>4</v>
      </c>
      <c r="H13" s="157"/>
      <c r="I13" s="111" t="s">
        <v>139</v>
      </c>
      <c r="J13" s="158"/>
      <c r="K13" s="158"/>
      <c r="L13" s="158"/>
      <c r="M13" s="158"/>
      <c r="N13" s="112"/>
      <c r="O13" s="103" t="s">
        <v>6</v>
      </c>
      <c r="P13" s="157"/>
      <c r="Q13" s="166">
        <v>45819</v>
      </c>
      <c r="R13" s="167"/>
      <c r="S13" s="167"/>
      <c r="T13" s="167"/>
      <c r="U13" s="167"/>
      <c r="V13" s="167"/>
      <c r="W13" s="168"/>
    </row>
    <row r="14" spans="1:23" ht="15.75" x14ac:dyDescent="0.25">
      <c r="A14" s="144" t="s">
        <v>7</v>
      </c>
      <c r="B14" s="145"/>
      <c r="C14" s="135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7"/>
      <c r="O14" s="135"/>
      <c r="P14" s="137"/>
      <c r="Q14" s="149"/>
      <c r="R14" s="150"/>
      <c r="S14" s="150"/>
      <c r="T14" s="150"/>
      <c r="U14" s="150"/>
      <c r="V14" s="150"/>
      <c r="W14" s="151"/>
    </row>
    <row r="15" spans="1:23" x14ac:dyDescent="0.25">
      <c r="A15" s="152" t="s">
        <v>8</v>
      </c>
      <c r="B15" s="138" t="s">
        <v>9</v>
      </c>
      <c r="C15" s="138" t="s">
        <v>10</v>
      </c>
      <c r="D15" s="138" t="s">
        <v>11</v>
      </c>
      <c r="E15" s="138" t="s">
        <v>12</v>
      </c>
      <c r="F15" s="138" t="s">
        <v>13</v>
      </c>
      <c r="G15" s="140" t="s">
        <v>14</v>
      </c>
      <c r="H15" s="141"/>
      <c r="I15" s="141"/>
      <c r="J15" s="141"/>
      <c r="K15" s="141"/>
      <c r="L15" s="142"/>
      <c r="M15" s="138" t="s">
        <v>15</v>
      </c>
      <c r="N15" s="138" t="s">
        <v>16</v>
      </c>
      <c r="O15" s="138" t="s">
        <v>17</v>
      </c>
      <c r="P15" s="138" t="s">
        <v>18</v>
      </c>
      <c r="Q15" s="140" t="s">
        <v>19</v>
      </c>
      <c r="R15" s="141"/>
      <c r="S15" s="141"/>
      <c r="T15" s="141"/>
      <c r="U15" s="141"/>
      <c r="V15" s="142"/>
      <c r="W15" s="154" t="s">
        <v>20</v>
      </c>
    </row>
    <row r="16" spans="1:23" x14ac:dyDescent="0.25">
      <c r="A16" s="153"/>
      <c r="B16" s="139"/>
      <c r="C16" s="139"/>
      <c r="D16" s="139"/>
      <c r="E16" s="139"/>
      <c r="F16" s="139"/>
      <c r="G16" s="31" t="s">
        <v>21</v>
      </c>
      <c r="H16" s="31" t="s">
        <v>21</v>
      </c>
      <c r="I16" s="31" t="s">
        <v>21</v>
      </c>
      <c r="J16" s="31" t="s">
        <v>22</v>
      </c>
      <c r="K16" s="31" t="s">
        <v>22</v>
      </c>
      <c r="L16" s="32" t="s">
        <v>22</v>
      </c>
      <c r="M16" s="169"/>
      <c r="N16" s="139"/>
      <c r="O16" s="139"/>
      <c r="P16" s="139"/>
      <c r="Q16" s="31" t="s">
        <v>21</v>
      </c>
      <c r="R16" s="31" t="s">
        <v>21</v>
      </c>
      <c r="S16" s="31" t="s">
        <v>21</v>
      </c>
      <c r="T16" s="31" t="s">
        <v>22</v>
      </c>
      <c r="U16" s="31" t="s">
        <v>22</v>
      </c>
      <c r="V16" s="31" t="s">
        <v>22</v>
      </c>
      <c r="W16" s="155"/>
    </row>
    <row r="17" spans="1:23" ht="15.75" x14ac:dyDescent="0.25">
      <c r="A17" s="5">
        <v>1</v>
      </c>
      <c r="B17" s="21" t="s">
        <v>251</v>
      </c>
      <c r="C17" s="20">
        <v>45939</v>
      </c>
      <c r="D17" s="36" t="s">
        <v>428</v>
      </c>
      <c r="E17" s="21"/>
      <c r="F17" s="21"/>
      <c r="G17" s="21"/>
      <c r="H17" s="21"/>
      <c r="I17" s="21"/>
      <c r="J17" s="21"/>
      <c r="K17" s="24"/>
      <c r="L17" s="58"/>
      <c r="M17" s="63"/>
      <c r="O17" s="21"/>
      <c r="P17" s="21"/>
      <c r="Q17" s="21"/>
      <c r="R17" s="21"/>
      <c r="S17" s="21"/>
      <c r="T17" s="21"/>
      <c r="U17" s="21"/>
      <c r="V17" s="21"/>
      <c r="W17" s="22"/>
    </row>
    <row r="18" spans="1:23" ht="15.75" x14ac:dyDescent="0.25">
      <c r="A18" s="6">
        <v>2</v>
      </c>
      <c r="B18" s="21" t="s">
        <v>447</v>
      </c>
      <c r="C18" s="13">
        <v>46039</v>
      </c>
      <c r="D18" s="13">
        <v>46122</v>
      </c>
      <c r="E18" s="21">
        <v>2</v>
      </c>
      <c r="F18" s="21">
        <v>0</v>
      </c>
      <c r="G18" s="21">
        <v>125</v>
      </c>
      <c r="H18" s="21"/>
      <c r="I18" s="21"/>
      <c r="J18" s="21">
        <v>120</v>
      </c>
      <c r="K18" s="24"/>
      <c r="L18" s="58"/>
      <c r="M18" s="31">
        <f>AVERAGE(G18:L18)</f>
        <v>122.5</v>
      </c>
      <c r="N18" s="26">
        <v>46139</v>
      </c>
      <c r="O18" s="21">
        <v>2</v>
      </c>
      <c r="P18" s="21">
        <v>0</v>
      </c>
      <c r="Q18" s="21">
        <v>212</v>
      </c>
      <c r="R18" s="21"/>
      <c r="S18" s="21"/>
      <c r="T18" s="21">
        <v>233</v>
      </c>
      <c r="U18" s="21"/>
      <c r="V18" s="21"/>
      <c r="W18" s="22">
        <f>AVERAGE(Q18:V18)</f>
        <v>222.5</v>
      </c>
    </row>
    <row r="19" spans="1:23" ht="15.75" x14ac:dyDescent="0.25">
      <c r="A19" s="6">
        <v>3</v>
      </c>
      <c r="B19" s="8"/>
      <c r="C19" s="8"/>
      <c r="D19" s="8"/>
      <c r="E19" s="21"/>
      <c r="F19" s="21"/>
      <c r="G19" s="21"/>
      <c r="H19" s="21"/>
      <c r="I19" s="21"/>
      <c r="J19" s="21"/>
      <c r="K19" s="21"/>
      <c r="L19" s="44"/>
      <c r="M19" s="44"/>
      <c r="N19" s="21"/>
      <c r="O19" s="21"/>
      <c r="P19" s="21"/>
      <c r="Q19" s="21"/>
      <c r="R19" s="21"/>
      <c r="S19" s="21"/>
      <c r="T19" s="21"/>
      <c r="U19" s="21"/>
      <c r="V19" s="21"/>
      <c r="W19" s="22"/>
    </row>
    <row r="20" spans="1:23" ht="15.75" x14ac:dyDescent="0.25">
      <c r="A20" s="5">
        <v>4</v>
      </c>
      <c r="B20" s="8"/>
      <c r="C20" s="8"/>
      <c r="D20" s="8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2"/>
    </row>
    <row r="21" spans="1:23" ht="15.75" x14ac:dyDescent="0.25">
      <c r="A21" s="5">
        <v>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ht="16.5" thickBot="1" x14ac:dyDescent="0.3">
      <c r="A22" s="7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4" spans="1:23" ht="15.75" thickBot="1" x14ac:dyDescent="0.3"/>
    <row r="25" spans="1:23" ht="15.75" x14ac:dyDescent="0.25">
      <c r="A25" s="156" t="s">
        <v>260</v>
      </c>
      <c r="B25" s="157"/>
      <c r="C25" s="111" t="s">
        <v>292</v>
      </c>
      <c r="D25" s="112"/>
      <c r="E25" s="111" t="s">
        <v>485</v>
      </c>
      <c r="F25" s="112"/>
      <c r="G25" s="103" t="s">
        <v>4</v>
      </c>
      <c r="H25" s="157"/>
      <c r="I25" s="111" t="s">
        <v>139</v>
      </c>
      <c r="J25" s="158"/>
      <c r="K25" s="158"/>
      <c r="L25" s="158"/>
      <c r="M25" s="158"/>
      <c r="N25" s="112"/>
      <c r="O25" s="103" t="s">
        <v>6</v>
      </c>
      <c r="P25" s="157"/>
      <c r="Q25" s="166">
        <v>45828</v>
      </c>
      <c r="R25" s="167"/>
      <c r="S25" s="167"/>
      <c r="T25" s="167"/>
      <c r="U25" s="167"/>
      <c r="V25" s="167"/>
      <c r="W25" s="168"/>
    </row>
    <row r="26" spans="1:23" ht="15.75" x14ac:dyDescent="0.25">
      <c r="A26" s="144" t="s">
        <v>7</v>
      </c>
      <c r="B26" s="145"/>
      <c r="C26" s="135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7"/>
      <c r="O26" s="135"/>
      <c r="P26" s="137"/>
      <c r="Q26" s="149"/>
      <c r="R26" s="150"/>
      <c r="S26" s="150"/>
      <c r="T26" s="150"/>
      <c r="U26" s="150"/>
      <c r="V26" s="150"/>
      <c r="W26" s="151"/>
    </row>
    <row r="27" spans="1:23" x14ac:dyDescent="0.25">
      <c r="A27" s="152" t="s">
        <v>8</v>
      </c>
      <c r="B27" s="138" t="s">
        <v>9</v>
      </c>
      <c r="C27" s="138" t="s">
        <v>10</v>
      </c>
      <c r="D27" s="138" t="s">
        <v>11</v>
      </c>
      <c r="E27" s="138" t="s">
        <v>12</v>
      </c>
      <c r="F27" s="138" t="s">
        <v>13</v>
      </c>
      <c r="G27" s="140" t="s">
        <v>14</v>
      </c>
      <c r="H27" s="141"/>
      <c r="I27" s="141"/>
      <c r="J27" s="141"/>
      <c r="K27" s="141"/>
      <c r="L27" s="142"/>
      <c r="M27" s="138" t="s">
        <v>15</v>
      </c>
      <c r="N27" s="138" t="s">
        <v>16</v>
      </c>
      <c r="O27" s="138" t="s">
        <v>17</v>
      </c>
      <c r="P27" s="138" t="s">
        <v>18</v>
      </c>
      <c r="Q27" s="140" t="s">
        <v>19</v>
      </c>
      <c r="R27" s="141"/>
      <c r="S27" s="141"/>
      <c r="T27" s="141"/>
      <c r="U27" s="141"/>
      <c r="V27" s="142"/>
      <c r="W27" s="154" t="s">
        <v>20</v>
      </c>
    </row>
    <row r="28" spans="1:23" x14ac:dyDescent="0.25">
      <c r="A28" s="153"/>
      <c r="B28" s="139"/>
      <c r="C28" s="139"/>
      <c r="D28" s="139"/>
      <c r="E28" s="139"/>
      <c r="F28" s="139"/>
      <c r="G28" s="31" t="s">
        <v>21</v>
      </c>
      <c r="H28" s="31" t="s">
        <v>21</v>
      </c>
      <c r="I28" s="31" t="s">
        <v>21</v>
      </c>
      <c r="J28" s="31" t="s">
        <v>22</v>
      </c>
      <c r="K28" s="31" t="s">
        <v>22</v>
      </c>
      <c r="L28" s="32" t="s">
        <v>22</v>
      </c>
      <c r="M28" s="169"/>
      <c r="N28" s="139"/>
      <c r="O28" s="139"/>
      <c r="P28" s="139"/>
      <c r="Q28" s="31" t="s">
        <v>21</v>
      </c>
      <c r="R28" s="31" t="s">
        <v>21</v>
      </c>
      <c r="S28" s="31" t="s">
        <v>21</v>
      </c>
      <c r="T28" s="31" t="s">
        <v>22</v>
      </c>
      <c r="U28" s="31" t="s">
        <v>22</v>
      </c>
      <c r="V28" s="31" t="s">
        <v>22</v>
      </c>
      <c r="W28" s="155"/>
    </row>
    <row r="29" spans="1:23" ht="15.75" x14ac:dyDescent="0.25">
      <c r="A29" s="5">
        <v>1</v>
      </c>
      <c r="B29" s="21" t="s">
        <v>251</v>
      </c>
      <c r="C29" s="20">
        <v>45939</v>
      </c>
      <c r="D29" s="36" t="s">
        <v>428</v>
      </c>
      <c r="E29" s="21"/>
      <c r="F29" s="21"/>
      <c r="G29" s="21"/>
      <c r="H29" s="21"/>
      <c r="I29" s="21"/>
      <c r="J29" s="21"/>
      <c r="K29" s="24"/>
      <c r="L29" s="58"/>
      <c r="M29" s="63"/>
      <c r="O29" s="21"/>
      <c r="P29" s="21"/>
      <c r="Q29" s="21"/>
      <c r="R29" s="21"/>
      <c r="S29" s="21"/>
      <c r="T29" s="21"/>
      <c r="U29" s="21"/>
      <c r="V29" s="21"/>
      <c r="W29" s="22"/>
    </row>
    <row r="30" spans="1:23" ht="15.75" x14ac:dyDescent="0.25">
      <c r="A30" s="6">
        <v>2</v>
      </c>
      <c r="B30" s="21" t="s">
        <v>447</v>
      </c>
      <c r="C30" s="13">
        <v>46039</v>
      </c>
      <c r="D30" s="13">
        <v>46127</v>
      </c>
      <c r="E30" s="21">
        <v>2</v>
      </c>
      <c r="F30" s="21">
        <v>0</v>
      </c>
      <c r="G30" s="21">
        <v>118</v>
      </c>
      <c r="H30" s="21"/>
      <c r="I30" s="21"/>
      <c r="J30" s="21">
        <v>120</v>
      </c>
      <c r="K30" s="24"/>
      <c r="L30" s="58"/>
      <c r="M30" s="31">
        <f>AVERAGE(G30:L30)</f>
        <v>119</v>
      </c>
      <c r="N30" s="26">
        <v>46139</v>
      </c>
      <c r="O30" s="21">
        <v>2</v>
      </c>
      <c r="P30" s="21">
        <v>0</v>
      </c>
      <c r="Q30" s="21">
        <v>200</v>
      </c>
      <c r="R30" s="21"/>
      <c r="S30" s="21"/>
      <c r="T30" s="21">
        <v>180</v>
      </c>
      <c r="U30" s="21"/>
      <c r="V30" s="21"/>
      <c r="W30" s="22">
        <f>AVERAGE(Q30:V30)</f>
        <v>190</v>
      </c>
    </row>
    <row r="31" spans="1:23" ht="15.75" x14ac:dyDescent="0.25">
      <c r="A31" s="6">
        <v>3</v>
      </c>
      <c r="B31" s="8"/>
      <c r="C31" s="8"/>
      <c r="D31" s="8"/>
      <c r="E31" s="21"/>
      <c r="F31" s="21"/>
      <c r="G31" s="21"/>
      <c r="H31" s="21"/>
      <c r="I31" s="21"/>
      <c r="J31" s="21"/>
      <c r="K31" s="21"/>
      <c r="L31" s="44"/>
      <c r="M31" s="44"/>
      <c r="N31" s="21"/>
      <c r="O31" s="21"/>
      <c r="P31" s="21"/>
      <c r="Q31" s="21"/>
      <c r="R31" s="21"/>
      <c r="S31" s="21"/>
      <c r="T31" s="21"/>
      <c r="U31" s="21"/>
      <c r="V31" s="21"/>
      <c r="W31" s="22"/>
    </row>
    <row r="32" spans="1:23" ht="15.75" x14ac:dyDescent="0.25">
      <c r="A32" s="5">
        <v>4</v>
      </c>
      <c r="B32" s="8"/>
      <c r="C32" s="8"/>
      <c r="D32" s="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2"/>
    </row>
    <row r="33" spans="1:23" ht="15.75" x14ac:dyDescent="0.25">
      <c r="A33" s="5">
        <v>5</v>
      </c>
      <c r="B33" s="8"/>
      <c r="C33" s="8"/>
      <c r="D33" s="8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2"/>
    </row>
    <row r="34" spans="1:23" ht="16.5" thickBot="1" x14ac:dyDescent="0.3">
      <c r="A34" s="7">
        <v>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6" spans="1:23" ht="15.75" thickBot="1" x14ac:dyDescent="0.3"/>
    <row r="37" spans="1:23" ht="15.75" x14ac:dyDescent="0.25">
      <c r="A37" s="156" t="s">
        <v>260</v>
      </c>
      <c r="B37" s="157"/>
      <c r="C37" s="111" t="s">
        <v>293</v>
      </c>
      <c r="D37" s="112"/>
      <c r="E37" s="111" t="s">
        <v>485</v>
      </c>
      <c r="F37" s="112"/>
      <c r="G37" s="103" t="s">
        <v>4</v>
      </c>
      <c r="H37" s="157"/>
      <c r="I37" s="111" t="s">
        <v>139</v>
      </c>
      <c r="J37" s="158"/>
      <c r="K37" s="158"/>
      <c r="L37" s="158"/>
      <c r="M37" s="158"/>
      <c r="N37" s="112"/>
      <c r="O37" s="103" t="s">
        <v>6</v>
      </c>
      <c r="P37" s="157"/>
      <c r="Q37" s="166">
        <v>45840</v>
      </c>
      <c r="R37" s="167"/>
      <c r="S37" s="167"/>
      <c r="T37" s="167"/>
      <c r="U37" s="167"/>
      <c r="V37" s="167"/>
      <c r="W37" s="168"/>
    </row>
    <row r="38" spans="1:23" ht="15.75" x14ac:dyDescent="0.25">
      <c r="A38" s="144" t="s">
        <v>7</v>
      </c>
      <c r="B38" s="145"/>
      <c r="C38" s="135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7"/>
      <c r="O38" s="135"/>
      <c r="P38" s="137"/>
      <c r="Q38" s="149"/>
      <c r="R38" s="150"/>
      <c r="S38" s="150"/>
      <c r="T38" s="150"/>
      <c r="U38" s="150"/>
      <c r="V38" s="150"/>
      <c r="W38" s="151"/>
    </row>
    <row r="39" spans="1:23" x14ac:dyDescent="0.25">
      <c r="A39" s="152" t="s">
        <v>8</v>
      </c>
      <c r="B39" s="138" t="s">
        <v>9</v>
      </c>
      <c r="C39" s="138" t="s">
        <v>10</v>
      </c>
      <c r="D39" s="138" t="s">
        <v>11</v>
      </c>
      <c r="E39" s="138" t="s">
        <v>12</v>
      </c>
      <c r="F39" s="138" t="s">
        <v>13</v>
      </c>
      <c r="G39" s="140" t="s">
        <v>14</v>
      </c>
      <c r="H39" s="141"/>
      <c r="I39" s="141"/>
      <c r="J39" s="141"/>
      <c r="K39" s="141"/>
      <c r="L39" s="142"/>
      <c r="M39" s="138" t="s">
        <v>15</v>
      </c>
      <c r="N39" s="138" t="s">
        <v>16</v>
      </c>
      <c r="O39" s="138" t="s">
        <v>17</v>
      </c>
      <c r="P39" s="138" t="s">
        <v>18</v>
      </c>
      <c r="Q39" s="140" t="s">
        <v>19</v>
      </c>
      <c r="R39" s="141"/>
      <c r="S39" s="141"/>
      <c r="T39" s="141"/>
      <c r="U39" s="141"/>
      <c r="V39" s="142"/>
      <c r="W39" s="154" t="s">
        <v>20</v>
      </c>
    </row>
    <row r="40" spans="1:23" x14ac:dyDescent="0.25">
      <c r="A40" s="153"/>
      <c r="B40" s="139"/>
      <c r="C40" s="139"/>
      <c r="D40" s="139"/>
      <c r="E40" s="139"/>
      <c r="F40" s="139"/>
      <c r="G40" s="31" t="s">
        <v>21</v>
      </c>
      <c r="H40" s="31" t="s">
        <v>21</v>
      </c>
      <c r="I40" s="31" t="s">
        <v>21</v>
      </c>
      <c r="J40" s="31" t="s">
        <v>22</v>
      </c>
      <c r="K40" s="31" t="s">
        <v>22</v>
      </c>
      <c r="L40" s="32" t="s">
        <v>22</v>
      </c>
      <c r="M40" s="169"/>
      <c r="N40" s="139"/>
      <c r="O40" s="139"/>
      <c r="P40" s="139"/>
      <c r="Q40" s="31" t="s">
        <v>21</v>
      </c>
      <c r="R40" s="31" t="s">
        <v>21</v>
      </c>
      <c r="S40" s="31" t="s">
        <v>21</v>
      </c>
      <c r="T40" s="31" t="s">
        <v>22</v>
      </c>
      <c r="U40" s="31" t="s">
        <v>22</v>
      </c>
      <c r="V40" s="31" t="s">
        <v>22</v>
      </c>
      <c r="W40" s="155"/>
    </row>
    <row r="41" spans="1:23" ht="15.75" x14ac:dyDescent="0.25">
      <c r="A41" s="5">
        <v>1</v>
      </c>
      <c r="B41" s="21" t="s">
        <v>251</v>
      </c>
      <c r="C41" s="20">
        <v>45939</v>
      </c>
      <c r="D41" s="36" t="s">
        <v>428</v>
      </c>
      <c r="E41" s="21"/>
      <c r="F41" s="21"/>
      <c r="G41" s="21"/>
      <c r="H41" s="21"/>
      <c r="I41" s="21"/>
      <c r="J41" s="21"/>
      <c r="K41" s="24"/>
      <c r="L41" s="58"/>
      <c r="M41" s="63"/>
      <c r="O41" s="21"/>
      <c r="P41" s="21"/>
      <c r="Q41" s="21"/>
      <c r="R41" s="21"/>
      <c r="S41" s="21"/>
      <c r="T41" s="21"/>
      <c r="U41" s="21"/>
      <c r="V41" s="21"/>
      <c r="W41" s="22"/>
    </row>
    <row r="42" spans="1:23" ht="15.75" x14ac:dyDescent="0.25">
      <c r="A42" s="6">
        <v>2</v>
      </c>
      <c r="B42" s="21" t="s">
        <v>447</v>
      </c>
      <c r="C42" s="13">
        <v>46039</v>
      </c>
      <c r="D42" s="8" t="s">
        <v>428</v>
      </c>
      <c r="E42" s="8"/>
      <c r="F42" s="8"/>
      <c r="G42" s="8"/>
      <c r="H42" s="8"/>
      <c r="I42" s="8"/>
      <c r="J42" s="8"/>
      <c r="K42" s="25"/>
      <c r="L42" s="71"/>
      <c r="M42" s="63"/>
      <c r="N42" s="26"/>
      <c r="O42" s="8"/>
      <c r="P42" s="8"/>
      <c r="Q42" s="8"/>
      <c r="R42" s="8"/>
      <c r="S42" s="8"/>
      <c r="T42" s="8"/>
      <c r="U42" s="8"/>
      <c r="V42" s="8"/>
      <c r="W42" s="9"/>
    </row>
    <row r="43" spans="1:23" ht="15.75" x14ac:dyDescent="0.25">
      <c r="A43" s="6">
        <v>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27"/>
      <c r="M43" s="27"/>
      <c r="N43" s="8"/>
      <c r="O43" s="8"/>
      <c r="P43" s="8"/>
      <c r="Q43" s="8"/>
      <c r="R43" s="8"/>
      <c r="S43" s="8"/>
      <c r="T43" s="8"/>
      <c r="U43" s="8"/>
      <c r="V43" s="8"/>
      <c r="W43" s="9"/>
    </row>
    <row r="44" spans="1:23" ht="15.75" x14ac:dyDescent="0.25">
      <c r="A44" s="5">
        <v>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9"/>
    </row>
    <row r="45" spans="1:23" ht="15.75" x14ac:dyDescent="0.25">
      <c r="A45" s="5">
        <v>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</row>
    <row r="46" spans="1:23" ht="16.5" thickBot="1" x14ac:dyDescent="0.3">
      <c r="A46" s="7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8" spans="1:23" ht="15.75" thickBot="1" x14ac:dyDescent="0.3"/>
    <row r="49" spans="1:23" ht="15.75" x14ac:dyDescent="0.25">
      <c r="A49" s="156" t="s">
        <v>260</v>
      </c>
      <c r="B49" s="157"/>
      <c r="C49" s="111" t="s">
        <v>294</v>
      </c>
      <c r="D49" s="112"/>
      <c r="E49" s="111" t="s">
        <v>414</v>
      </c>
      <c r="F49" s="112"/>
      <c r="G49" s="103" t="s">
        <v>4</v>
      </c>
      <c r="H49" s="157"/>
      <c r="I49" s="111" t="s">
        <v>135</v>
      </c>
      <c r="J49" s="158"/>
      <c r="K49" s="158"/>
      <c r="L49" s="158"/>
      <c r="M49" s="158"/>
      <c r="N49" s="112"/>
      <c r="O49" s="103" t="s">
        <v>6</v>
      </c>
      <c r="P49" s="157"/>
      <c r="Q49" s="166">
        <v>45813</v>
      </c>
      <c r="R49" s="167"/>
      <c r="S49" s="167"/>
      <c r="T49" s="167"/>
      <c r="U49" s="167"/>
      <c r="V49" s="167"/>
      <c r="W49" s="168"/>
    </row>
    <row r="50" spans="1:23" ht="15.75" x14ac:dyDescent="0.25">
      <c r="A50" s="144" t="s">
        <v>7</v>
      </c>
      <c r="B50" s="145"/>
      <c r="C50" s="135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7"/>
      <c r="O50" s="135"/>
      <c r="P50" s="137"/>
      <c r="Q50" s="149"/>
      <c r="R50" s="150"/>
      <c r="S50" s="150"/>
      <c r="T50" s="150"/>
      <c r="U50" s="150"/>
      <c r="V50" s="150"/>
      <c r="W50" s="151"/>
    </row>
    <row r="51" spans="1:23" x14ac:dyDescent="0.25">
      <c r="A51" s="152" t="s">
        <v>8</v>
      </c>
      <c r="B51" s="138" t="s">
        <v>9</v>
      </c>
      <c r="C51" s="138" t="s">
        <v>10</v>
      </c>
      <c r="D51" s="138" t="s">
        <v>11</v>
      </c>
      <c r="E51" s="138" t="s">
        <v>12</v>
      </c>
      <c r="F51" s="138" t="s">
        <v>13</v>
      </c>
      <c r="G51" s="140" t="s">
        <v>14</v>
      </c>
      <c r="H51" s="141"/>
      <c r="I51" s="141"/>
      <c r="J51" s="141"/>
      <c r="K51" s="141"/>
      <c r="L51" s="142"/>
      <c r="M51" s="138" t="s">
        <v>15</v>
      </c>
      <c r="N51" s="138" t="s">
        <v>16</v>
      </c>
      <c r="O51" s="138" t="s">
        <v>17</v>
      </c>
      <c r="P51" s="138" t="s">
        <v>18</v>
      </c>
      <c r="Q51" s="140" t="s">
        <v>19</v>
      </c>
      <c r="R51" s="141"/>
      <c r="S51" s="141"/>
      <c r="T51" s="141"/>
      <c r="U51" s="141"/>
      <c r="V51" s="142"/>
      <c r="W51" s="154" t="s">
        <v>20</v>
      </c>
    </row>
    <row r="52" spans="1:23" x14ac:dyDescent="0.25">
      <c r="A52" s="153"/>
      <c r="B52" s="139"/>
      <c r="C52" s="139"/>
      <c r="D52" s="139"/>
      <c r="E52" s="139"/>
      <c r="F52" s="139"/>
      <c r="G52" s="31" t="s">
        <v>21</v>
      </c>
      <c r="H52" s="31" t="s">
        <v>21</v>
      </c>
      <c r="I52" s="31" t="s">
        <v>21</v>
      </c>
      <c r="J52" s="31" t="s">
        <v>22</v>
      </c>
      <c r="K52" s="31" t="s">
        <v>22</v>
      </c>
      <c r="L52" s="32" t="s">
        <v>22</v>
      </c>
      <c r="M52" s="169"/>
      <c r="N52" s="139"/>
      <c r="O52" s="139"/>
      <c r="P52" s="139"/>
      <c r="Q52" s="31" t="s">
        <v>21</v>
      </c>
      <c r="R52" s="31" t="s">
        <v>21</v>
      </c>
      <c r="S52" s="31" t="s">
        <v>21</v>
      </c>
      <c r="T52" s="31" t="s">
        <v>22</v>
      </c>
      <c r="U52" s="31" t="s">
        <v>22</v>
      </c>
      <c r="V52" s="31" t="s">
        <v>22</v>
      </c>
      <c r="W52" s="155"/>
    </row>
    <row r="53" spans="1:23" ht="15.75" x14ac:dyDescent="0.25">
      <c r="A53" s="5">
        <v>1</v>
      </c>
      <c r="B53" s="21" t="s">
        <v>295</v>
      </c>
      <c r="C53" s="20">
        <v>45939</v>
      </c>
      <c r="D53" s="36">
        <v>46012</v>
      </c>
      <c r="E53" s="21">
        <v>1</v>
      </c>
      <c r="F53" s="21">
        <v>0</v>
      </c>
      <c r="G53" s="21">
        <v>140</v>
      </c>
      <c r="H53" s="21"/>
      <c r="I53" s="21"/>
      <c r="J53" s="21"/>
      <c r="K53" s="24"/>
      <c r="L53" s="58"/>
      <c r="M53" s="63">
        <v>140</v>
      </c>
      <c r="N53" s="38">
        <v>1</v>
      </c>
      <c r="O53" s="21"/>
      <c r="P53" s="21"/>
      <c r="Q53" s="21"/>
      <c r="R53" s="21"/>
      <c r="S53" s="21"/>
      <c r="T53" s="21"/>
      <c r="U53" s="21"/>
      <c r="V53" s="21"/>
      <c r="W53" s="22"/>
    </row>
    <row r="54" spans="1:23" ht="15.75" x14ac:dyDescent="0.25">
      <c r="A54" s="6">
        <v>2</v>
      </c>
      <c r="B54" s="21" t="s">
        <v>236</v>
      </c>
      <c r="C54" s="13">
        <v>46039</v>
      </c>
      <c r="D54" s="8" t="s">
        <v>428</v>
      </c>
      <c r="E54" s="8"/>
      <c r="F54" s="8"/>
      <c r="G54" s="8"/>
      <c r="H54" s="8"/>
      <c r="I54" s="8"/>
      <c r="J54" s="8"/>
      <c r="K54" s="25"/>
      <c r="L54" s="71"/>
      <c r="M54" s="63"/>
      <c r="N54" s="26"/>
      <c r="O54" s="8"/>
      <c r="P54" s="8"/>
      <c r="Q54" s="8"/>
      <c r="R54" s="8"/>
      <c r="S54" s="8"/>
      <c r="T54" s="8"/>
      <c r="U54" s="8"/>
      <c r="V54" s="8"/>
      <c r="W54" s="9"/>
    </row>
    <row r="55" spans="1:23" ht="15.75" x14ac:dyDescent="0.25">
      <c r="A55" s="6">
        <v>3</v>
      </c>
      <c r="B55" s="8" t="s">
        <v>236</v>
      </c>
      <c r="C55" s="13">
        <v>46148</v>
      </c>
      <c r="D55" s="8"/>
      <c r="E55" s="8"/>
      <c r="F55" s="8"/>
      <c r="G55" s="8"/>
      <c r="H55" s="8"/>
      <c r="I55" s="8"/>
      <c r="J55" s="8"/>
      <c r="K55" s="8"/>
      <c r="L55" s="27"/>
      <c r="M55" s="27"/>
      <c r="N55" s="8"/>
      <c r="O55" s="8"/>
      <c r="P55" s="8"/>
      <c r="Q55" s="8"/>
      <c r="R55" s="8"/>
      <c r="S55" s="8"/>
      <c r="T55" s="8"/>
      <c r="U55" s="8"/>
      <c r="V55" s="8"/>
      <c r="W55" s="9"/>
    </row>
    <row r="56" spans="1:23" ht="15.75" x14ac:dyDescent="0.25">
      <c r="A56" s="5">
        <v>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</row>
    <row r="57" spans="1:23" ht="15.75" x14ac:dyDescent="0.25">
      <c r="A57" s="5">
        <v>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</row>
    <row r="58" spans="1:23" ht="16.5" thickBot="1" x14ac:dyDescent="0.3">
      <c r="A58" s="7">
        <v>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60" spans="1:23" ht="15.75" thickBot="1" x14ac:dyDescent="0.3"/>
    <row r="61" spans="1:23" ht="15.75" x14ac:dyDescent="0.25">
      <c r="A61" s="156" t="s">
        <v>260</v>
      </c>
      <c r="B61" s="157"/>
      <c r="C61" s="111" t="s">
        <v>296</v>
      </c>
      <c r="D61" s="112"/>
      <c r="E61" s="111" t="s">
        <v>414</v>
      </c>
      <c r="F61" s="112"/>
      <c r="G61" s="103" t="s">
        <v>4</v>
      </c>
      <c r="H61" s="157"/>
      <c r="I61" s="111" t="s">
        <v>135</v>
      </c>
      <c r="J61" s="158"/>
      <c r="K61" s="158"/>
      <c r="L61" s="158"/>
      <c r="M61" s="158"/>
      <c r="N61" s="112"/>
      <c r="O61" s="103" t="s">
        <v>6</v>
      </c>
      <c r="P61" s="157"/>
      <c r="Q61" s="166">
        <v>45812</v>
      </c>
      <c r="R61" s="167"/>
      <c r="S61" s="167"/>
      <c r="T61" s="167"/>
      <c r="U61" s="167"/>
      <c r="V61" s="167"/>
      <c r="W61" s="168"/>
    </row>
    <row r="62" spans="1:23" ht="15.75" x14ac:dyDescent="0.25">
      <c r="A62" s="144" t="s">
        <v>7</v>
      </c>
      <c r="B62" s="145"/>
      <c r="C62" s="135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7"/>
      <c r="O62" s="135"/>
      <c r="P62" s="137"/>
      <c r="Q62" s="149"/>
      <c r="R62" s="150"/>
      <c r="S62" s="150"/>
      <c r="T62" s="150"/>
      <c r="U62" s="150"/>
      <c r="V62" s="150"/>
      <c r="W62" s="151"/>
    </row>
    <row r="63" spans="1:23" x14ac:dyDescent="0.25">
      <c r="A63" s="152" t="s">
        <v>8</v>
      </c>
      <c r="B63" s="138" t="s">
        <v>9</v>
      </c>
      <c r="C63" s="138" t="s">
        <v>10</v>
      </c>
      <c r="D63" s="138" t="s">
        <v>11</v>
      </c>
      <c r="E63" s="138" t="s">
        <v>12</v>
      </c>
      <c r="F63" s="138" t="s">
        <v>13</v>
      </c>
      <c r="G63" s="140" t="s">
        <v>14</v>
      </c>
      <c r="H63" s="141"/>
      <c r="I63" s="141"/>
      <c r="J63" s="141"/>
      <c r="K63" s="141"/>
      <c r="L63" s="142"/>
      <c r="M63" s="138" t="s">
        <v>15</v>
      </c>
      <c r="N63" s="138" t="s">
        <v>16</v>
      </c>
      <c r="O63" s="138" t="s">
        <v>17</v>
      </c>
      <c r="P63" s="138" t="s">
        <v>18</v>
      </c>
      <c r="Q63" s="140" t="s">
        <v>19</v>
      </c>
      <c r="R63" s="141"/>
      <c r="S63" s="141"/>
      <c r="T63" s="141"/>
      <c r="U63" s="141"/>
      <c r="V63" s="142"/>
      <c r="W63" s="154" t="s">
        <v>20</v>
      </c>
    </row>
    <row r="64" spans="1:23" x14ac:dyDescent="0.25">
      <c r="A64" s="153"/>
      <c r="B64" s="139"/>
      <c r="C64" s="139"/>
      <c r="D64" s="139"/>
      <c r="E64" s="139"/>
      <c r="F64" s="139"/>
      <c r="G64" s="31" t="s">
        <v>21</v>
      </c>
      <c r="H64" s="31" t="s">
        <v>21</v>
      </c>
      <c r="I64" s="31" t="s">
        <v>21</v>
      </c>
      <c r="J64" s="31" t="s">
        <v>22</v>
      </c>
      <c r="K64" s="31" t="s">
        <v>22</v>
      </c>
      <c r="L64" s="32" t="s">
        <v>22</v>
      </c>
      <c r="M64" s="169"/>
      <c r="N64" s="139"/>
      <c r="O64" s="139"/>
      <c r="P64" s="139"/>
      <c r="Q64" s="31" t="s">
        <v>21</v>
      </c>
      <c r="R64" s="31" t="s">
        <v>21</v>
      </c>
      <c r="S64" s="31" t="s">
        <v>21</v>
      </c>
      <c r="T64" s="31" t="s">
        <v>22</v>
      </c>
      <c r="U64" s="31" t="s">
        <v>22</v>
      </c>
      <c r="V64" s="31" t="s">
        <v>22</v>
      </c>
      <c r="W64" s="155"/>
    </row>
    <row r="65" spans="1:23" ht="15.75" x14ac:dyDescent="0.25">
      <c r="A65" s="5">
        <v>1</v>
      </c>
      <c r="B65" s="21" t="s">
        <v>295</v>
      </c>
      <c r="C65" s="20">
        <v>45939</v>
      </c>
      <c r="D65" s="36">
        <v>46025</v>
      </c>
      <c r="E65" s="21">
        <v>1</v>
      </c>
      <c r="F65" s="21">
        <v>1</v>
      </c>
      <c r="G65" s="21"/>
      <c r="H65" s="21"/>
      <c r="I65" s="21"/>
      <c r="J65" s="21"/>
      <c r="K65" s="24"/>
      <c r="L65" s="58"/>
      <c r="M65" s="63"/>
      <c r="O65" s="21"/>
      <c r="P65" s="21"/>
      <c r="Q65" s="21"/>
      <c r="R65" s="21"/>
      <c r="S65" s="21"/>
      <c r="T65" s="21"/>
      <c r="U65" s="21"/>
      <c r="V65" s="21"/>
      <c r="W65" s="22"/>
    </row>
    <row r="66" spans="1:23" ht="15.75" x14ac:dyDescent="0.25">
      <c r="A66" s="6">
        <v>2</v>
      </c>
      <c r="B66" s="21" t="s">
        <v>236</v>
      </c>
      <c r="C66" s="13">
        <v>46039</v>
      </c>
      <c r="D66" s="8" t="s">
        <v>428</v>
      </c>
      <c r="E66" s="8"/>
      <c r="F66" s="8"/>
      <c r="G66" s="8"/>
      <c r="H66" s="8"/>
      <c r="I66" s="8"/>
      <c r="J66" s="8"/>
      <c r="K66" s="25"/>
      <c r="L66" s="71"/>
      <c r="M66" s="63"/>
      <c r="N66" s="26"/>
      <c r="O66" s="8"/>
      <c r="P66" s="8"/>
      <c r="Q66" s="8"/>
      <c r="R66" s="8"/>
      <c r="S66" s="8"/>
      <c r="T66" s="8"/>
      <c r="U66" s="8"/>
      <c r="V66" s="8"/>
      <c r="W66" s="9"/>
    </row>
    <row r="67" spans="1:23" ht="15.75" x14ac:dyDescent="0.25">
      <c r="A67" s="6">
        <v>3</v>
      </c>
      <c r="B67" s="8" t="s">
        <v>236</v>
      </c>
      <c r="C67" s="13">
        <v>46148</v>
      </c>
      <c r="D67" s="8"/>
      <c r="E67" s="8"/>
      <c r="F67" s="8"/>
      <c r="G67" s="8"/>
      <c r="H67" s="8"/>
      <c r="I67" s="8"/>
      <c r="J67" s="8"/>
      <c r="K67" s="8"/>
      <c r="L67" s="27"/>
      <c r="M67" s="27"/>
      <c r="N67" s="8"/>
      <c r="O67" s="8"/>
      <c r="P67" s="8"/>
      <c r="Q67" s="8"/>
      <c r="R67" s="8"/>
      <c r="S67" s="8"/>
      <c r="T67" s="8"/>
      <c r="U67" s="8"/>
      <c r="V67" s="8"/>
      <c r="W67" s="9"/>
    </row>
    <row r="68" spans="1:23" ht="15.75" x14ac:dyDescent="0.25">
      <c r="A68" s="5">
        <v>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</row>
    <row r="69" spans="1:23" ht="15.75" x14ac:dyDescent="0.25">
      <c r="A69" s="5">
        <v>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</row>
    <row r="70" spans="1:23" ht="16.5" thickBot="1" x14ac:dyDescent="0.3">
      <c r="A70" s="7">
        <v>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2" spans="1:23" ht="15.75" thickBot="1" x14ac:dyDescent="0.3"/>
    <row r="73" spans="1:23" ht="15.75" x14ac:dyDescent="0.25">
      <c r="A73" s="156" t="s">
        <v>260</v>
      </c>
      <c r="B73" s="157"/>
      <c r="C73" s="111" t="s">
        <v>297</v>
      </c>
      <c r="D73" s="112"/>
      <c r="E73" s="111" t="s">
        <v>414</v>
      </c>
      <c r="F73" s="112"/>
      <c r="G73" s="103" t="s">
        <v>4</v>
      </c>
      <c r="H73" s="157"/>
      <c r="I73" s="111" t="s">
        <v>135</v>
      </c>
      <c r="J73" s="158"/>
      <c r="K73" s="158"/>
      <c r="L73" s="158"/>
      <c r="M73" s="158"/>
      <c r="N73" s="112"/>
      <c r="O73" s="103" t="s">
        <v>6</v>
      </c>
      <c r="P73" s="157"/>
      <c r="Q73" s="166">
        <v>45817</v>
      </c>
      <c r="R73" s="167"/>
      <c r="S73" s="167"/>
      <c r="T73" s="167"/>
      <c r="U73" s="167"/>
      <c r="V73" s="167"/>
      <c r="W73" s="168"/>
    </row>
    <row r="74" spans="1:23" ht="15.75" x14ac:dyDescent="0.25">
      <c r="A74" s="144" t="s">
        <v>7</v>
      </c>
      <c r="B74" s="145"/>
      <c r="C74" s="135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7"/>
      <c r="O74" s="135"/>
      <c r="P74" s="137"/>
      <c r="Q74" s="149"/>
      <c r="R74" s="150"/>
      <c r="S74" s="150"/>
      <c r="T74" s="150"/>
      <c r="U74" s="150"/>
      <c r="V74" s="150"/>
      <c r="W74" s="151"/>
    </row>
    <row r="75" spans="1:23" x14ac:dyDescent="0.25">
      <c r="A75" s="152" t="s">
        <v>8</v>
      </c>
      <c r="B75" s="138" t="s">
        <v>9</v>
      </c>
      <c r="C75" s="138" t="s">
        <v>10</v>
      </c>
      <c r="D75" s="138" t="s">
        <v>11</v>
      </c>
      <c r="E75" s="138" t="s">
        <v>12</v>
      </c>
      <c r="F75" s="138" t="s">
        <v>13</v>
      </c>
      <c r="G75" s="140" t="s">
        <v>14</v>
      </c>
      <c r="H75" s="141"/>
      <c r="I75" s="141"/>
      <c r="J75" s="141"/>
      <c r="K75" s="141"/>
      <c r="L75" s="142"/>
      <c r="M75" s="138" t="s">
        <v>15</v>
      </c>
      <c r="N75" s="138" t="s">
        <v>16</v>
      </c>
      <c r="O75" s="138" t="s">
        <v>17</v>
      </c>
      <c r="P75" s="138" t="s">
        <v>18</v>
      </c>
      <c r="Q75" s="140" t="s">
        <v>19</v>
      </c>
      <c r="R75" s="141"/>
      <c r="S75" s="141"/>
      <c r="T75" s="141"/>
      <c r="U75" s="141"/>
      <c r="V75" s="142"/>
      <c r="W75" s="154" t="s">
        <v>20</v>
      </c>
    </row>
    <row r="76" spans="1:23" x14ac:dyDescent="0.25">
      <c r="A76" s="153"/>
      <c r="B76" s="139"/>
      <c r="C76" s="139"/>
      <c r="D76" s="139"/>
      <c r="E76" s="139"/>
      <c r="F76" s="139"/>
      <c r="G76" s="31" t="s">
        <v>21</v>
      </c>
      <c r="H76" s="31" t="s">
        <v>21</v>
      </c>
      <c r="I76" s="31" t="s">
        <v>21</v>
      </c>
      <c r="J76" s="31" t="s">
        <v>22</v>
      </c>
      <c r="K76" s="31" t="s">
        <v>22</v>
      </c>
      <c r="L76" s="32" t="s">
        <v>22</v>
      </c>
      <c r="M76" s="172"/>
      <c r="N76" s="139"/>
      <c r="O76" s="139"/>
      <c r="P76" s="139"/>
      <c r="Q76" s="31" t="s">
        <v>21</v>
      </c>
      <c r="R76" s="31" t="s">
        <v>21</v>
      </c>
      <c r="S76" s="31" t="s">
        <v>21</v>
      </c>
      <c r="T76" s="31" t="s">
        <v>22</v>
      </c>
      <c r="U76" s="31" t="s">
        <v>22</v>
      </c>
      <c r="V76" s="31" t="s">
        <v>22</v>
      </c>
      <c r="W76" s="155"/>
    </row>
    <row r="77" spans="1:23" ht="15.75" x14ac:dyDescent="0.25">
      <c r="A77" s="5">
        <v>1</v>
      </c>
      <c r="B77" s="21" t="s">
        <v>295</v>
      </c>
      <c r="C77" s="20">
        <v>45939</v>
      </c>
      <c r="D77" s="36" t="s">
        <v>428</v>
      </c>
      <c r="E77" s="21"/>
      <c r="F77" s="21"/>
      <c r="G77" s="21"/>
      <c r="H77" s="21"/>
      <c r="I77" s="21"/>
      <c r="J77" s="21"/>
      <c r="K77" s="24"/>
      <c r="L77" s="29"/>
      <c r="M77" s="170"/>
      <c r="O77" s="21"/>
      <c r="P77" s="21"/>
      <c r="Q77" s="21"/>
      <c r="R77" s="21"/>
      <c r="S77" s="21"/>
      <c r="T77" s="21"/>
      <c r="U77" s="21"/>
      <c r="V77" s="21"/>
      <c r="W77" s="22"/>
    </row>
    <row r="78" spans="1:23" ht="15.75" x14ac:dyDescent="0.25">
      <c r="A78" s="6">
        <v>2</v>
      </c>
      <c r="B78" s="21" t="s">
        <v>236</v>
      </c>
      <c r="C78" s="13">
        <v>46039</v>
      </c>
      <c r="D78" s="8" t="s">
        <v>428</v>
      </c>
      <c r="E78" s="8"/>
      <c r="F78" s="8"/>
      <c r="G78" s="8"/>
      <c r="H78" s="8"/>
      <c r="I78" s="8"/>
      <c r="J78" s="8"/>
      <c r="K78" s="25"/>
      <c r="L78" s="30"/>
      <c r="M78" s="171"/>
      <c r="N78" s="26"/>
      <c r="O78" s="8"/>
      <c r="P78" s="8"/>
      <c r="Q78" s="8"/>
      <c r="R78" s="8"/>
      <c r="S78" s="8"/>
      <c r="T78" s="8"/>
      <c r="U78" s="8"/>
      <c r="V78" s="8"/>
      <c r="W78" s="9"/>
    </row>
    <row r="79" spans="1:23" ht="15.75" x14ac:dyDescent="0.25">
      <c r="A79" s="6">
        <v>3</v>
      </c>
      <c r="B79" s="8" t="s">
        <v>236</v>
      </c>
      <c r="C79" s="13">
        <v>46148</v>
      </c>
      <c r="D79" s="8"/>
      <c r="E79" s="8"/>
      <c r="F79" s="8"/>
      <c r="G79" s="8"/>
      <c r="H79" s="8"/>
      <c r="I79" s="8"/>
      <c r="J79" s="8"/>
      <c r="K79" s="8"/>
      <c r="L79" s="27"/>
      <c r="M79" s="27"/>
      <c r="N79" s="8"/>
      <c r="O79" s="8"/>
      <c r="P79" s="8"/>
      <c r="Q79" s="8"/>
      <c r="R79" s="8"/>
      <c r="S79" s="8"/>
      <c r="T79" s="8"/>
      <c r="U79" s="8"/>
      <c r="V79" s="8"/>
      <c r="W79" s="9"/>
    </row>
    <row r="80" spans="1:23" ht="15.75" x14ac:dyDescent="0.25">
      <c r="A80" s="5">
        <v>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</row>
    <row r="81" spans="1:23" ht="15.75" x14ac:dyDescent="0.25">
      <c r="A81" s="5">
        <v>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3" ht="16.5" thickBot="1" x14ac:dyDescent="0.3">
      <c r="A82" s="7">
        <v>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4" spans="1:23" ht="15.75" thickBot="1" x14ac:dyDescent="0.3"/>
    <row r="85" spans="1:23" ht="15.75" x14ac:dyDescent="0.25">
      <c r="A85" s="156" t="s">
        <v>260</v>
      </c>
      <c r="B85" s="157"/>
      <c r="C85" s="111" t="s">
        <v>298</v>
      </c>
      <c r="D85" s="112"/>
      <c r="E85" s="111" t="s">
        <v>414</v>
      </c>
      <c r="F85" s="112"/>
      <c r="G85" s="103" t="s">
        <v>4</v>
      </c>
      <c r="H85" s="157"/>
      <c r="I85" s="111" t="s">
        <v>135</v>
      </c>
      <c r="J85" s="158"/>
      <c r="K85" s="158"/>
      <c r="L85" s="158"/>
      <c r="M85" s="158"/>
      <c r="N85" s="112"/>
      <c r="O85" s="103" t="s">
        <v>6</v>
      </c>
      <c r="P85" s="157"/>
      <c r="Q85" s="166">
        <v>45817</v>
      </c>
      <c r="R85" s="167"/>
      <c r="S85" s="167"/>
      <c r="T85" s="167"/>
      <c r="U85" s="167"/>
      <c r="V85" s="167"/>
      <c r="W85" s="168"/>
    </row>
    <row r="86" spans="1:23" ht="15.75" x14ac:dyDescent="0.25">
      <c r="A86" s="144" t="s">
        <v>7</v>
      </c>
      <c r="B86" s="145"/>
      <c r="C86" s="135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7"/>
      <c r="O86" s="135"/>
      <c r="P86" s="137"/>
      <c r="Q86" s="149"/>
      <c r="R86" s="150"/>
      <c r="S86" s="150"/>
      <c r="T86" s="150"/>
      <c r="U86" s="150"/>
      <c r="V86" s="150"/>
      <c r="W86" s="151"/>
    </row>
    <row r="87" spans="1:23" x14ac:dyDescent="0.25">
      <c r="A87" s="152" t="s">
        <v>8</v>
      </c>
      <c r="B87" s="138" t="s">
        <v>9</v>
      </c>
      <c r="C87" s="138" t="s">
        <v>10</v>
      </c>
      <c r="D87" s="138" t="s">
        <v>11</v>
      </c>
      <c r="E87" s="138" t="s">
        <v>12</v>
      </c>
      <c r="F87" s="138" t="s">
        <v>13</v>
      </c>
      <c r="G87" s="140" t="s">
        <v>14</v>
      </c>
      <c r="H87" s="141"/>
      <c r="I87" s="141"/>
      <c r="J87" s="141"/>
      <c r="K87" s="141"/>
      <c r="L87" s="142"/>
      <c r="M87" s="138" t="s">
        <v>15</v>
      </c>
      <c r="N87" s="138" t="s">
        <v>16</v>
      </c>
      <c r="O87" s="138" t="s">
        <v>17</v>
      </c>
      <c r="P87" s="138" t="s">
        <v>18</v>
      </c>
      <c r="Q87" s="140" t="s">
        <v>19</v>
      </c>
      <c r="R87" s="141"/>
      <c r="S87" s="141"/>
      <c r="T87" s="141"/>
      <c r="U87" s="141"/>
      <c r="V87" s="142"/>
      <c r="W87" s="154" t="s">
        <v>20</v>
      </c>
    </row>
    <row r="88" spans="1:23" x14ac:dyDescent="0.25">
      <c r="A88" s="153"/>
      <c r="B88" s="139"/>
      <c r="C88" s="139"/>
      <c r="D88" s="139"/>
      <c r="E88" s="139"/>
      <c r="F88" s="139"/>
      <c r="G88" s="31" t="s">
        <v>21</v>
      </c>
      <c r="H88" s="31" t="s">
        <v>21</v>
      </c>
      <c r="I88" s="31" t="s">
        <v>21</v>
      </c>
      <c r="J88" s="31" t="s">
        <v>22</v>
      </c>
      <c r="K88" s="31" t="s">
        <v>22</v>
      </c>
      <c r="L88" s="32" t="s">
        <v>22</v>
      </c>
      <c r="M88" s="169"/>
      <c r="N88" s="139"/>
      <c r="O88" s="139"/>
      <c r="P88" s="139"/>
      <c r="Q88" s="31" t="s">
        <v>21</v>
      </c>
      <c r="R88" s="31" t="s">
        <v>21</v>
      </c>
      <c r="S88" s="31" t="s">
        <v>21</v>
      </c>
      <c r="T88" s="31" t="s">
        <v>22</v>
      </c>
      <c r="U88" s="31" t="s">
        <v>22</v>
      </c>
      <c r="V88" s="31" t="s">
        <v>22</v>
      </c>
      <c r="W88" s="155"/>
    </row>
    <row r="89" spans="1:23" ht="15.75" x14ac:dyDescent="0.25">
      <c r="A89" s="5">
        <v>1</v>
      </c>
      <c r="B89" s="21" t="s">
        <v>295</v>
      </c>
      <c r="C89" s="20">
        <v>45939</v>
      </c>
      <c r="D89" s="36" t="s">
        <v>428</v>
      </c>
      <c r="E89" s="21"/>
      <c r="F89" s="21"/>
      <c r="G89" s="21"/>
      <c r="H89" s="21"/>
      <c r="I89" s="21"/>
      <c r="J89" s="21"/>
      <c r="K89" s="24"/>
      <c r="L89" s="58"/>
      <c r="M89" s="63"/>
      <c r="O89" s="21"/>
      <c r="P89" s="21"/>
      <c r="Q89" s="21"/>
      <c r="R89" s="21"/>
      <c r="S89" s="21"/>
      <c r="T89" s="21"/>
      <c r="U89" s="21"/>
      <c r="V89" s="21"/>
      <c r="W89" s="22"/>
    </row>
    <row r="90" spans="1:23" ht="15.75" x14ac:dyDescent="0.25">
      <c r="A90" s="6">
        <v>2</v>
      </c>
      <c r="B90" s="21" t="s">
        <v>236</v>
      </c>
      <c r="C90" s="13">
        <v>46039</v>
      </c>
      <c r="D90" s="13">
        <v>46117</v>
      </c>
      <c r="E90" s="21">
        <v>3</v>
      </c>
      <c r="F90" s="21">
        <v>0</v>
      </c>
      <c r="G90" s="21">
        <v>135</v>
      </c>
      <c r="H90" s="21"/>
      <c r="I90" s="21"/>
      <c r="J90" s="21">
        <v>127</v>
      </c>
      <c r="K90" s="24">
        <v>133</v>
      </c>
      <c r="L90" s="58"/>
      <c r="M90" s="90">
        <f>AVERAGE(G90:L90)</f>
        <v>131.66666666666666</v>
      </c>
      <c r="N90" s="26">
        <v>46139</v>
      </c>
      <c r="O90" s="21">
        <v>3</v>
      </c>
      <c r="P90" s="21">
        <v>0</v>
      </c>
      <c r="Q90" s="21">
        <v>220</v>
      </c>
      <c r="R90" s="21"/>
      <c r="S90" s="21"/>
      <c r="T90" s="21">
        <v>200</v>
      </c>
      <c r="U90" s="21">
        <v>253</v>
      </c>
      <c r="V90" s="21"/>
      <c r="W90" s="68">
        <f>AVERAGE(Q90:V90)</f>
        <v>224.33333333333334</v>
      </c>
    </row>
    <row r="91" spans="1:23" ht="15.75" x14ac:dyDescent="0.25">
      <c r="A91" s="6">
        <v>3</v>
      </c>
      <c r="B91" s="8" t="s">
        <v>236</v>
      </c>
      <c r="C91" s="13">
        <v>46148</v>
      </c>
      <c r="D91" s="8"/>
      <c r="E91" s="21"/>
      <c r="F91" s="21"/>
      <c r="G91" s="21"/>
      <c r="H91" s="21"/>
      <c r="I91" s="21"/>
      <c r="J91" s="21"/>
      <c r="K91" s="21"/>
      <c r="L91" s="44"/>
      <c r="M91" s="44"/>
      <c r="N91" s="21"/>
      <c r="O91" s="21"/>
      <c r="P91" s="21"/>
      <c r="Q91" s="21"/>
      <c r="R91" s="21"/>
      <c r="S91" s="21"/>
      <c r="T91" s="21"/>
      <c r="U91" s="21"/>
      <c r="V91" s="21"/>
      <c r="W91" s="22"/>
    </row>
    <row r="92" spans="1:23" ht="15.75" x14ac:dyDescent="0.25">
      <c r="A92" s="5">
        <v>4</v>
      </c>
      <c r="B92" s="8"/>
      <c r="C92" s="8"/>
      <c r="D92" s="8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2"/>
    </row>
    <row r="93" spans="1:23" ht="15.75" x14ac:dyDescent="0.25">
      <c r="A93" s="5">
        <v>5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6.5" thickBot="1" x14ac:dyDescent="0.3">
      <c r="A94" s="7">
        <v>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6" spans="1:23" ht="15.75" thickBot="1" x14ac:dyDescent="0.3"/>
    <row r="97" spans="1:23" ht="15.75" x14ac:dyDescent="0.25">
      <c r="A97" s="156" t="s">
        <v>260</v>
      </c>
      <c r="B97" s="157"/>
      <c r="C97" s="111" t="s">
        <v>299</v>
      </c>
      <c r="D97" s="112"/>
      <c r="E97" s="111" t="s">
        <v>414</v>
      </c>
      <c r="F97" s="112"/>
      <c r="G97" s="103" t="s">
        <v>4</v>
      </c>
      <c r="H97" s="157"/>
      <c r="I97" s="111" t="s">
        <v>135</v>
      </c>
      <c r="J97" s="158"/>
      <c r="K97" s="158"/>
      <c r="L97" s="158"/>
      <c r="M97" s="158"/>
      <c r="N97" s="112"/>
      <c r="O97" s="103" t="s">
        <v>6</v>
      </c>
      <c r="P97" s="157"/>
      <c r="Q97" s="166">
        <v>45805</v>
      </c>
      <c r="R97" s="167"/>
      <c r="S97" s="167"/>
      <c r="T97" s="167"/>
      <c r="U97" s="167"/>
      <c r="V97" s="167"/>
      <c r="W97" s="168"/>
    </row>
    <row r="98" spans="1:23" ht="15.75" x14ac:dyDescent="0.25">
      <c r="A98" s="144" t="s">
        <v>7</v>
      </c>
      <c r="B98" s="145"/>
      <c r="C98" s="146" t="s">
        <v>44</v>
      </c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8"/>
      <c r="O98" s="135"/>
      <c r="P98" s="137"/>
      <c r="Q98" s="149"/>
      <c r="R98" s="150"/>
      <c r="S98" s="150"/>
      <c r="T98" s="150"/>
      <c r="U98" s="150"/>
      <c r="V98" s="150"/>
      <c r="W98" s="151"/>
    </row>
    <row r="99" spans="1:23" x14ac:dyDescent="0.25">
      <c r="A99" s="152" t="s">
        <v>8</v>
      </c>
      <c r="B99" s="138" t="s">
        <v>9</v>
      </c>
      <c r="C99" s="138" t="s">
        <v>10</v>
      </c>
      <c r="D99" s="138" t="s">
        <v>11</v>
      </c>
      <c r="E99" s="138" t="s">
        <v>12</v>
      </c>
      <c r="F99" s="138" t="s">
        <v>13</v>
      </c>
      <c r="G99" s="140" t="s">
        <v>14</v>
      </c>
      <c r="H99" s="141"/>
      <c r="I99" s="141"/>
      <c r="J99" s="141"/>
      <c r="K99" s="141"/>
      <c r="L99" s="142"/>
      <c r="M99" s="138" t="s">
        <v>15</v>
      </c>
      <c r="N99" s="138" t="s">
        <v>16</v>
      </c>
      <c r="O99" s="138" t="s">
        <v>17</v>
      </c>
      <c r="P99" s="138" t="s">
        <v>18</v>
      </c>
      <c r="Q99" s="140" t="s">
        <v>19</v>
      </c>
      <c r="R99" s="141"/>
      <c r="S99" s="141"/>
      <c r="T99" s="141"/>
      <c r="U99" s="141"/>
      <c r="V99" s="142"/>
      <c r="W99" s="154" t="s">
        <v>20</v>
      </c>
    </row>
    <row r="100" spans="1:23" x14ac:dyDescent="0.25">
      <c r="A100" s="153"/>
      <c r="B100" s="139"/>
      <c r="C100" s="139"/>
      <c r="D100" s="139"/>
      <c r="E100" s="139"/>
      <c r="F100" s="139"/>
      <c r="G100" s="31" t="s">
        <v>21</v>
      </c>
      <c r="H100" s="31" t="s">
        <v>21</v>
      </c>
      <c r="I100" s="31" t="s">
        <v>21</v>
      </c>
      <c r="J100" s="31" t="s">
        <v>22</v>
      </c>
      <c r="K100" s="31" t="s">
        <v>22</v>
      </c>
      <c r="L100" s="32" t="s">
        <v>22</v>
      </c>
      <c r="M100" s="169"/>
      <c r="N100" s="139"/>
      <c r="O100" s="139"/>
      <c r="P100" s="139"/>
      <c r="Q100" s="31" t="s">
        <v>21</v>
      </c>
      <c r="R100" s="31" t="s">
        <v>21</v>
      </c>
      <c r="S100" s="31" t="s">
        <v>21</v>
      </c>
      <c r="T100" s="31" t="s">
        <v>22</v>
      </c>
      <c r="U100" s="31" t="s">
        <v>22</v>
      </c>
      <c r="V100" s="31" t="s">
        <v>22</v>
      </c>
      <c r="W100" s="155"/>
    </row>
    <row r="101" spans="1:23" ht="15.75" x14ac:dyDescent="0.25">
      <c r="A101" s="5">
        <v>1</v>
      </c>
      <c r="B101" s="21" t="s">
        <v>295</v>
      </c>
      <c r="C101" s="20">
        <v>45939</v>
      </c>
      <c r="D101" s="36" t="s">
        <v>428</v>
      </c>
      <c r="E101" s="21"/>
      <c r="F101" s="21"/>
      <c r="G101" s="21"/>
      <c r="H101" s="21"/>
      <c r="I101" s="21"/>
      <c r="J101" s="21"/>
      <c r="K101" s="24"/>
      <c r="L101" s="58"/>
      <c r="M101" s="63"/>
      <c r="O101" s="21"/>
      <c r="P101" s="21"/>
      <c r="Q101" s="21"/>
      <c r="R101" s="21"/>
      <c r="S101" s="21"/>
      <c r="T101" s="21"/>
      <c r="U101" s="21"/>
      <c r="V101" s="21"/>
      <c r="W101" s="22"/>
    </row>
    <row r="102" spans="1:23" ht="15.75" x14ac:dyDescent="0.25">
      <c r="A102" s="6">
        <v>2</v>
      </c>
      <c r="B102" s="21" t="s">
        <v>236</v>
      </c>
      <c r="C102" s="13">
        <v>46039</v>
      </c>
      <c r="D102" s="8"/>
      <c r="E102" s="8"/>
      <c r="F102" s="8"/>
      <c r="G102" s="8"/>
      <c r="H102" s="8"/>
      <c r="I102" s="8"/>
      <c r="J102" s="8"/>
      <c r="K102" s="25"/>
      <c r="L102" s="71"/>
      <c r="M102" s="63"/>
      <c r="N102" s="26"/>
      <c r="O102" s="8"/>
      <c r="P102" s="8"/>
      <c r="Q102" s="8"/>
      <c r="R102" s="8"/>
      <c r="S102" s="8"/>
      <c r="T102" s="8"/>
      <c r="U102" s="8"/>
      <c r="V102" s="8"/>
      <c r="W102" s="9"/>
    </row>
    <row r="103" spans="1:23" ht="15.75" x14ac:dyDescent="0.25">
      <c r="A103" s="6">
        <v>3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27"/>
      <c r="M103" s="27"/>
      <c r="N103" s="8"/>
      <c r="O103" s="8"/>
      <c r="P103" s="8"/>
      <c r="Q103" s="8"/>
      <c r="R103" s="8"/>
      <c r="S103" s="8"/>
      <c r="T103" s="8"/>
      <c r="U103" s="8"/>
      <c r="V103" s="8"/>
      <c r="W103" s="9"/>
    </row>
    <row r="104" spans="1:23" ht="15.75" x14ac:dyDescent="0.25">
      <c r="A104" s="5">
        <v>4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</row>
    <row r="105" spans="1:23" ht="15.75" x14ac:dyDescent="0.25">
      <c r="A105" s="5">
        <v>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6.5" thickBot="1" x14ac:dyDescent="0.3">
      <c r="A106" s="7">
        <v>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8" spans="1:23" ht="15.75" thickBot="1" x14ac:dyDescent="0.3"/>
    <row r="109" spans="1:23" ht="15.75" x14ac:dyDescent="0.25">
      <c r="A109" s="156" t="s">
        <v>260</v>
      </c>
      <c r="B109" s="157"/>
      <c r="C109" s="111" t="s">
        <v>300</v>
      </c>
      <c r="D109" s="112"/>
      <c r="E109" s="111" t="s">
        <v>414</v>
      </c>
      <c r="F109" s="112"/>
      <c r="G109" s="103" t="s">
        <v>4</v>
      </c>
      <c r="H109" s="157"/>
      <c r="I109" s="111" t="s">
        <v>135</v>
      </c>
      <c r="J109" s="158"/>
      <c r="K109" s="158"/>
      <c r="L109" s="158"/>
      <c r="M109" s="158"/>
      <c r="N109" s="112"/>
      <c r="O109" s="103" t="s">
        <v>6</v>
      </c>
      <c r="P109" s="157"/>
      <c r="Q109" s="166">
        <v>45810</v>
      </c>
      <c r="R109" s="167"/>
      <c r="S109" s="167"/>
      <c r="T109" s="167"/>
      <c r="U109" s="167"/>
      <c r="V109" s="167"/>
      <c r="W109" s="168"/>
    </row>
    <row r="110" spans="1:23" ht="15.75" x14ac:dyDescent="0.25">
      <c r="A110" s="144" t="s">
        <v>7</v>
      </c>
      <c r="B110" s="145"/>
      <c r="C110" s="135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7"/>
      <c r="O110" s="135"/>
      <c r="P110" s="137"/>
      <c r="Q110" s="149"/>
      <c r="R110" s="150"/>
      <c r="S110" s="150"/>
      <c r="T110" s="150"/>
      <c r="U110" s="150"/>
      <c r="V110" s="150"/>
      <c r="W110" s="151"/>
    </row>
    <row r="111" spans="1:23" x14ac:dyDescent="0.25">
      <c r="A111" s="152" t="s">
        <v>8</v>
      </c>
      <c r="B111" s="138" t="s">
        <v>9</v>
      </c>
      <c r="C111" s="138" t="s">
        <v>10</v>
      </c>
      <c r="D111" s="138" t="s">
        <v>11</v>
      </c>
      <c r="E111" s="138" t="s">
        <v>12</v>
      </c>
      <c r="F111" s="138" t="s">
        <v>13</v>
      </c>
      <c r="G111" s="140" t="s">
        <v>14</v>
      </c>
      <c r="H111" s="141"/>
      <c r="I111" s="141"/>
      <c r="J111" s="141"/>
      <c r="K111" s="141"/>
      <c r="L111" s="142"/>
      <c r="M111" s="138" t="s">
        <v>15</v>
      </c>
      <c r="N111" s="138" t="s">
        <v>16</v>
      </c>
      <c r="O111" s="138" t="s">
        <v>17</v>
      </c>
      <c r="P111" s="138" t="s">
        <v>18</v>
      </c>
      <c r="Q111" s="140" t="s">
        <v>19</v>
      </c>
      <c r="R111" s="141"/>
      <c r="S111" s="141"/>
      <c r="T111" s="141"/>
      <c r="U111" s="141"/>
      <c r="V111" s="142"/>
      <c r="W111" s="154" t="s">
        <v>20</v>
      </c>
    </row>
    <row r="112" spans="1:23" x14ac:dyDescent="0.25">
      <c r="A112" s="153"/>
      <c r="B112" s="139"/>
      <c r="C112" s="139"/>
      <c r="D112" s="139"/>
      <c r="E112" s="139"/>
      <c r="F112" s="139"/>
      <c r="G112" s="31" t="s">
        <v>21</v>
      </c>
      <c r="H112" s="31" t="s">
        <v>21</v>
      </c>
      <c r="I112" s="31" t="s">
        <v>21</v>
      </c>
      <c r="J112" s="31" t="s">
        <v>22</v>
      </c>
      <c r="K112" s="31" t="s">
        <v>22</v>
      </c>
      <c r="L112" s="32" t="s">
        <v>22</v>
      </c>
      <c r="M112" s="169"/>
      <c r="N112" s="139"/>
      <c r="O112" s="139"/>
      <c r="P112" s="139"/>
      <c r="Q112" s="31" t="s">
        <v>21</v>
      </c>
      <c r="R112" s="31" t="s">
        <v>21</v>
      </c>
      <c r="S112" s="31" t="s">
        <v>21</v>
      </c>
      <c r="T112" s="31" t="s">
        <v>22</v>
      </c>
      <c r="U112" s="31" t="s">
        <v>22</v>
      </c>
      <c r="V112" s="31" t="s">
        <v>22</v>
      </c>
      <c r="W112" s="155"/>
    </row>
    <row r="113" spans="1:23" ht="15.75" x14ac:dyDescent="0.25">
      <c r="A113" s="5">
        <v>1</v>
      </c>
      <c r="B113" s="21" t="s">
        <v>295</v>
      </c>
      <c r="C113" s="20">
        <v>45939</v>
      </c>
      <c r="D113" s="36">
        <v>46035</v>
      </c>
      <c r="E113" s="21">
        <v>1</v>
      </c>
      <c r="F113" s="21">
        <v>0</v>
      </c>
      <c r="G113" s="21">
        <v>154</v>
      </c>
      <c r="H113" s="21"/>
      <c r="I113" s="21"/>
      <c r="J113" s="21"/>
      <c r="K113" s="24"/>
      <c r="L113" s="58"/>
      <c r="M113" s="81">
        <v>154</v>
      </c>
      <c r="N113" s="82">
        <v>46055</v>
      </c>
      <c r="O113" s="21">
        <v>1</v>
      </c>
      <c r="P113" s="21">
        <v>0</v>
      </c>
      <c r="Q113" s="21">
        <v>328</v>
      </c>
      <c r="R113" s="21"/>
      <c r="S113" s="21"/>
      <c r="T113" s="21"/>
      <c r="U113" s="21"/>
      <c r="V113" s="21"/>
      <c r="W113" s="22">
        <v>328</v>
      </c>
    </row>
    <row r="114" spans="1:23" ht="15.75" x14ac:dyDescent="0.25">
      <c r="A114" s="6">
        <v>2</v>
      </c>
      <c r="B114" s="21" t="s">
        <v>236</v>
      </c>
      <c r="C114" s="13">
        <v>46039</v>
      </c>
      <c r="D114" s="8" t="s">
        <v>428</v>
      </c>
      <c r="E114" s="8"/>
      <c r="F114" s="8"/>
      <c r="G114" s="8"/>
      <c r="H114" s="8"/>
      <c r="I114" s="8"/>
      <c r="J114" s="8"/>
      <c r="K114" s="25"/>
      <c r="L114" s="71"/>
      <c r="M114" s="63"/>
      <c r="N114" s="26"/>
      <c r="O114" s="8"/>
      <c r="P114" s="8"/>
      <c r="Q114" s="8"/>
      <c r="R114" s="8"/>
      <c r="S114" s="8"/>
      <c r="T114" s="8"/>
      <c r="U114" s="8"/>
      <c r="V114" s="8"/>
      <c r="W114" s="9"/>
    </row>
    <row r="115" spans="1:23" ht="15.75" x14ac:dyDescent="0.25">
      <c r="A115" s="6">
        <v>3</v>
      </c>
      <c r="B115" s="8" t="s">
        <v>236</v>
      </c>
      <c r="C115" s="13">
        <v>46148</v>
      </c>
      <c r="D115" s="8"/>
      <c r="E115" s="8"/>
      <c r="F115" s="8"/>
      <c r="G115" s="8"/>
      <c r="H115" s="8"/>
      <c r="I115" s="8"/>
      <c r="J115" s="8"/>
      <c r="K115" s="8"/>
      <c r="L115" s="27"/>
      <c r="M115" s="27"/>
      <c r="N115" s="8"/>
      <c r="O115" s="8"/>
      <c r="P115" s="8"/>
      <c r="Q115" s="8"/>
      <c r="R115" s="8"/>
      <c r="S115" s="8"/>
      <c r="T115" s="8"/>
      <c r="U115" s="8"/>
      <c r="V115" s="8"/>
      <c r="W115" s="9"/>
    </row>
    <row r="116" spans="1:23" ht="15.75" x14ac:dyDescent="0.25">
      <c r="A116" s="5">
        <v>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5">
        <v>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6.5" thickBot="1" x14ac:dyDescent="0.3">
      <c r="A118" s="7">
        <v>6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20" spans="1:23" ht="15.75" thickBot="1" x14ac:dyDescent="0.3"/>
    <row r="121" spans="1:23" ht="15.75" x14ac:dyDescent="0.25">
      <c r="A121" s="156" t="s">
        <v>260</v>
      </c>
      <c r="B121" s="157"/>
      <c r="C121" s="111" t="s">
        <v>301</v>
      </c>
      <c r="D121" s="112"/>
      <c r="E121" s="111" t="s">
        <v>410</v>
      </c>
      <c r="F121" s="112"/>
      <c r="G121" s="103" t="s">
        <v>4</v>
      </c>
      <c r="H121" s="157"/>
      <c r="I121" s="111" t="s">
        <v>135</v>
      </c>
      <c r="J121" s="158"/>
      <c r="K121" s="158"/>
      <c r="L121" s="158"/>
      <c r="M121" s="158"/>
      <c r="N121" s="112"/>
      <c r="O121" s="103" t="s">
        <v>6</v>
      </c>
      <c r="P121" s="157"/>
      <c r="Q121" s="166">
        <v>45819</v>
      </c>
      <c r="R121" s="167"/>
      <c r="S121" s="167"/>
      <c r="T121" s="167"/>
      <c r="U121" s="167"/>
      <c r="V121" s="167"/>
      <c r="W121" s="168"/>
    </row>
    <row r="122" spans="1:23" ht="15.75" x14ac:dyDescent="0.25">
      <c r="A122" s="144" t="s">
        <v>7</v>
      </c>
      <c r="B122" s="145"/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7"/>
      <c r="O122" s="135"/>
      <c r="P122" s="137"/>
      <c r="Q122" s="149"/>
      <c r="R122" s="150"/>
      <c r="S122" s="150"/>
      <c r="T122" s="150"/>
      <c r="U122" s="150"/>
      <c r="V122" s="150"/>
      <c r="W122" s="151"/>
    </row>
    <row r="123" spans="1:23" x14ac:dyDescent="0.25">
      <c r="A123" s="152" t="s">
        <v>8</v>
      </c>
      <c r="B123" s="138" t="s">
        <v>9</v>
      </c>
      <c r="C123" s="138" t="s">
        <v>10</v>
      </c>
      <c r="D123" s="138" t="s">
        <v>11</v>
      </c>
      <c r="E123" s="138" t="s">
        <v>12</v>
      </c>
      <c r="F123" s="138" t="s">
        <v>13</v>
      </c>
      <c r="G123" s="140" t="s">
        <v>14</v>
      </c>
      <c r="H123" s="141"/>
      <c r="I123" s="141"/>
      <c r="J123" s="141"/>
      <c r="K123" s="141"/>
      <c r="L123" s="142"/>
      <c r="M123" s="138" t="s">
        <v>15</v>
      </c>
      <c r="N123" s="138" t="s">
        <v>16</v>
      </c>
      <c r="O123" s="138" t="s">
        <v>17</v>
      </c>
      <c r="P123" s="138" t="s">
        <v>18</v>
      </c>
      <c r="Q123" s="140" t="s">
        <v>19</v>
      </c>
      <c r="R123" s="141"/>
      <c r="S123" s="141"/>
      <c r="T123" s="141"/>
      <c r="U123" s="141"/>
      <c r="V123" s="142"/>
      <c r="W123" s="154" t="s">
        <v>20</v>
      </c>
    </row>
    <row r="124" spans="1:23" x14ac:dyDescent="0.25">
      <c r="A124" s="153"/>
      <c r="B124" s="139"/>
      <c r="C124" s="139"/>
      <c r="D124" s="139"/>
      <c r="E124" s="139"/>
      <c r="F124" s="139"/>
      <c r="G124" s="31" t="s">
        <v>21</v>
      </c>
      <c r="H124" s="31" t="s">
        <v>21</v>
      </c>
      <c r="I124" s="31" t="s">
        <v>21</v>
      </c>
      <c r="J124" s="31" t="s">
        <v>22</v>
      </c>
      <c r="K124" s="31" t="s">
        <v>22</v>
      </c>
      <c r="L124" s="32" t="s">
        <v>22</v>
      </c>
      <c r="M124" s="169"/>
      <c r="N124" s="139"/>
      <c r="O124" s="139"/>
      <c r="P124" s="139"/>
      <c r="Q124" s="31" t="s">
        <v>21</v>
      </c>
      <c r="R124" s="31" t="s">
        <v>21</v>
      </c>
      <c r="S124" s="31" t="s">
        <v>21</v>
      </c>
      <c r="T124" s="31" t="s">
        <v>22</v>
      </c>
      <c r="U124" s="31" t="s">
        <v>22</v>
      </c>
      <c r="V124" s="31" t="s">
        <v>22</v>
      </c>
      <c r="W124" s="155"/>
    </row>
    <row r="125" spans="1:23" ht="15.75" x14ac:dyDescent="0.25">
      <c r="A125" s="5">
        <v>1</v>
      </c>
      <c r="B125" s="21" t="s">
        <v>295</v>
      </c>
      <c r="C125" s="20">
        <v>45939</v>
      </c>
      <c r="D125" s="36" t="s">
        <v>428</v>
      </c>
      <c r="E125" s="21"/>
      <c r="F125" s="21"/>
      <c r="G125" s="21"/>
      <c r="H125" s="21"/>
      <c r="I125" s="21"/>
      <c r="J125" s="21"/>
      <c r="K125" s="24"/>
      <c r="L125" s="58"/>
      <c r="M125" s="63"/>
      <c r="O125" s="21"/>
      <c r="P125" s="21"/>
      <c r="Q125" s="21"/>
      <c r="R125" s="21"/>
      <c r="S125" s="21"/>
      <c r="T125" s="21"/>
      <c r="U125" s="21"/>
      <c r="V125" s="21"/>
      <c r="W125" s="22"/>
    </row>
    <row r="126" spans="1:23" ht="15.75" x14ac:dyDescent="0.25">
      <c r="A126" s="6">
        <v>2</v>
      </c>
      <c r="B126" s="21" t="s">
        <v>234</v>
      </c>
      <c r="C126" s="13">
        <v>46039</v>
      </c>
      <c r="D126" s="13">
        <v>46111</v>
      </c>
      <c r="E126" s="21">
        <v>3</v>
      </c>
      <c r="F126" s="21">
        <v>0</v>
      </c>
      <c r="G126" s="21">
        <v>132</v>
      </c>
      <c r="H126" s="21">
        <v>131</v>
      </c>
      <c r="I126" s="21"/>
      <c r="J126" s="21">
        <v>153</v>
      </c>
      <c r="K126" s="24"/>
      <c r="L126" s="58"/>
      <c r="M126" s="74">
        <f>AVERAGE(G126:L126)</f>
        <v>138.66666666666666</v>
      </c>
      <c r="N126" s="26">
        <v>46133</v>
      </c>
      <c r="O126" s="21">
        <v>3</v>
      </c>
      <c r="P126" s="21">
        <v>0</v>
      </c>
      <c r="Q126" s="21">
        <v>216</v>
      </c>
      <c r="R126" s="21">
        <v>242</v>
      </c>
      <c r="S126" s="21"/>
      <c r="T126" s="21">
        <v>352</v>
      </c>
      <c r="U126" s="21"/>
      <c r="V126" s="21"/>
      <c r="W126" s="22">
        <f>AVERAGE(Q126:V126)</f>
        <v>270</v>
      </c>
    </row>
    <row r="127" spans="1:23" ht="15.75" x14ac:dyDescent="0.25">
      <c r="A127" s="6">
        <v>3</v>
      </c>
      <c r="B127" s="8" t="s">
        <v>234</v>
      </c>
      <c r="C127" s="13">
        <v>46148</v>
      </c>
      <c r="D127" s="8"/>
      <c r="E127" s="21"/>
      <c r="F127" s="21"/>
      <c r="G127" s="21"/>
      <c r="H127" s="21"/>
      <c r="I127" s="21"/>
      <c r="J127" s="21"/>
      <c r="K127" s="21"/>
      <c r="L127" s="44"/>
      <c r="M127" s="44"/>
      <c r="N127" s="21"/>
      <c r="O127" s="21"/>
      <c r="P127" s="21"/>
      <c r="Q127" s="21"/>
      <c r="R127" s="21"/>
      <c r="S127" s="21"/>
      <c r="T127" s="21"/>
      <c r="U127" s="21"/>
      <c r="V127" s="21"/>
      <c r="W127" s="22"/>
    </row>
    <row r="128" spans="1:23" ht="15.75" x14ac:dyDescent="0.25">
      <c r="A128" s="5">
        <v>4</v>
      </c>
      <c r="B128" s="8"/>
      <c r="C128" s="8"/>
      <c r="D128" s="8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2"/>
    </row>
    <row r="129" spans="1:23" ht="15.75" x14ac:dyDescent="0.25">
      <c r="A129" s="5">
        <v>5</v>
      </c>
      <c r="B129" s="8"/>
      <c r="C129" s="8"/>
      <c r="D129" s="8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2"/>
    </row>
    <row r="130" spans="1:23" ht="16.5" thickBot="1" x14ac:dyDescent="0.3">
      <c r="A130" s="7">
        <v>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2" spans="1:23" ht="15.75" thickBot="1" x14ac:dyDescent="0.3"/>
    <row r="133" spans="1:23" ht="15.75" x14ac:dyDescent="0.25">
      <c r="A133" s="156" t="s">
        <v>260</v>
      </c>
      <c r="B133" s="157"/>
      <c r="C133" s="111" t="s">
        <v>302</v>
      </c>
      <c r="D133" s="112"/>
      <c r="E133" s="111" t="s">
        <v>410</v>
      </c>
      <c r="F133" s="112"/>
      <c r="G133" s="103" t="s">
        <v>4</v>
      </c>
      <c r="H133" s="157"/>
      <c r="I133" s="111" t="s">
        <v>135</v>
      </c>
      <c r="J133" s="158"/>
      <c r="K133" s="158"/>
      <c r="L133" s="158"/>
      <c r="M133" s="158"/>
      <c r="N133" s="112"/>
      <c r="O133" s="103" t="s">
        <v>6</v>
      </c>
      <c r="P133" s="157"/>
      <c r="Q133" s="166">
        <v>45810</v>
      </c>
      <c r="R133" s="167"/>
      <c r="S133" s="167"/>
      <c r="T133" s="167"/>
      <c r="U133" s="167"/>
      <c r="V133" s="167"/>
      <c r="W133" s="168"/>
    </row>
    <row r="134" spans="1:23" ht="15.75" x14ac:dyDescent="0.25">
      <c r="A134" s="144" t="s">
        <v>7</v>
      </c>
      <c r="B134" s="145"/>
      <c r="C134" s="135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7"/>
      <c r="O134" s="135"/>
      <c r="P134" s="137"/>
      <c r="Q134" s="149"/>
      <c r="R134" s="150"/>
      <c r="S134" s="150"/>
      <c r="T134" s="150"/>
      <c r="U134" s="150"/>
      <c r="V134" s="150"/>
      <c r="W134" s="151"/>
    </row>
    <row r="135" spans="1:23" x14ac:dyDescent="0.25">
      <c r="A135" s="152" t="s">
        <v>8</v>
      </c>
      <c r="B135" s="138" t="s">
        <v>9</v>
      </c>
      <c r="C135" s="138" t="s">
        <v>10</v>
      </c>
      <c r="D135" s="138" t="s">
        <v>11</v>
      </c>
      <c r="E135" s="138" t="s">
        <v>12</v>
      </c>
      <c r="F135" s="138" t="s">
        <v>13</v>
      </c>
      <c r="G135" s="140" t="s">
        <v>14</v>
      </c>
      <c r="H135" s="141"/>
      <c r="I135" s="141"/>
      <c r="J135" s="141"/>
      <c r="K135" s="141"/>
      <c r="L135" s="142"/>
      <c r="M135" s="138" t="s">
        <v>15</v>
      </c>
      <c r="N135" s="138" t="s">
        <v>16</v>
      </c>
      <c r="O135" s="138" t="s">
        <v>17</v>
      </c>
      <c r="P135" s="138" t="s">
        <v>18</v>
      </c>
      <c r="Q135" s="140" t="s">
        <v>19</v>
      </c>
      <c r="R135" s="141"/>
      <c r="S135" s="141"/>
      <c r="T135" s="141"/>
      <c r="U135" s="141"/>
      <c r="V135" s="142"/>
      <c r="W135" s="154" t="s">
        <v>20</v>
      </c>
    </row>
    <row r="136" spans="1:23" x14ac:dyDescent="0.25">
      <c r="A136" s="153"/>
      <c r="B136" s="139"/>
      <c r="C136" s="139"/>
      <c r="D136" s="139"/>
      <c r="E136" s="139"/>
      <c r="F136" s="139"/>
      <c r="G136" s="31" t="s">
        <v>21</v>
      </c>
      <c r="H136" s="31" t="s">
        <v>21</v>
      </c>
      <c r="I136" s="31" t="s">
        <v>21</v>
      </c>
      <c r="J136" s="31" t="s">
        <v>22</v>
      </c>
      <c r="K136" s="31" t="s">
        <v>22</v>
      </c>
      <c r="L136" s="32" t="s">
        <v>22</v>
      </c>
      <c r="M136" s="169"/>
      <c r="N136" s="139"/>
      <c r="O136" s="139"/>
      <c r="P136" s="139"/>
      <c r="Q136" s="31" t="s">
        <v>21</v>
      </c>
      <c r="R136" s="31" t="s">
        <v>21</v>
      </c>
      <c r="S136" s="31" t="s">
        <v>21</v>
      </c>
      <c r="T136" s="31" t="s">
        <v>22</v>
      </c>
      <c r="U136" s="31" t="s">
        <v>22</v>
      </c>
      <c r="V136" s="31" t="s">
        <v>22</v>
      </c>
      <c r="W136" s="155"/>
    </row>
    <row r="137" spans="1:23" ht="15.75" x14ac:dyDescent="0.25">
      <c r="A137" s="5">
        <v>1</v>
      </c>
      <c r="B137" s="21" t="s">
        <v>236</v>
      </c>
      <c r="C137" s="20">
        <v>45939</v>
      </c>
      <c r="D137" s="36" t="s">
        <v>428</v>
      </c>
      <c r="E137" s="21"/>
      <c r="F137" s="21"/>
      <c r="G137" s="21"/>
      <c r="H137" s="21"/>
      <c r="I137" s="21"/>
      <c r="J137" s="21"/>
      <c r="K137" s="24"/>
      <c r="L137" s="58"/>
      <c r="M137" s="63"/>
      <c r="O137" s="21"/>
      <c r="P137" s="21"/>
      <c r="Q137" s="21"/>
      <c r="R137" s="21"/>
      <c r="S137" s="21"/>
      <c r="T137" s="21"/>
      <c r="U137" s="21"/>
      <c r="V137" s="21"/>
      <c r="W137" s="22"/>
    </row>
    <row r="138" spans="1:23" ht="15.75" x14ac:dyDescent="0.25">
      <c r="A138" s="6">
        <v>2</v>
      </c>
      <c r="B138" s="21" t="s">
        <v>234</v>
      </c>
      <c r="C138" s="13">
        <v>46039</v>
      </c>
      <c r="D138" s="13">
        <v>46108</v>
      </c>
      <c r="E138" s="21">
        <v>2</v>
      </c>
      <c r="F138" s="21">
        <v>0</v>
      </c>
      <c r="G138" s="21">
        <v>120</v>
      </c>
      <c r="H138" s="21">
        <v>85</v>
      </c>
      <c r="I138" s="21"/>
      <c r="J138" s="21"/>
      <c r="K138" s="24"/>
      <c r="L138" s="58"/>
      <c r="M138" s="31">
        <f>AVERAGE(G138:L138)</f>
        <v>102.5</v>
      </c>
      <c r="N138" s="26">
        <v>46133</v>
      </c>
      <c r="O138" s="21">
        <v>2</v>
      </c>
      <c r="P138" s="21">
        <v>0</v>
      </c>
      <c r="Q138" s="21">
        <v>231</v>
      </c>
      <c r="R138" s="21">
        <v>225</v>
      </c>
      <c r="S138" s="21"/>
      <c r="T138" s="21"/>
      <c r="U138" s="21"/>
      <c r="V138" s="21"/>
      <c r="W138" s="22">
        <f>AVERAGE(Q138:V138)</f>
        <v>228</v>
      </c>
    </row>
    <row r="139" spans="1:23" ht="15.75" x14ac:dyDescent="0.25">
      <c r="A139" s="6">
        <v>3</v>
      </c>
      <c r="B139" s="8" t="s">
        <v>234</v>
      </c>
      <c r="C139" s="13">
        <v>46148</v>
      </c>
      <c r="D139" s="8"/>
      <c r="E139" s="21"/>
      <c r="F139" s="21"/>
      <c r="G139" s="21"/>
      <c r="H139" s="21"/>
      <c r="I139" s="21"/>
      <c r="J139" s="21"/>
      <c r="K139" s="21"/>
      <c r="L139" s="44"/>
      <c r="M139" s="44"/>
      <c r="N139" s="21"/>
      <c r="O139" s="21"/>
      <c r="P139" s="21"/>
      <c r="Q139" s="21"/>
      <c r="R139" s="21"/>
      <c r="S139" s="21"/>
      <c r="T139" s="21"/>
      <c r="U139" s="21"/>
      <c r="V139" s="21"/>
      <c r="W139" s="22"/>
    </row>
    <row r="140" spans="1:23" ht="15.75" x14ac:dyDescent="0.25">
      <c r="A140" s="5">
        <v>4</v>
      </c>
      <c r="B140" s="8"/>
      <c r="C140" s="8"/>
      <c r="D140" s="8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2"/>
    </row>
    <row r="141" spans="1:23" ht="15.75" x14ac:dyDescent="0.25">
      <c r="A141" s="5">
        <v>5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spans="1:23" ht="16.5" thickBot="1" x14ac:dyDescent="0.3">
      <c r="A142" s="7">
        <v>6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4" spans="1:23" ht="15.75" thickBot="1" x14ac:dyDescent="0.3"/>
    <row r="145" spans="1:23" ht="15.75" x14ac:dyDescent="0.25">
      <c r="A145" s="156" t="s">
        <v>260</v>
      </c>
      <c r="B145" s="157"/>
      <c r="C145" s="111" t="s">
        <v>303</v>
      </c>
      <c r="D145" s="112"/>
      <c r="E145" s="111" t="s">
        <v>410</v>
      </c>
      <c r="F145" s="112"/>
      <c r="G145" s="103" t="s">
        <v>4</v>
      </c>
      <c r="H145" s="157"/>
      <c r="I145" s="111" t="s">
        <v>135</v>
      </c>
      <c r="J145" s="158"/>
      <c r="K145" s="158"/>
      <c r="L145" s="158"/>
      <c r="M145" s="158"/>
      <c r="N145" s="112"/>
      <c r="O145" s="103" t="s">
        <v>6</v>
      </c>
      <c r="P145" s="157"/>
      <c r="Q145" s="166">
        <v>45810</v>
      </c>
      <c r="R145" s="167"/>
      <c r="S145" s="167"/>
      <c r="T145" s="167"/>
      <c r="U145" s="167"/>
      <c r="V145" s="167"/>
      <c r="W145" s="168"/>
    </row>
    <row r="146" spans="1:23" ht="15.75" x14ac:dyDescent="0.25">
      <c r="A146" s="144" t="s">
        <v>7</v>
      </c>
      <c r="B146" s="145"/>
      <c r="C146" s="135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7"/>
      <c r="O146" s="135"/>
      <c r="P146" s="137"/>
      <c r="Q146" s="149"/>
      <c r="R146" s="150"/>
      <c r="S146" s="150"/>
      <c r="T146" s="150"/>
      <c r="U146" s="150"/>
      <c r="V146" s="150"/>
      <c r="W146" s="151"/>
    </row>
    <row r="147" spans="1:23" x14ac:dyDescent="0.25">
      <c r="A147" s="152" t="s">
        <v>8</v>
      </c>
      <c r="B147" s="138" t="s">
        <v>9</v>
      </c>
      <c r="C147" s="138" t="s">
        <v>10</v>
      </c>
      <c r="D147" s="138" t="s">
        <v>11</v>
      </c>
      <c r="E147" s="138" t="s">
        <v>12</v>
      </c>
      <c r="F147" s="138" t="s">
        <v>13</v>
      </c>
      <c r="G147" s="140" t="s">
        <v>14</v>
      </c>
      <c r="H147" s="141"/>
      <c r="I147" s="141"/>
      <c r="J147" s="141"/>
      <c r="K147" s="141"/>
      <c r="L147" s="142"/>
      <c r="M147" s="138" t="s">
        <v>15</v>
      </c>
      <c r="N147" s="138" t="s">
        <v>16</v>
      </c>
      <c r="O147" s="138" t="s">
        <v>17</v>
      </c>
      <c r="P147" s="138" t="s">
        <v>18</v>
      </c>
      <c r="Q147" s="140" t="s">
        <v>19</v>
      </c>
      <c r="R147" s="141"/>
      <c r="S147" s="141"/>
      <c r="T147" s="141"/>
      <c r="U147" s="141"/>
      <c r="V147" s="142"/>
      <c r="W147" s="154" t="s">
        <v>20</v>
      </c>
    </row>
    <row r="148" spans="1:23" x14ac:dyDescent="0.25">
      <c r="A148" s="153"/>
      <c r="B148" s="139"/>
      <c r="C148" s="139"/>
      <c r="D148" s="139"/>
      <c r="E148" s="139"/>
      <c r="F148" s="139"/>
      <c r="G148" s="31" t="s">
        <v>21</v>
      </c>
      <c r="H148" s="31" t="s">
        <v>21</v>
      </c>
      <c r="I148" s="31" t="s">
        <v>21</v>
      </c>
      <c r="J148" s="31" t="s">
        <v>22</v>
      </c>
      <c r="K148" s="31" t="s">
        <v>22</v>
      </c>
      <c r="L148" s="32" t="s">
        <v>22</v>
      </c>
      <c r="M148" s="169"/>
      <c r="N148" s="139"/>
      <c r="O148" s="139"/>
      <c r="P148" s="139"/>
      <c r="Q148" s="31" t="s">
        <v>21</v>
      </c>
      <c r="R148" s="31" t="s">
        <v>21</v>
      </c>
      <c r="S148" s="31" t="s">
        <v>21</v>
      </c>
      <c r="T148" s="31" t="s">
        <v>22</v>
      </c>
      <c r="U148" s="31" t="s">
        <v>22</v>
      </c>
      <c r="V148" s="31" t="s">
        <v>22</v>
      </c>
      <c r="W148" s="155"/>
    </row>
    <row r="149" spans="1:23" ht="15.75" x14ac:dyDescent="0.25">
      <c r="A149" s="5">
        <v>1</v>
      </c>
      <c r="B149" s="21" t="s">
        <v>236</v>
      </c>
      <c r="C149" s="20">
        <v>45939</v>
      </c>
      <c r="D149" s="36" t="s">
        <v>283</v>
      </c>
      <c r="E149" s="21"/>
      <c r="F149" s="21"/>
      <c r="G149" s="21"/>
      <c r="H149" s="21"/>
      <c r="I149" s="21"/>
      <c r="J149" s="21"/>
      <c r="K149" s="24"/>
      <c r="L149" s="58"/>
      <c r="M149" s="63"/>
      <c r="O149" s="21"/>
      <c r="P149" s="21"/>
      <c r="Q149" s="21"/>
      <c r="R149" s="21"/>
      <c r="S149" s="21"/>
      <c r="T149" s="21"/>
      <c r="U149" s="21"/>
      <c r="V149" s="21"/>
      <c r="W149" s="22"/>
    </row>
    <row r="150" spans="1:23" ht="15.75" x14ac:dyDescent="0.25">
      <c r="A150" s="6">
        <v>2</v>
      </c>
      <c r="B150" s="21" t="s">
        <v>234</v>
      </c>
      <c r="C150" s="13">
        <v>46039</v>
      </c>
      <c r="D150" s="13">
        <v>46125</v>
      </c>
      <c r="E150" s="21">
        <v>3</v>
      </c>
      <c r="F150" s="21">
        <v>0</v>
      </c>
      <c r="G150" s="21">
        <v>122</v>
      </c>
      <c r="H150" s="21">
        <v>120</v>
      </c>
      <c r="I150" s="21">
        <v>119</v>
      </c>
      <c r="J150" s="21"/>
      <c r="K150" s="24"/>
      <c r="L150" s="58"/>
      <c r="M150" s="90">
        <f>AVERAGE(G150:L150)</f>
        <v>120.33333333333333</v>
      </c>
      <c r="N150" s="26">
        <v>46139</v>
      </c>
      <c r="O150" s="21">
        <v>3</v>
      </c>
      <c r="P150" s="21">
        <v>0</v>
      </c>
      <c r="Q150" s="21">
        <v>224</v>
      </c>
      <c r="R150" s="21">
        <v>207</v>
      </c>
      <c r="S150" s="21">
        <v>216</v>
      </c>
      <c r="T150" s="21"/>
      <c r="U150" s="21"/>
      <c r="V150" s="21"/>
      <c r="W150" s="68">
        <f>AVERAGE(Q150:V150)</f>
        <v>215.66666666666666</v>
      </c>
    </row>
    <row r="151" spans="1:23" ht="15.75" x14ac:dyDescent="0.25">
      <c r="A151" s="6">
        <v>3</v>
      </c>
      <c r="B151" s="8" t="s">
        <v>234</v>
      </c>
      <c r="C151" s="13">
        <v>46148</v>
      </c>
      <c r="D151" s="8"/>
      <c r="E151" s="21"/>
      <c r="F151" s="21"/>
      <c r="G151" s="21"/>
      <c r="H151" s="21"/>
      <c r="I151" s="21"/>
      <c r="J151" s="21"/>
      <c r="K151" s="21"/>
      <c r="L151" s="44"/>
      <c r="M151" s="44"/>
      <c r="N151" s="21"/>
      <c r="O151" s="21"/>
      <c r="P151" s="21"/>
      <c r="Q151" s="21"/>
      <c r="R151" s="21"/>
      <c r="S151" s="21"/>
      <c r="T151" s="21"/>
      <c r="U151" s="21"/>
      <c r="V151" s="21"/>
      <c r="W151" s="22"/>
    </row>
    <row r="152" spans="1:23" ht="15.75" x14ac:dyDescent="0.25">
      <c r="A152" s="5">
        <v>4</v>
      </c>
      <c r="B152" s="8"/>
      <c r="C152" s="8"/>
      <c r="D152" s="8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2"/>
    </row>
    <row r="153" spans="1:23" ht="15.75" x14ac:dyDescent="0.25">
      <c r="A153" s="5">
        <v>5</v>
      </c>
      <c r="B153" s="8"/>
      <c r="C153" s="8"/>
      <c r="D153" s="8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2"/>
    </row>
    <row r="154" spans="1:23" ht="16.5" thickBot="1" x14ac:dyDescent="0.3">
      <c r="A154" s="7">
        <v>6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6" spans="1:23" ht="15.75" thickBot="1" x14ac:dyDescent="0.3"/>
    <row r="157" spans="1:23" ht="15.75" x14ac:dyDescent="0.25">
      <c r="A157" s="156" t="s">
        <v>260</v>
      </c>
      <c r="B157" s="157"/>
      <c r="C157" s="109" t="s">
        <v>304</v>
      </c>
      <c r="D157" s="109"/>
      <c r="E157" s="158" t="s">
        <v>414</v>
      </c>
      <c r="F157" s="112"/>
      <c r="G157" s="103" t="s">
        <v>4</v>
      </c>
      <c r="H157" s="157"/>
      <c r="I157" s="111" t="s">
        <v>135</v>
      </c>
      <c r="J157" s="158"/>
      <c r="K157" s="158"/>
      <c r="L157" s="158"/>
      <c r="M157" s="158"/>
      <c r="N157" s="112"/>
      <c r="O157" s="103" t="s">
        <v>6</v>
      </c>
      <c r="P157" s="157"/>
      <c r="Q157" s="166">
        <v>45810</v>
      </c>
      <c r="R157" s="167"/>
      <c r="S157" s="167"/>
      <c r="T157" s="167"/>
      <c r="U157" s="167"/>
      <c r="V157" s="167"/>
      <c r="W157" s="168"/>
    </row>
    <row r="158" spans="1:23" ht="15.75" x14ac:dyDescent="0.25">
      <c r="A158" s="144" t="s">
        <v>7</v>
      </c>
      <c r="B158" s="145"/>
      <c r="C158" s="135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7"/>
      <c r="O158" s="135"/>
      <c r="P158" s="137"/>
      <c r="Q158" s="149"/>
      <c r="R158" s="150"/>
      <c r="S158" s="150"/>
      <c r="T158" s="150"/>
      <c r="U158" s="150"/>
      <c r="V158" s="150"/>
      <c r="W158" s="151"/>
    </row>
    <row r="159" spans="1:23" x14ac:dyDescent="0.25">
      <c r="A159" s="152" t="s">
        <v>8</v>
      </c>
      <c r="B159" s="138" t="s">
        <v>9</v>
      </c>
      <c r="C159" s="138" t="s">
        <v>10</v>
      </c>
      <c r="D159" s="138" t="s">
        <v>11</v>
      </c>
      <c r="E159" s="138" t="s">
        <v>12</v>
      </c>
      <c r="F159" s="138" t="s">
        <v>13</v>
      </c>
      <c r="G159" s="140" t="s">
        <v>14</v>
      </c>
      <c r="H159" s="141"/>
      <c r="I159" s="141"/>
      <c r="J159" s="141"/>
      <c r="K159" s="141"/>
      <c r="L159" s="142"/>
      <c r="M159" s="138" t="s">
        <v>15</v>
      </c>
      <c r="N159" s="138" t="s">
        <v>16</v>
      </c>
      <c r="O159" s="138" t="s">
        <v>17</v>
      </c>
      <c r="P159" s="138" t="s">
        <v>18</v>
      </c>
      <c r="Q159" s="140" t="s">
        <v>19</v>
      </c>
      <c r="R159" s="141"/>
      <c r="S159" s="141"/>
      <c r="T159" s="141"/>
      <c r="U159" s="141"/>
      <c r="V159" s="142"/>
      <c r="W159" s="154" t="s">
        <v>20</v>
      </c>
    </row>
    <row r="160" spans="1:23" x14ac:dyDescent="0.25">
      <c r="A160" s="153"/>
      <c r="B160" s="139"/>
      <c r="C160" s="139"/>
      <c r="D160" s="139"/>
      <c r="E160" s="139"/>
      <c r="F160" s="139"/>
      <c r="G160" s="31" t="s">
        <v>21</v>
      </c>
      <c r="H160" s="31" t="s">
        <v>21</v>
      </c>
      <c r="I160" s="31" t="s">
        <v>21</v>
      </c>
      <c r="J160" s="31" t="s">
        <v>22</v>
      </c>
      <c r="K160" s="31" t="s">
        <v>22</v>
      </c>
      <c r="L160" s="32" t="s">
        <v>22</v>
      </c>
      <c r="M160" s="169"/>
      <c r="N160" s="139"/>
      <c r="O160" s="139"/>
      <c r="P160" s="139"/>
      <c r="Q160" s="31" t="s">
        <v>21</v>
      </c>
      <c r="R160" s="31" t="s">
        <v>21</v>
      </c>
      <c r="S160" s="31" t="s">
        <v>21</v>
      </c>
      <c r="T160" s="31" t="s">
        <v>22</v>
      </c>
      <c r="U160" s="31" t="s">
        <v>22</v>
      </c>
      <c r="V160" s="31" t="s">
        <v>22</v>
      </c>
      <c r="W160" s="155"/>
    </row>
    <row r="161" spans="1:23" ht="15.75" x14ac:dyDescent="0.25">
      <c r="A161" s="5">
        <v>1</v>
      </c>
      <c r="B161" s="21" t="s">
        <v>234</v>
      </c>
      <c r="C161" s="20">
        <v>45917</v>
      </c>
      <c r="D161" s="36">
        <v>46002</v>
      </c>
      <c r="E161" s="21">
        <v>2</v>
      </c>
      <c r="F161" s="21">
        <v>0</v>
      </c>
      <c r="G161" s="21"/>
      <c r="H161" s="21"/>
      <c r="I161" s="21"/>
      <c r="J161" s="21">
        <v>137</v>
      </c>
      <c r="K161" s="24">
        <v>151</v>
      </c>
      <c r="L161" s="58"/>
      <c r="M161" s="31">
        <f>AVERAGE(G161:L161)</f>
        <v>144</v>
      </c>
      <c r="N161" s="70">
        <v>46028</v>
      </c>
      <c r="O161" s="21">
        <v>2</v>
      </c>
      <c r="P161" s="21">
        <v>0</v>
      </c>
      <c r="Q161" s="21"/>
      <c r="R161" s="21"/>
      <c r="S161" s="21"/>
      <c r="T161" s="21">
        <v>217</v>
      </c>
      <c r="U161" s="21">
        <v>229</v>
      </c>
      <c r="V161" s="21"/>
      <c r="W161" s="22">
        <f>AVERAGE(Q161:V161)</f>
        <v>223</v>
      </c>
    </row>
    <row r="162" spans="1:23" ht="15.75" x14ac:dyDescent="0.25">
      <c r="A162" s="6">
        <v>2</v>
      </c>
      <c r="B162" s="21" t="s">
        <v>236</v>
      </c>
      <c r="C162" s="13">
        <v>46039</v>
      </c>
      <c r="D162" s="8" t="s">
        <v>428</v>
      </c>
      <c r="E162" s="8"/>
      <c r="F162" s="8"/>
      <c r="G162" s="8"/>
      <c r="H162" s="8"/>
      <c r="I162" s="8"/>
      <c r="J162" s="8"/>
      <c r="K162" s="25"/>
      <c r="L162" s="71"/>
      <c r="M162" s="63"/>
      <c r="N162" s="26"/>
      <c r="O162" s="8"/>
      <c r="P162" s="8"/>
      <c r="Q162" s="8"/>
      <c r="R162" s="8"/>
      <c r="S162" s="8"/>
      <c r="T162" s="8"/>
      <c r="U162" s="8"/>
      <c r="V162" s="8"/>
      <c r="W162" s="9"/>
    </row>
    <row r="163" spans="1:23" ht="15.75" x14ac:dyDescent="0.25">
      <c r="A163" s="6">
        <v>3</v>
      </c>
      <c r="B163" s="8" t="s">
        <v>236</v>
      </c>
      <c r="C163" s="13">
        <v>46148</v>
      </c>
      <c r="D163" s="8"/>
      <c r="E163" s="8"/>
      <c r="F163" s="8"/>
      <c r="G163" s="8"/>
      <c r="H163" s="8"/>
      <c r="I163" s="8"/>
      <c r="J163" s="8"/>
      <c r="K163" s="8"/>
      <c r="L163" s="27"/>
      <c r="M163" s="27"/>
      <c r="N163" s="8"/>
      <c r="O163" s="8"/>
      <c r="P163" s="8"/>
      <c r="Q163" s="8"/>
      <c r="R163" s="8"/>
      <c r="S163" s="8"/>
      <c r="T163" s="8"/>
      <c r="U163" s="8"/>
      <c r="V163" s="8"/>
      <c r="W163" s="9"/>
    </row>
    <row r="164" spans="1:23" ht="15.75" x14ac:dyDescent="0.25">
      <c r="A164" s="5">
        <v>4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</row>
    <row r="165" spans="1:23" ht="15.75" x14ac:dyDescent="0.25">
      <c r="A165" s="5">
        <v>5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 t="s">
        <v>356</v>
      </c>
      <c r="O165" s="8"/>
      <c r="P165" s="8"/>
      <c r="Q165" s="8"/>
      <c r="R165" s="8"/>
      <c r="S165" s="8"/>
      <c r="T165" s="8"/>
      <c r="U165" s="8"/>
      <c r="V165" s="8"/>
      <c r="W165" s="9"/>
    </row>
    <row r="166" spans="1:23" ht="16.5" thickBot="1" x14ac:dyDescent="0.3">
      <c r="A166" s="7">
        <v>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8" spans="1:23" ht="15.75" thickBot="1" x14ac:dyDescent="0.3"/>
    <row r="169" spans="1:23" ht="15.75" x14ac:dyDescent="0.25">
      <c r="A169" s="156" t="s">
        <v>260</v>
      </c>
      <c r="B169" s="157"/>
      <c r="C169" s="111" t="s">
        <v>305</v>
      </c>
      <c r="D169" s="158"/>
      <c r="E169" s="109" t="s">
        <v>389</v>
      </c>
      <c r="F169" s="109"/>
      <c r="G169" s="103" t="s">
        <v>4</v>
      </c>
      <c r="H169" s="157"/>
      <c r="I169" s="111" t="s">
        <v>135</v>
      </c>
      <c r="J169" s="158"/>
      <c r="K169" s="158"/>
      <c r="L169" s="158"/>
      <c r="M169" s="158"/>
      <c r="N169" s="112"/>
      <c r="O169" s="103" t="s">
        <v>6</v>
      </c>
      <c r="P169" s="157"/>
      <c r="Q169" s="166">
        <v>45810</v>
      </c>
      <c r="R169" s="167"/>
      <c r="S169" s="167"/>
      <c r="T169" s="167"/>
      <c r="U169" s="167"/>
      <c r="V169" s="167"/>
      <c r="W169" s="168"/>
    </row>
    <row r="170" spans="1:23" ht="15.75" x14ac:dyDescent="0.25">
      <c r="A170" s="144" t="s">
        <v>7</v>
      </c>
      <c r="B170" s="145"/>
      <c r="C170" s="135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7"/>
      <c r="O170" s="135"/>
      <c r="P170" s="137"/>
      <c r="Q170" s="149"/>
      <c r="R170" s="150"/>
      <c r="S170" s="150"/>
      <c r="T170" s="150"/>
      <c r="U170" s="150"/>
      <c r="V170" s="150"/>
      <c r="W170" s="151"/>
    </row>
    <row r="171" spans="1:23" x14ac:dyDescent="0.25">
      <c r="A171" s="152" t="s">
        <v>8</v>
      </c>
      <c r="B171" s="138" t="s">
        <v>9</v>
      </c>
      <c r="C171" s="138" t="s">
        <v>10</v>
      </c>
      <c r="D171" s="138" t="s">
        <v>11</v>
      </c>
      <c r="E171" s="138" t="s">
        <v>12</v>
      </c>
      <c r="F171" s="138" t="s">
        <v>13</v>
      </c>
      <c r="G171" s="140" t="s">
        <v>14</v>
      </c>
      <c r="H171" s="141"/>
      <c r="I171" s="141"/>
      <c r="J171" s="141"/>
      <c r="K171" s="141"/>
      <c r="L171" s="142"/>
      <c r="M171" s="138" t="s">
        <v>15</v>
      </c>
      <c r="N171" s="138" t="s">
        <v>16</v>
      </c>
      <c r="O171" s="138" t="s">
        <v>17</v>
      </c>
      <c r="P171" s="138" t="s">
        <v>18</v>
      </c>
      <c r="Q171" s="140" t="s">
        <v>19</v>
      </c>
      <c r="R171" s="141"/>
      <c r="S171" s="141"/>
      <c r="T171" s="141"/>
      <c r="U171" s="141"/>
      <c r="V171" s="142"/>
      <c r="W171" s="154" t="s">
        <v>20</v>
      </c>
    </row>
    <row r="172" spans="1:23" x14ac:dyDescent="0.25">
      <c r="A172" s="153"/>
      <c r="B172" s="139"/>
      <c r="C172" s="139"/>
      <c r="D172" s="139"/>
      <c r="E172" s="139"/>
      <c r="F172" s="139"/>
      <c r="G172" s="31" t="s">
        <v>21</v>
      </c>
      <c r="H172" s="31" t="s">
        <v>21</v>
      </c>
      <c r="I172" s="31" t="s">
        <v>21</v>
      </c>
      <c r="J172" s="31" t="s">
        <v>22</v>
      </c>
      <c r="K172" s="31" t="s">
        <v>22</v>
      </c>
      <c r="L172" s="32" t="s">
        <v>22</v>
      </c>
      <c r="M172" s="169"/>
      <c r="N172" s="139"/>
      <c r="O172" s="139"/>
      <c r="P172" s="139"/>
      <c r="Q172" s="31" t="s">
        <v>21</v>
      </c>
      <c r="R172" s="31" t="s">
        <v>21</v>
      </c>
      <c r="S172" s="31" t="s">
        <v>21</v>
      </c>
      <c r="T172" s="31" t="s">
        <v>22</v>
      </c>
      <c r="U172" s="31" t="s">
        <v>22</v>
      </c>
      <c r="V172" s="31" t="s">
        <v>22</v>
      </c>
      <c r="W172" s="155"/>
    </row>
    <row r="173" spans="1:23" ht="15.75" x14ac:dyDescent="0.25">
      <c r="A173" s="5">
        <v>1</v>
      </c>
      <c r="B173" s="21" t="s">
        <v>234</v>
      </c>
      <c r="C173" s="20">
        <v>45917</v>
      </c>
      <c r="D173" s="36">
        <v>45993</v>
      </c>
      <c r="E173" s="21">
        <v>3</v>
      </c>
      <c r="F173" s="21">
        <v>0</v>
      </c>
      <c r="G173" s="21">
        <v>130</v>
      </c>
      <c r="H173" s="21"/>
      <c r="I173" s="21"/>
      <c r="J173" s="21">
        <v>136</v>
      </c>
      <c r="K173" s="24">
        <v>126</v>
      </c>
      <c r="L173" s="58"/>
      <c r="M173" s="74">
        <f>AVERAGE(G173:L173)</f>
        <v>130.66666666666666</v>
      </c>
      <c r="N173" s="70">
        <v>46028</v>
      </c>
      <c r="O173" s="21">
        <v>3</v>
      </c>
      <c r="P173" s="21">
        <v>0</v>
      </c>
      <c r="Q173" s="21">
        <v>293</v>
      </c>
      <c r="R173" s="21"/>
      <c r="S173" s="21"/>
      <c r="T173" s="21">
        <v>245</v>
      </c>
      <c r="U173" s="21">
        <v>234</v>
      </c>
      <c r="V173" s="21"/>
      <c r="W173" s="40">
        <f>AVERAGE(Q173:V173)</f>
        <v>257.33333333333331</v>
      </c>
    </row>
    <row r="174" spans="1:23" ht="15.75" x14ac:dyDescent="0.25">
      <c r="A174" s="6">
        <v>2</v>
      </c>
      <c r="B174" s="21" t="s">
        <v>295</v>
      </c>
      <c r="C174" s="13">
        <v>46039</v>
      </c>
      <c r="D174" s="8" t="s">
        <v>428</v>
      </c>
      <c r="E174" s="8"/>
      <c r="F174" s="8"/>
      <c r="G174" s="8"/>
      <c r="H174" s="8"/>
      <c r="I174" s="8"/>
      <c r="J174" s="8"/>
      <c r="K174" s="25"/>
      <c r="L174" s="71"/>
      <c r="M174" s="63"/>
      <c r="N174" s="26"/>
      <c r="O174" s="8"/>
      <c r="P174" s="8"/>
      <c r="Q174" s="8"/>
      <c r="R174" s="8"/>
      <c r="S174" s="8"/>
      <c r="T174" s="8"/>
      <c r="U174" s="8"/>
      <c r="V174" s="8"/>
      <c r="W174" s="9"/>
    </row>
    <row r="175" spans="1:23" ht="15.75" x14ac:dyDescent="0.25">
      <c r="A175" s="6">
        <v>3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27"/>
      <c r="M175" s="27"/>
      <c r="N175" s="8"/>
      <c r="O175" s="8"/>
      <c r="P175" s="8"/>
      <c r="Q175" s="8"/>
      <c r="R175" s="8"/>
      <c r="S175" s="8"/>
      <c r="T175" s="8"/>
      <c r="U175" s="8"/>
      <c r="V175" s="8"/>
      <c r="W175" s="9"/>
    </row>
    <row r="176" spans="1:23" ht="15.75" x14ac:dyDescent="0.25">
      <c r="A176" s="5">
        <v>4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</row>
    <row r="177" spans="1:23" ht="15.75" x14ac:dyDescent="0.25">
      <c r="A177" s="5">
        <v>5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</row>
    <row r="178" spans="1:23" ht="16.5" thickBot="1" x14ac:dyDescent="0.3">
      <c r="A178" s="7">
        <v>6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80" spans="1:23" ht="15.75" thickBot="1" x14ac:dyDescent="0.3"/>
    <row r="181" spans="1:23" ht="15.75" x14ac:dyDescent="0.25">
      <c r="A181" s="156" t="s">
        <v>260</v>
      </c>
      <c r="B181" s="157"/>
      <c r="C181" s="111" t="s">
        <v>306</v>
      </c>
      <c r="D181" s="158"/>
      <c r="E181" s="109" t="s">
        <v>410</v>
      </c>
      <c r="F181" s="109"/>
      <c r="G181" s="103" t="s">
        <v>4</v>
      </c>
      <c r="H181" s="157"/>
      <c r="I181" s="111" t="s">
        <v>135</v>
      </c>
      <c r="J181" s="158"/>
      <c r="K181" s="158"/>
      <c r="L181" s="158"/>
      <c r="M181" s="158"/>
      <c r="N181" s="112"/>
      <c r="O181" s="103" t="s">
        <v>6</v>
      </c>
      <c r="P181" s="157"/>
      <c r="Q181" s="166">
        <v>45810</v>
      </c>
      <c r="R181" s="167"/>
      <c r="S181" s="167"/>
      <c r="T181" s="167"/>
      <c r="U181" s="167"/>
      <c r="V181" s="167"/>
      <c r="W181" s="168"/>
    </row>
    <row r="182" spans="1:23" ht="15.75" x14ac:dyDescent="0.25">
      <c r="A182" s="144" t="s">
        <v>7</v>
      </c>
      <c r="B182" s="145"/>
      <c r="C182" s="135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7"/>
      <c r="O182" s="135"/>
      <c r="P182" s="137"/>
      <c r="Q182" s="149"/>
      <c r="R182" s="150"/>
      <c r="S182" s="150"/>
      <c r="T182" s="150"/>
      <c r="U182" s="150"/>
      <c r="V182" s="150"/>
      <c r="W182" s="151"/>
    </row>
    <row r="183" spans="1:23" x14ac:dyDescent="0.25">
      <c r="A183" s="152" t="s">
        <v>8</v>
      </c>
      <c r="B183" s="138" t="s">
        <v>9</v>
      </c>
      <c r="C183" s="138" t="s">
        <v>10</v>
      </c>
      <c r="D183" s="138" t="s">
        <v>11</v>
      </c>
      <c r="E183" s="138" t="s">
        <v>12</v>
      </c>
      <c r="F183" s="138" t="s">
        <v>13</v>
      </c>
      <c r="G183" s="140" t="s">
        <v>14</v>
      </c>
      <c r="H183" s="141"/>
      <c r="I183" s="141"/>
      <c r="J183" s="141"/>
      <c r="K183" s="141"/>
      <c r="L183" s="142"/>
      <c r="M183" s="138" t="s">
        <v>15</v>
      </c>
      <c r="N183" s="138" t="s">
        <v>16</v>
      </c>
      <c r="O183" s="138" t="s">
        <v>17</v>
      </c>
      <c r="P183" s="138" t="s">
        <v>18</v>
      </c>
      <c r="Q183" s="140" t="s">
        <v>19</v>
      </c>
      <c r="R183" s="141"/>
      <c r="S183" s="141"/>
      <c r="T183" s="141"/>
      <c r="U183" s="141"/>
      <c r="V183" s="142"/>
      <c r="W183" s="154" t="s">
        <v>20</v>
      </c>
    </row>
    <row r="184" spans="1:23" x14ac:dyDescent="0.25">
      <c r="A184" s="153"/>
      <c r="B184" s="139"/>
      <c r="C184" s="139"/>
      <c r="D184" s="139"/>
      <c r="E184" s="139"/>
      <c r="F184" s="139"/>
      <c r="G184" s="31" t="s">
        <v>21</v>
      </c>
      <c r="H184" s="31" t="s">
        <v>21</v>
      </c>
      <c r="I184" s="31" t="s">
        <v>21</v>
      </c>
      <c r="J184" s="31" t="s">
        <v>22</v>
      </c>
      <c r="K184" s="31" t="s">
        <v>22</v>
      </c>
      <c r="L184" s="32" t="s">
        <v>22</v>
      </c>
      <c r="M184" s="169"/>
      <c r="N184" s="139"/>
      <c r="O184" s="139"/>
      <c r="P184" s="139"/>
      <c r="Q184" s="31" t="s">
        <v>21</v>
      </c>
      <c r="R184" s="31" t="s">
        <v>21</v>
      </c>
      <c r="S184" s="31" t="s">
        <v>21</v>
      </c>
      <c r="T184" s="31" t="s">
        <v>22</v>
      </c>
      <c r="U184" s="31" t="s">
        <v>22</v>
      </c>
      <c r="V184" s="31" t="s">
        <v>22</v>
      </c>
      <c r="W184" s="155"/>
    </row>
    <row r="185" spans="1:23" ht="15.75" x14ac:dyDescent="0.25">
      <c r="A185" s="5">
        <v>1</v>
      </c>
      <c r="B185" s="21" t="s">
        <v>234</v>
      </c>
      <c r="C185" s="20">
        <v>45917</v>
      </c>
      <c r="D185" s="36">
        <v>45999</v>
      </c>
      <c r="E185" s="21">
        <v>2</v>
      </c>
      <c r="F185" s="21">
        <v>0</v>
      </c>
      <c r="G185" s="21">
        <v>131</v>
      </c>
      <c r="H185" s="21"/>
      <c r="I185" s="21"/>
      <c r="J185" s="21">
        <v>87</v>
      </c>
      <c r="K185" s="24"/>
      <c r="L185" s="58"/>
      <c r="M185" s="31">
        <f>AVERAGE(G185:L185)</f>
        <v>109</v>
      </c>
      <c r="N185" s="70">
        <v>46028</v>
      </c>
      <c r="O185" s="21">
        <v>1</v>
      </c>
      <c r="P185" s="21">
        <v>1</v>
      </c>
      <c r="Q185" s="21">
        <v>372</v>
      </c>
      <c r="R185" s="21"/>
      <c r="S185" s="21"/>
      <c r="T185" s="21"/>
      <c r="U185" s="21"/>
      <c r="V185" s="21"/>
      <c r="W185" s="22">
        <v>372</v>
      </c>
    </row>
    <row r="186" spans="1:23" ht="15.75" x14ac:dyDescent="0.25">
      <c r="A186" s="6">
        <v>2</v>
      </c>
      <c r="B186" s="21" t="s">
        <v>234</v>
      </c>
      <c r="C186" s="13">
        <v>46039</v>
      </c>
      <c r="D186" s="8" t="s">
        <v>428</v>
      </c>
      <c r="E186" s="8"/>
      <c r="F186" s="8"/>
      <c r="G186" s="8"/>
      <c r="H186" s="8"/>
      <c r="I186" s="8"/>
      <c r="J186" s="8"/>
      <c r="K186" s="25"/>
      <c r="L186" s="71"/>
      <c r="M186" s="63"/>
      <c r="N186" s="26"/>
      <c r="O186" s="8"/>
      <c r="P186" s="8"/>
      <c r="Q186" s="8"/>
      <c r="R186" s="8"/>
      <c r="S186" s="8"/>
      <c r="T186" s="8"/>
      <c r="U186" s="8"/>
      <c r="V186" s="8"/>
      <c r="W186" s="9"/>
    </row>
    <row r="187" spans="1:23" ht="15.75" x14ac:dyDescent="0.25">
      <c r="A187" s="6">
        <v>3</v>
      </c>
      <c r="B187" s="8" t="s">
        <v>234</v>
      </c>
      <c r="C187" s="13">
        <v>46148</v>
      </c>
      <c r="D187" s="8"/>
      <c r="E187" s="8"/>
      <c r="F187" s="8"/>
      <c r="G187" s="8"/>
      <c r="H187" s="8"/>
      <c r="I187" s="8"/>
      <c r="J187" s="8"/>
      <c r="K187" s="8"/>
      <c r="L187" s="27"/>
      <c r="M187" s="27"/>
      <c r="N187" s="8"/>
      <c r="O187" s="8"/>
      <c r="P187" s="8"/>
      <c r="Q187" s="8"/>
      <c r="R187" s="8"/>
      <c r="S187" s="8"/>
      <c r="T187" s="8"/>
      <c r="U187" s="8"/>
      <c r="V187" s="8"/>
      <c r="W187" s="9"/>
    </row>
    <row r="188" spans="1:23" ht="15.75" x14ac:dyDescent="0.25">
      <c r="A188" s="5">
        <v>4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</row>
    <row r="189" spans="1:23" ht="15.75" x14ac:dyDescent="0.25">
      <c r="A189" s="5">
        <v>5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</row>
    <row r="190" spans="1:23" ht="16.5" thickBot="1" x14ac:dyDescent="0.3">
      <c r="A190" s="7">
        <v>6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2" spans="1:23" ht="15.75" thickBot="1" x14ac:dyDescent="0.3">
      <c r="Q192" s="173"/>
      <c r="R192" s="174"/>
      <c r="S192" s="174"/>
      <c r="T192" s="174"/>
      <c r="U192" s="174"/>
      <c r="V192" s="174"/>
      <c r="W192" s="174"/>
    </row>
    <row r="193" spans="1:23" ht="15.75" x14ac:dyDescent="0.25">
      <c r="A193" s="156" t="s">
        <v>260</v>
      </c>
      <c r="B193" s="157"/>
      <c r="C193" s="204" t="s">
        <v>307</v>
      </c>
      <c r="D193" s="204"/>
      <c r="E193" s="158" t="s">
        <v>415</v>
      </c>
      <c r="F193" s="112"/>
      <c r="G193" s="103" t="s">
        <v>4</v>
      </c>
      <c r="H193" s="157"/>
      <c r="I193" s="111" t="s">
        <v>139</v>
      </c>
      <c r="J193" s="158"/>
      <c r="K193" s="158"/>
      <c r="L193" s="158"/>
      <c r="M193" s="158"/>
      <c r="N193" s="112"/>
      <c r="O193" s="103" t="s">
        <v>6</v>
      </c>
      <c r="P193" s="157"/>
      <c r="Q193" s="175">
        <v>45821</v>
      </c>
      <c r="R193" s="176"/>
      <c r="S193" s="176"/>
      <c r="T193" s="176"/>
      <c r="U193" s="176"/>
      <c r="V193" s="176"/>
      <c r="W193" s="176"/>
    </row>
    <row r="194" spans="1:23" ht="15.75" x14ac:dyDescent="0.25">
      <c r="A194" s="144" t="s">
        <v>7</v>
      </c>
      <c r="B194" s="145"/>
      <c r="C194" s="135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7"/>
      <c r="O194" s="135"/>
      <c r="P194" s="137"/>
      <c r="Q194" s="149"/>
      <c r="R194" s="150"/>
      <c r="S194" s="150"/>
      <c r="T194" s="150"/>
      <c r="U194" s="150"/>
      <c r="V194" s="150"/>
      <c r="W194" s="151"/>
    </row>
    <row r="195" spans="1:23" x14ac:dyDescent="0.25">
      <c r="A195" s="152" t="s">
        <v>8</v>
      </c>
      <c r="B195" s="138" t="s">
        <v>9</v>
      </c>
      <c r="C195" s="138" t="s">
        <v>10</v>
      </c>
      <c r="D195" s="138" t="s">
        <v>11</v>
      </c>
      <c r="E195" s="138" t="s">
        <v>12</v>
      </c>
      <c r="F195" s="138" t="s">
        <v>13</v>
      </c>
      <c r="G195" s="140" t="s">
        <v>14</v>
      </c>
      <c r="H195" s="141"/>
      <c r="I195" s="141"/>
      <c r="J195" s="141"/>
      <c r="K195" s="141"/>
      <c r="L195" s="142"/>
      <c r="M195" s="138" t="s">
        <v>15</v>
      </c>
      <c r="N195" s="138" t="s">
        <v>16</v>
      </c>
      <c r="O195" s="138" t="s">
        <v>17</v>
      </c>
      <c r="P195" s="138" t="s">
        <v>18</v>
      </c>
      <c r="Q195" s="140" t="s">
        <v>19</v>
      </c>
      <c r="R195" s="141"/>
      <c r="S195" s="141"/>
      <c r="T195" s="141"/>
      <c r="U195" s="141"/>
      <c r="V195" s="142"/>
      <c r="W195" s="154" t="s">
        <v>20</v>
      </c>
    </row>
    <row r="196" spans="1:23" x14ac:dyDescent="0.25">
      <c r="A196" s="153"/>
      <c r="B196" s="139"/>
      <c r="C196" s="139"/>
      <c r="D196" s="139"/>
      <c r="E196" s="139"/>
      <c r="F196" s="139"/>
      <c r="G196" s="31" t="s">
        <v>21</v>
      </c>
      <c r="H196" s="31" t="s">
        <v>21</v>
      </c>
      <c r="I196" s="31" t="s">
        <v>21</v>
      </c>
      <c r="J196" s="31" t="s">
        <v>22</v>
      </c>
      <c r="K196" s="31" t="s">
        <v>22</v>
      </c>
      <c r="L196" s="32" t="s">
        <v>22</v>
      </c>
      <c r="M196" s="169"/>
      <c r="N196" s="139"/>
      <c r="O196" s="139"/>
      <c r="P196" s="139"/>
      <c r="Q196" s="31" t="s">
        <v>21</v>
      </c>
      <c r="R196" s="31" t="s">
        <v>21</v>
      </c>
      <c r="S196" s="31" t="s">
        <v>21</v>
      </c>
      <c r="T196" s="31" t="s">
        <v>22</v>
      </c>
      <c r="U196" s="31" t="s">
        <v>22</v>
      </c>
      <c r="V196" s="31" t="s">
        <v>22</v>
      </c>
      <c r="W196" s="155"/>
    </row>
    <row r="197" spans="1:23" ht="15.75" x14ac:dyDescent="0.25">
      <c r="A197" s="5">
        <v>1</v>
      </c>
      <c r="B197" s="21" t="s">
        <v>181</v>
      </c>
      <c r="C197" s="20">
        <v>45939</v>
      </c>
      <c r="D197" s="36">
        <v>46016</v>
      </c>
      <c r="E197" s="21">
        <v>2</v>
      </c>
      <c r="F197" s="21">
        <v>0</v>
      </c>
      <c r="G197" s="21">
        <v>120</v>
      </c>
      <c r="H197" s="21"/>
      <c r="I197" s="21"/>
      <c r="J197" s="21">
        <v>139</v>
      </c>
      <c r="K197" s="24"/>
      <c r="L197" s="58"/>
      <c r="M197" s="63">
        <f>AVERAGE(G197:L197)</f>
        <v>129.5</v>
      </c>
      <c r="N197" s="70">
        <v>46039</v>
      </c>
      <c r="O197" s="21">
        <v>2</v>
      </c>
      <c r="P197" s="21">
        <v>0</v>
      </c>
      <c r="Q197" s="21">
        <v>182</v>
      </c>
      <c r="R197" s="21"/>
      <c r="S197" s="21"/>
      <c r="T197" s="21">
        <v>273</v>
      </c>
      <c r="U197" s="21"/>
      <c r="V197" s="21"/>
      <c r="W197" s="22">
        <f>AVERAGE(Q197:V197)</f>
        <v>227.5</v>
      </c>
    </row>
    <row r="198" spans="1:23" ht="15.75" x14ac:dyDescent="0.25">
      <c r="A198" s="6">
        <v>2</v>
      </c>
      <c r="B198" s="21" t="s">
        <v>181</v>
      </c>
      <c r="C198" s="13">
        <v>46039</v>
      </c>
      <c r="D198" s="13">
        <v>46111</v>
      </c>
      <c r="E198" s="21">
        <v>3</v>
      </c>
      <c r="F198" s="21">
        <v>0</v>
      </c>
      <c r="G198" s="21">
        <v>116</v>
      </c>
      <c r="H198" s="21">
        <v>124</v>
      </c>
      <c r="I198" s="21">
        <v>127</v>
      </c>
      <c r="J198" s="21"/>
      <c r="K198" s="24"/>
      <c r="L198" s="58"/>
      <c r="M198" s="74">
        <f>AVERAGE(G198:L198)</f>
        <v>122.33333333333333</v>
      </c>
      <c r="N198" s="26">
        <v>46133</v>
      </c>
      <c r="O198" s="21">
        <v>3</v>
      </c>
      <c r="P198" s="21">
        <v>0</v>
      </c>
      <c r="Q198" s="80">
        <v>310</v>
      </c>
      <c r="R198" s="80">
        <v>350</v>
      </c>
      <c r="S198" s="80">
        <v>250</v>
      </c>
      <c r="T198" s="80"/>
      <c r="U198" s="80"/>
      <c r="V198" s="80"/>
      <c r="W198" s="68">
        <f>AVERAGE(Q198:V198)</f>
        <v>303.33333333333331</v>
      </c>
    </row>
    <row r="199" spans="1:23" ht="15.75" x14ac:dyDescent="0.25">
      <c r="A199" s="6">
        <v>3</v>
      </c>
      <c r="B199" s="21" t="s">
        <v>181</v>
      </c>
      <c r="C199" s="20">
        <v>46148</v>
      </c>
      <c r="D199" s="21"/>
      <c r="E199" s="21"/>
      <c r="F199" s="21"/>
      <c r="G199" s="21"/>
      <c r="H199" s="21"/>
      <c r="I199" s="21"/>
      <c r="J199" s="21"/>
      <c r="K199" s="21"/>
      <c r="L199" s="44"/>
      <c r="M199" s="44"/>
      <c r="N199" s="21"/>
      <c r="O199" s="21"/>
      <c r="P199" s="21"/>
      <c r="Q199" s="21"/>
      <c r="R199" s="21"/>
      <c r="S199" s="21"/>
      <c r="T199" s="21"/>
      <c r="U199" s="21"/>
      <c r="V199" s="21"/>
      <c r="W199" s="22"/>
    </row>
    <row r="200" spans="1:23" ht="15.75" x14ac:dyDescent="0.25">
      <c r="A200" s="5">
        <v>4</v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2"/>
    </row>
    <row r="201" spans="1:23" ht="15.75" x14ac:dyDescent="0.25">
      <c r="A201" s="5">
        <v>5</v>
      </c>
      <c r="B201" s="21"/>
      <c r="C201" s="21"/>
      <c r="D201" s="21"/>
      <c r="E201" s="21"/>
      <c r="F201" s="21"/>
      <c r="G201" s="21"/>
      <c r="H201" s="21"/>
      <c r="I201" s="21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</row>
    <row r="202" spans="1:23" ht="16.5" thickBot="1" x14ac:dyDescent="0.3">
      <c r="A202" s="7">
        <v>6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4" spans="1:23" ht="15.75" thickBot="1" x14ac:dyDescent="0.3"/>
    <row r="205" spans="1:23" ht="15.75" x14ac:dyDescent="0.25">
      <c r="A205" s="156" t="s">
        <v>260</v>
      </c>
      <c r="B205" s="157"/>
      <c r="C205" s="202" t="s">
        <v>308</v>
      </c>
      <c r="D205" s="205"/>
      <c r="E205" s="158" t="s">
        <v>415</v>
      </c>
      <c r="F205" s="112"/>
      <c r="G205" s="103" t="s">
        <v>4</v>
      </c>
      <c r="H205" s="157"/>
      <c r="I205" s="111" t="s">
        <v>139</v>
      </c>
      <c r="J205" s="158"/>
      <c r="K205" s="158"/>
      <c r="L205" s="158"/>
      <c r="M205" s="158"/>
      <c r="N205" s="112"/>
      <c r="O205" s="103" t="s">
        <v>6</v>
      </c>
      <c r="P205" s="157"/>
      <c r="Q205" s="166">
        <v>45818</v>
      </c>
      <c r="R205" s="167"/>
      <c r="S205" s="167"/>
      <c r="T205" s="167"/>
      <c r="U205" s="167"/>
      <c r="V205" s="167"/>
      <c r="W205" s="168"/>
    </row>
    <row r="206" spans="1:23" ht="15.75" x14ac:dyDescent="0.25">
      <c r="A206" s="144" t="s">
        <v>7</v>
      </c>
      <c r="B206" s="145"/>
      <c r="C206" s="135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7"/>
      <c r="O206" s="135"/>
      <c r="P206" s="137"/>
      <c r="Q206" s="149"/>
      <c r="R206" s="150"/>
      <c r="S206" s="150"/>
      <c r="T206" s="150"/>
      <c r="U206" s="150"/>
      <c r="V206" s="150"/>
      <c r="W206" s="151"/>
    </row>
    <row r="207" spans="1:23" x14ac:dyDescent="0.25">
      <c r="A207" s="152" t="s">
        <v>8</v>
      </c>
      <c r="B207" s="138" t="s">
        <v>9</v>
      </c>
      <c r="C207" s="138" t="s">
        <v>10</v>
      </c>
      <c r="D207" s="138" t="s">
        <v>11</v>
      </c>
      <c r="E207" s="138" t="s">
        <v>12</v>
      </c>
      <c r="F207" s="138" t="s">
        <v>13</v>
      </c>
      <c r="G207" s="140" t="s">
        <v>14</v>
      </c>
      <c r="H207" s="141"/>
      <c r="I207" s="141"/>
      <c r="J207" s="141"/>
      <c r="K207" s="141"/>
      <c r="L207" s="142"/>
      <c r="M207" s="138" t="s">
        <v>15</v>
      </c>
      <c r="N207" s="138" t="s">
        <v>16</v>
      </c>
      <c r="O207" s="138" t="s">
        <v>17</v>
      </c>
      <c r="P207" s="138" t="s">
        <v>18</v>
      </c>
      <c r="Q207" s="140" t="s">
        <v>19</v>
      </c>
      <c r="R207" s="141"/>
      <c r="S207" s="141"/>
      <c r="T207" s="141"/>
      <c r="U207" s="141"/>
      <c r="V207" s="142"/>
      <c r="W207" s="154" t="s">
        <v>20</v>
      </c>
    </row>
    <row r="208" spans="1:23" x14ac:dyDescent="0.25">
      <c r="A208" s="153"/>
      <c r="B208" s="139"/>
      <c r="C208" s="139"/>
      <c r="D208" s="139"/>
      <c r="E208" s="139"/>
      <c r="F208" s="139"/>
      <c r="G208" s="31" t="s">
        <v>21</v>
      </c>
      <c r="H208" s="31" t="s">
        <v>21</v>
      </c>
      <c r="I208" s="31" t="s">
        <v>21</v>
      </c>
      <c r="J208" s="31" t="s">
        <v>22</v>
      </c>
      <c r="K208" s="31" t="s">
        <v>22</v>
      </c>
      <c r="L208" s="32" t="s">
        <v>22</v>
      </c>
      <c r="M208" s="169"/>
      <c r="N208" s="139"/>
      <c r="O208" s="139"/>
      <c r="P208" s="139"/>
      <c r="Q208" s="31" t="s">
        <v>21</v>
      </c>
      <c r="R208" s="31" t="s">
        <v>21</v>
      </c>
      <c r="S208" s="31" t="s">
        <v>21</v>
      </c>
      <c r="T208" s="31" t="s">
        <v>22</v>
      </c>
      <c r="U208" s="31" t="s">
        <v>22</v>
      </c>
      <c r="V208" s="31" t="s">
        <v>22</v>
      </c>
      <c r="W208" s="155"/>
    </row>
    <row r="209" spans="1:23" ht="15.75" x14ac:dyDescent="0.25">
      <c r="A209" s="5">
        <v>1</v>
      </c>
      <c r="B209" s="21" t="s">
        <v>181</v>
      </c>
      <c r="C209" s="20">
        <v>45939</v>
      </c>
      <c r="D209" s="36">
        <v>46017</v>
      </c>
      <c r="E209" s="21">
        <v>4</v>
      </c>
      <c r="F209" s="21">
        <v>0</v>
      </c>
      <c r="G209" s="21">
        <v>65</v>
      </c>
      <c r="H209" s="21">
        <v>150</v>
      </c>
      <c r="I209" s="21"/>
      <c r="J209" s="21">
        <v>86</v>
      </c>
      <c r="K209" s="24">
        <v>75</v>
      </c>
      <c r="L209" s="58"/>
      <c r="M209" s="31">
        <f>AVERAGE(G209:L209)</f>
        <v>94</v>
      </c>
      <c r="N209" s="70">
        <v>46039</v>
      </c>
      <c r="O209" s="21">
        <v>4</v>
      </c>
      <c r="P209" s="21">
        <v>0</v>
      </c>
      <c r="Q209" s="21">
        <v>140</v>
      </c>
      <c r="R209" s="21">
        <v>150</v>
      </c>
      <c r="S209" s="21"/>
      <c r="T209" s="21">
        <v>194</v>
      </c>
      <c r="U209" s="21">
        <v>180</v>
      </c>
      <c r="V209" s="21"/>
      <c r="W209" s="22">
        <f>AVERAGE(Q209:V209)</f>
        <v>166</v>
      </c>
    </row>
    <row r="210" spans="1:23" ht="15.75" x14ac:dyDescent="0.25">
      <c r="A210" s="6">
        <v>2</v>
      </c>
      <c r="B210" s="21" t="s">
        <v>181</v>
      </c>
      <c r="C210" s="13">
        <v>46039</v>
      </c>
      <c r="D210" s="13">
        <v>46112</v>
      </c>
      <c r="E210" s="21">
        <v>3</v>
      </c>
      <c r="F210" s="21">
        <v>0</v>
      </c>
      <c r="G210" s="21"/>
      <c r="H210" s="21"/>
      <c r="I210" s="21"/>
      <c r="J210" s="21">
        <v>129</v>
      </c>
      <c r="K210" s="24">
        <v>123</v>
      </c>
      <c r="L210" s="58">
        <v>145</v>
      </c>
      <c r="M210" s="74">
        <f>AVERAGE(G210:L210)</f>
        <v>132.33333333333334</v>
      </c>
      <c r="N210" s="26">
        <v>46133</v>
      </c>
      <c r="O210" s="21">
        <v>3</v>
      </c>
      <c r="P210" s="21">
        <v>0</v>
      </c>
      <c r="Q210" s="21"/>
      <c r="R210" s="21"/>
      <c r="S210" s="21"/>
      <c r="T210" s="21">
        <v>187</v>
      </c>
      <c r="U210" s="21">
        <v>193</v>
      </c>
      <c r="V210" s="21">
        <v>360</v>
      </c>
      <c r="W210" s="68">
        <f>AVERAGE(Q210:V210)</f>
        <v>246.66666666666666</v>
      </c>
    </row>
    <row r="211" spans="1:23" ht="15.75" x14ac:dyDescent="0.25">
      <c r="A211" s="6">
        <v>3</v>
      </c>
      <c r="B211" s="8" t="s">
        <v>181</v>
      </c>
      <c r="C211" s="13">
        <v>46148</v>
      </c>
      <c r="D211" s="8"/>
      <c r="E211" s="21"/>
      <c r="F211" s="21"/>
      <c r="G211" s="21"/>
      <c r="H211" s="21"/>
      <c r="I211" s="21"/>
      <c r="J211" s="21"/>
      <c r="K211" s="21"/>
      <c r="L211" s="44"/>
      <c r="M211" s="44"/>
      <c r="N211" s="21"/>
      <c r="O211" s="21"/>
      <c r="P211" s="21"/>
      <c r="Q211" s="21"/>
      <c r="R211" s="21"/>
      <c r="S211" s="21"/>
      <c r="T211" s="21"/>
      <c r="U211" s="21"/>
      <c r="V211" s="21"/>
      <c r="W211" s="22"/>
    </row>
    <row r="212" spans="1:23" ht="15.75" x14ac:dyDescent="0.25">
      <c r="A212" s="5">
        <v>4</v>
      </c>
      <c r="B212" s="8"/>
      <c r="C212" s="8"/>
      <c r="D212" s="8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2"/>
    </row>
    <row r="213" spans="1:23" ht="15.75" x14ac:dyDescent="0.25">
      <c r="A213" s="5">
        <v>5</v>
      </c>
      <c r="B213" s="8"/>
      <c r="C213" s="8"/>
      <c r="D213" s="8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2"/>
    </row>
    <row r="214" spans="1:23" ht="16.5" thickBot="1" x14ac:dyDescent="0.3">
      <c r="A214" s="7">
        <v>6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6" spans="1:23" ht="15.75" thickBot="1" x14ac:dyDescent="0.3"/>
    <row r="217" spans="1:23" ht="15.75" x14ac:dyDescent="0.25">
      <c r="A217" s="156" t="s">
        <v>260</v>
      </c>
      <c r="B217" s="157"/>
      <c r="C217" s="111" t="s">
        <v>483</v>
      </c>
      <c r="D217" s="112"/>
      <c r="E217" s="111" t="s">
        <v>414</v>
      </c>
      <c r="F217" s="112"/>
      <c r="G217" s="103" t="s">
        <v>4</v>
      </c>
      <c r="H217" s="157"/>
      <c r="I217" s="111" t="s">
        <v>135</v>
      </c>
      <c r="J217" s="158"/>
      <c r="K217" s="158"/>
      <c r="L217" s="158"/>
      <c r="M217" s="158"/>
      <c r="N217" s="112"/>
      <c r="O217" s="103" t="s">
        <v>6</v>
      </c>
      <c r="P217" s="157"/>
      <c r="Q217" s="166">
        <v>45817</v>
      </c>
      <c r="R217" s="167"/>
      <c r="S217" s="167"/>
      <c r="T217" s="167"/>
      <c r="U217" s="167"/>
      <c r="V217" s="167"/>
      <c r="W217" s="168"/>
    </row>
    <row r="218" spans="1:23" ht="15.75" x14ac:dyDescent="0.25">
      <c r="A218" s="144" t="s">
        <v>7</v>
      </c>
      <c r="B218" s="145"/>
      <c r="C218" s="135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7"/>
      <c r="O218" s="135"/>
      <c r="P218" s="137"/>
      <c r="Q218" s="149"/>
      <c r="R218" s="150"/>
      <c r="S218" s="150"/>
      <c r="T218" s="150"/>
      <c r="U218" s="150"/>
      <c r="V218" s="150"/>
      <c r="W218" s="151"/>
    </row>
    <row r="219" spans="1:23" x14ac:dyDescent="0.25">
      <c r="A219" s="152" t="s">
        <v>8</v>
      </c>
      <c r="B219" s="138" t="s">
        <v>9</v>
      </c>
      <c r="C219" s="138" t="s">
        <v>10</v>
      </c>
      <c r="D219" s="138" t="s">
        <v>11</v>
      </c>
      <c r="E219" s="138" t="s">
        <v>12</v>
      </c>
      <c r="F219" s="138" t="s">
        <v>13</v>
      </c>
      <c r="G219" s="140" t="s">
        <v>14</v>
      </c>
      <c r="H219" s="141"/>
      <c r="I219" s="141"/>
      <c r="J219" s="141"/>
      <c r="K219" s="141"/>
      <c r="L219" s="142"/>
      <c r="M219" s="138" t="s">
        <v>15</v>
      </c>
      <c r="N219" s="138" t="s">
        <v>16</v>
      </c>
      <c r="O219" s="138" t="s">
        <v>17</v>
      </c>
      <c r="P219" s="138" t="s">
        <v>18</v>
      </c>
      <c r="Q219" s="140" t="s">
        <v>19</v>
      </c>
      <c r="R219" s="141"/>
      <c r="S219" s="141"/>
      <c r="T219" s="141"/>
      <c r="U219" s="141"/>
      <c r="V219" s="142"/>
      <c r="W219" s="154" t="s">
        <v>20</v>
      </c>
    </row>
    <row r="220" spans="1:23" x14ac:dyDescent="0.25">
      <c r="A220" s="153"/>
      <c r="B220" s="139"/>
      <c r="C220" s="139"/>
      <c r="D220" s="139"/>
      <c r="E220" s="139"/>
      <c r="F220" s="139"/>
      <c r="G220" s="31" t="s">
        <v>21</v>
      </c>
      <c r="H220" s="31" t="s">
        <v>21</v>
      </c>
      <c r="I220" s="31" t="s">
        <v>21</v>
      </c>
      <c r="J220" s="31" t="s">
        <v>22</v>
      </c>
      <c r="K220" s="31" t="s">
        <v>22</v>
      </c>
      <c r="L220" s="32" t="s">
        <v>22</v>
      </c>
      <c r="M220" s="172"/>
      <c r="N220" s="139"/>
      <c r="O220" s="139"/>
      <c r="P220" s="139"/>
      <c r="Q220" s="31" t="s">
        <v>21</v>
      </c>
      <c r="R220" s="31" t="s">
        <v>21</v>
      </c>
      <c r="S220" s="31" t="s">
        <v>21</v>
      </c>
      <c r="T220" s="31" t="s">
        <v>22</v>
      </c>
      <c r="U220" s="31" t="s">
        <v>22</v>
      </c>
      <c r="V220" s="31" t="s">
        <v>22</v>
      </c>
      <c r="W220" s="155"/>
    </row>
    <row r="221" spans="1:23" ht="15.75" x14ac:dyDescent="0.25">
      <c r="A221" s="5">
        <v>1</v>
      </c>
      <c r="B221" s="21" t="s">
        <v>295</v>
      </c>
      <c r="C221" s="20">
        <v>45939</v>
      </c>
      <c r="D221" s="36" t="s">
        <v>428</v>
      </c>
      <c r="E221" s="21"/>
      <c r="F221" s="21"/>
      <c r="G221" s="21"/>
      <c r="H221" s="21"/>
      <c r="I221" s="21"/>
      <c r="J221" s="21"/>
      <c r="K221" s="24"/>
      <c r="L221" s="29"/>
      <c r="M221" s="170"/>
      <c r="O221" s="21"/>
      <c r="P221" s="21"/>
      <c r="Q221" s="21"/>
      <c r="R221" s="21"/>
      <c r="S221" s="21"/>
      <c r="T221" s="21"/>
      <c r="U221" s="21"/>
      <c r="V221" s="21"/>
      <c r="W221" s="22"/>
    </row>
    <row r="222" spans="1:23" ht="15.75" x14ac:dyDescent="0.25">
      <c r="A222" s="6">
        <v>2</v>
      </c>
      <c r="B222" s="21" t="s">
        <v>236</v>
      </c>
      <c r="C222" s="13">
        <v>46039</v>
      </c>
      <c r="D222" s="8" t="s">
        <v>428</v>
      </c>
      <c r="E222" s="8"/>
      <c r="F222" s="8"/>
      <c r="G222" s="8"/>
      <c r="H222" s="8"/>
      <c r="I222" s="8"/>
      <c r="J222" s="8"/>
      <c r="K222" s="25"/>
      <c r="L222" s="30"/>
      <c r="M222" s="171"/>
      <c r="N222" s="26"/>
      <c r="O222" s="8"/>
      <c r="P222" s="8"/>
      <c r="Q222" s="8"/>
      <c r="R222" s="8"/>
      <c r="S222" s="8"/>
      <c r="T222" s="8"/>
      <c r="U222" s="8"/>
      <c r="V222" s="8"/>
      <c r="W222" s="9"/>
    </row>
    <row r="223" spans="1:23" ht="15.75" x14ac:dyDescent="0.25">
      <c r="A223" s="6">
        <v>3</v>
      </c>
      <c r="B223" s="8" t="s">
        <v>236</v>
      </c>
      <c r="C223" s="13">
        <v>46148</v>
      </c>
      <c r="D223" s="8"/>
      <c r="E223" s="8"/>
      <c r="F223" s="8"/>
      <c r="G223" s="8"/>
      <c r="H223" s="8"/>
      <c r="I223" s="8"/>
      <c r="J223" s="8"/>
      <c r="K223" s="8"/>
      <c r="L223" s="27"/>
      <c r="M223" s="27"/>
      <c r="N223" s="8"/>
      <c r="O223" s="8"/>
      <c r="P223" s="8"/>
      <c r="Q223" s="8"/>
      <c r="R223" s="8"/>
      <c r="S223" s="8"/>
      <c r="T223" s="8"/>
      <c r="U223" s="8"/>
      <c r="V223" s="8"/>
      <c r="W223" s="9"/>
    </row>
    <row r="224" spans="1:23" ht="15.75" x14ac:dyDescent="0.25">
      <c r="A224" s="5">
        <v>4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</row>
    <row r="225" spans="1:23" ht="15.75" x14ac:dyDescent="0.25">
      <c r="A225" s="5">
        <v>5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</row>
    <row r="226" spans="1:23" ht="16.5" thickBot="1" x14ac:dyDescent="0.3">
      <c r="A226" s="7">
        <v>6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</sheetData>
  <mergeCells count="459">
    <mergeCell ref="O219:O220"/>
    <mergeCell ref="P219:P220"/>
    <mergeCell ref="Q219:V219"/>
    <mergeCell ref="W219:W220"/>
    <mergeCell ref="M221:M222"/>
    <mergeCell ref="A219:A220"/>
    <mergeCell ref="B219:B220"/>
    <mergeCell ref="C219:C220"/>
    <mergeCell ref="D219:D220"/>
    <mergeCell ref="E219:E220"/>
    <mergeCell ref="F219:F220"/>
    <mergeCell ref="G219:L219"/>
    <mergeCell ref="M219:M220"/>
    <mergeCell ref="N219:N220"/>
    <mergeCell ref="A217:B217"/>
    <mergeCell ref="C217:D217"/>
    <mergeCell ref="E217:F217"/>
    <mergeCell ref="G217:H217"/>
    <mergeCell ref="I217:N217"/>
    <mergeCell ref="O217:P217"/>
    <mergeCell ref="Q217:W217"/>
    <mergeCell ref="A218:B218"/>
    <mergeCell ref="C218:N218"/>
    <mergeCell ref="O218:P218"/>
    <mergeCell ref="Q218:W218"/>
    <mergeCell ref="W207:W208"/>
    <mergeCell ref="G207:L207"/>
    <mergeCell ref="M207:M208"/>
    <mergeCell ref="N207:N208"/>
    <mergeCell ref="O207:O208"/>
    <mergeCell ref="P207:P208"/>
    <mergeCell ref="Q207:V207"/>
    <mergeCell ref="A206:B206"/>
    <mergeCell ref="C206:N206"/>
    <mergeCell ref="O206:P206"/>
    <mergeCell ref="Q206:W206"/>
    <mergeCell ref="A207:A208"/>
    <mergeCell ref="B207:B208"/>
    <mergeCell ref="C207:C208"/>
    <mergeCell ref="D207:D208"/>
    <mergeCell ref="E207:E208"/>
    <mergeCell ref="F207:F208"/>
    <mergeCell ref="A205:B205"/>
    <mergeCell ref="G205:H205"/>
    <mergeCell ref="I205:N205"/>
    <mergeCell ref="O205:P205"/>
    <mergeCell ref="Q205:W205"/>
    <mergeCell ref="G195:L195"/>
    <mergeCell ref="M195:M196"/>
    <mergeCell ref="N195:N196"/>
    <mergeCell ref="O195:O196"/>
    <mergeCell ref="P195:P196"/>
    <mergeCell ref="Q195:V195"/>
    <mergeCell ref="E205:F205"/>
    <mergeCell ref="C205:D205"/>
    <mergeCell ref="A194:B194"/>
    <mergeCell ref="C194:N194"/>
    <mergeCell ref="O194:P194"/>
    <mergeCell ref="Q194:W194"/>
    <mergeCell ref="A195:A196"/>
    <mergeCell ref="B195:B196"/>
    <mergeCell ref="C195:C196"/>
    <mergeCell ref="D195:D196"/>
    <mergeCell ref="E195:E196"/>
    <mergeCell ref="F195:F196"/>
    <mergeCell ref="W195:W196"/>
    <mergeCell ref="A193:B193"/>
    <mergeCell ref="G193:H193"/>
    <mergeCell ref="I193:N193"/>
    <mergeCell ref="O193:P193"/>
    <mergeCell ref="Q192:W192"/>
    <mergeCell ref="G183:L183"/>
    <mergeCell ref="M183:M184"/>
    <mergeCell ref="N183:N184"/>
    <mergeCell ref="O183:O184"/>
    <mergeCell ref="P183:P184"/>
    <mergeCell ref="Q183:V183"/>
    <mergeCell ref="E193:F193"/>
    <mergeCell ref="C193:D193"/>
    <mergeCell ref="Q193:W193"/>
    <mergeCell ref="A182:B182"/>
    <mergeCell ref="C182:N182"/>
    <mergeCell ref="O182:P182"/>
    <mergeCell ref="Q182:W182"/>
    <mergeCell ref="A183:A184"/>
    <mergeCell ref="B183:B184"/>
    <mergeCell ref="C183:C184"/>
    <mergeCell ref="D183:D184"/>
    <mergeCell ref="E183:E184"/>
    <mergeCell ref="F183:F184"/>
    <mergeCell ref="W183:W184"/>
    <mergeCell ref="A181:B181"/>
    <mergeCell ref="G181:H181"/>
    <mergeCell ref="I181:N181"/>
    <mergeCell ref="O181:P181"/>
    <mergeCell ref="Q181:W181"/>
    <mergeCell ref="G171:L171"/>
    <mergeCell ref="M171:M172"/>
    <mergeCell ref="N171:N172"/>
    <mergeCell ref="O171:O172"/>
    <mergeCell ref="P171:P172"/>
    <mergeCell ref="Q171:V171"/>
    <mergeCell ref="E181:F181"/>
    <mergeCell ref="C181:D181"/>
    <mergeCell ref="A170:B170"/>
    <mergeCell ref="C170:N170"/>
    <mergeCell ref="O170:P170"/>
    <mergeCell ref="Q170:W170"/>
    <mergeCell ref="A171:A172"/>
    <mergeCell ref="B171:B172"/>
    <mergeCell ref="C171:C172"/>
    <mergeCell ref="D171:D172"/>
    <mergeCell ref="E171:E172"/>
    <mergeCell ref="F171:F172"/>
    <mergeCell ref="W171:W172"/>
    <mergeCell ref="A159:A160"/>
    <mergeCell ref="B159:B160"/>
    <mergeCell ref="C159:C160"/>
    <mergeCell ref="D159:D160"/>
    <mergeCell ref="E159:E160"/>
    <mergeCell ref="F159:F160"/>
    <mergeCell ref="W159:W160"/>
    <mergeCell ref="A169:B169"/>
    <mergeCell ref="G169:H169"/>
    <mergeCell ref="I169:N169"/>
    <mergeCell ref="O169:P169"/>
    <mergeCell ref="Q169:W169"/>
    <mergeCell ref="G159:L159"/>
    <mergeCell ref="M159:M160"/>
    <mergeCell ref="N159:N160"/>
    <mergeCell ref="O159:O160"/>
    <mergeCell ref="P159:P160"/>
    <mergeCell ref="Q159:V159"/>
    <mergeCell ref="C169:D169"/>
    <mergeCell ref="E169:F169"/>
    <mergeCell ref="A157:B157"/>
    <mergeCell ref="G157:H157"/>
    <mergeCell ref="I157:N157"/>
    <mergeCell ref="O157:P157"/>
    <mergeCell ref="Q157:W157"/>
    <mergeCell ref="C157:D157"/>
    <mergeCell ref="E157:F157"/>
    <mergeCell ref="A158:B158"/>
    <mergeCell ref="C158:N158"/>
    <mergeCell ref="O158:P158"/>
    <mergeCell ref="Q158:W158"/>
    <mergeCell ref="A146:B146"/>
    <mergeCell ref="C146:N146"/>
    <mergeCell ref="O146:P146"/>
    <mergeCell ref="Q146:W146"/>
    <mergeCell ref="A147:A148"/>
    <mergeCell ref="B147:B148"/>
    <mergeCell ref="C147:C148"/>
    <mergeCell ref="D147:D148"/>
    <mergeCell ref="E147:E148"/>
    <mergeCell ref="F147:F148"/>
    <mergeCell ref="W147:W148"/>
    <mergeCell ref="G147:L147"/>
    <mergeCell ref="M147:M148"/>
    <mergeCell ref="N147:N148"/>
    <mergeCell ref="O147:O148"/>
    <mergeCell ref="P147:P148"/>
    <mergeCell ref="Q147:V147"/>
    <mergeCell ref="A145:B145"/>
    <mergeCell ref="G145:H145"/>
    <mergeCell ref="I145:N145"/>
    <mergeCell ref="O145:P145"/>
    <mergeCell ref="Q145:W145"/>
    <mergeCell ref="G135:L135"/>
    <mergeCell ref="M135:M136"/>
    <mergeCell ref="N135:N136"/>
    <mergeCell ref="O135:O136"/>
    <mergeCell ref="P135:P136"/>
    <mergeCell ref="Q135:V135"/>
    <mergeCell ref="E145:F145"/>
    <mergeCell ref="C145:D145"/>
    <mergeCell ref="A134:B134"/>
    <mergeCell ref="C134:N134"/>
    <mergeCell ref="O134:P134"/>
    <mergeCell ref="Q134:W134"/>
    <mergeCell ref="A135:A136"/>
    <mergeCell ref="B135:B136"/>
    <mergeCell ref="C135:C136"/>
    <mergeCell ref="D135:D136"/>
    <mergeCell ref="E135:E136"/>
    <mergeCell ref="F135:F136"/>
    <mergeCell ref="W135:W136"/>
    <mergeCell ref="A133:B133"/>
    <mergeCell ref="G133:H133"/>
    <mergeCell ref="I133:N133"/>
    <mergeCell ref="O133:P133"/>
    <mergeCell ref="Q133:W133"/>
    <mergeCell ref="G123:L123"/>
    <mergeCell ref="M123:M124"/>
    <mergeCell ref="N123:N124"/>
    <mergeCell ref="O123:O124"/>
    <mergeCell ref="P123:P124"/>
    <mergeCell ref="Q123:V123"/>
    <mergeCell ref="E133:F133"/>
    <mergeCell ref="C133:D133"/>
    <mergeCell ref="A122:B122"/>
    <mergeCell ref="C122:N122"/>
    <mergeCell ref="O122:P122"/>
    <mergeCell ref="Q122:W122"/>
    <mergeCell ref="A123:A124"/>
    <mergeCell ref="B123:B124"/>
    <mergeCell ref="C123:C124"/>
    <mergeCell ref="D123:D124"/>
    <mergeCell ref="E123:E124"/>
    <mergeCell ref="F123:F124"/>
    <mergeCell ref="W123:W124"/>
    <mergeCell ref="A121:B121"/>
    <mergeCell ref="G121:H121"/>
    <mergeCell ref="I121:N121"/>
    <mergeCell ref="O121:P121"/>
    <mergeCell ref="Q121:W121"/>
    <mergeCell ref="G111:L111"/>
    <mergeCell ref="M111:M112"/>
    <mergeCell ref="N111:N112"/>
    <mergeCell ref="O111:O112"/>
    <mergeCell ref="P111:P112"/>
    <mergeCell ref="Q111:V111"/>
    <mergeCell ref="E121:F121"/>
    <mergeCell ref="C121:D121"/>
    <mergeCell ref="A110:B110"/>
    <mergeCell ref="C110:N110"/>
    <mergeCell ref="O110:P110"/>
    <mergeCell ref="Q110:W110"/>
    <mergeCell ref="A111:A112"/>
    <mergeCell ref="B111:B112"/>
    <mergeCell ref="C111:C112"/>
    <mergeCell ref="D111:D112"/>
    <mergeCell ref="E111:E112"/>
    <mergeCell ref="F111:F112"/>
    <mergeCell ref="W111:W112"/>
    <mergeCell ref="A109:B109"/>
    <mergeCell ref="G109:H109"/>
    <mergeCell ref="I109:N109"/>
    <mergeCell ref="O109:P109"/>
    <mergeCell ref="Q109:W109"/>
    <mergeCell ref="G99:L99"/>
    <mergeCell ref="M99:M100"/>
    <mergeCell ref="N99:N100"/>
    <mergeCell ref="O99:O100"/>
    <mergeCell ref="P99:P100"/>
    <mergeCell ref="Q99:V99"/>
    <mergeCell ref="E109:F109"/>
    <mergeCell ref="C109:D109"/>
    <mergeCell ref="A98:B98"/>
    <mergeCell ref="C98:N98"/>
    <mergeCell ref="O98:P98"/>
    <mergeCell ref="Q98:W98"/>
    <mergeCell ref="A99:A100"/>
    <mergeCell ref="B99:B100"/>
    <mergeCell ref="C99:C100"/>
    <mergeCell ref="D99:D100"/>
    <mergeCell ref="E99:E100"/>
    <mergeCell ref="F99:F100"/>
    <mergeCell ref="W99:W100"/>
    <mergeCell ref="A97:B97"/>
    <mergeCell ref="G97:H97"/>
    <mergeCell ref="I97:N97"/>
    <mergeCell ref="O97:P97"/>
    <mergeCell ref="Q97:W97"/>
    <mergeCell ref="G87:L87"/>
    <mergeCell ref="M87:M88"/>
    <mergeCell ref="N87:N88"/>
    <mergeCell ref="O87:O88"/>
    <mergeCell ref="P87:P88"/>
    <mergeCell ref="Q87:V87"/>
    <mergeCell ref="C97:D97"/>
    <mergeCell ref="E97:F97"/>
    <mergeCell ref="A86:B86"/>
    <mergeCell ref="C86:N86"/>
    <mergeCell ref="O86:P86"/>
    <mergeCell ref="Q86:W86"/>
    <mergeCell ref="A87:A88"/>
    <mergeCell ref="B87:B88"/>
    <mergeCell ref="C87:C88"/>
    <mergeCell ref="D87:D88"/>
    <mergeCell ref="E87:E88"/>
    <mergeCell ref="F87:F88"/>
    <mergeCell ref="W87:W88"/>
    <mergeCell ref="M77:M78"/>
    <mergeCell ref="A85:B85"/>
    <mergeCell ref="G85:H85"/>
    <mergeCell ref="I85:N85"/>
    <mergeCell ref="O85:P85"/>
    <mergeCell ref="Q85:W85"/>
    <mergeCell ref="G75:L75"/>
    <mergeCell ref="M75:M76"/>
    <mergeCell ref="N75:N76"/>
    <mergeCell ref="O75:O76"/>
    <mergeCell ref="P75:P76"/>
    <mergeCell ref="Q75:V75"/>
    <mergeCell ref="E85:F85"/>
    <mergeCell ref="C85:D85"/>
    <mergeCell ref="A74:B74"/>
    <mergeCell ref="C74:N74"/>
    <mergeCell ref="O74:P74"/>
    <mergeCell ref="Q74:W74"/>
    <mergeCell ref="A75:A76"/>
    <mergeCell ref="B75:B76"/>
    <mergeCell ref="C75:C76"/>
    <mergeCell ref="D75:D76"/>
    <mergeCell ref="E75:E76"/>
    <mergeCell ref="F75:F76"/>
    <mergeCell ref="W75:W76"/>
    <mergeCell ref="A73:B73"/>
    <mergeCell ref="G73:H73"/>
    <mergeCell ref="I73:N73"/>
    <mergeCell ref="O73:P73"/>
    <mergeCell ref="Q73:W73"/>
    <mergeCell ref="G63:L63"/>
    <mergeCell ref="M63:M64"/>
    <mergeCell ref="N63:N64"/>
    <mergeCell ref="O63:O64"/>
    <mergeCell ref="P63:P64"/>
    <mergeCell ref="Q63:V63"/>
    <mergeCell ref="C73:D73"/>
    <mergeCell ref="E73:F73"/>
    <mergeCell ref="A62:B62"/>
    <mergeCell ref="C62:N62"/>
    <mergeCell ref="O62:P62"/>
    <mergeCell ref="Q62:W62"/>
    <mergeCell ref="A63:A64"/>
    <mergeCell ref="B63:B64"/>
    <mergeCell ref="C63:C64"/>
    <mergeCell ref="D63:D64"/>
    <mergeCell ref="E63:E64"/>
    <mergeCell ref="F63:F64"/>
    <mergeCell ref="W63:W64"/>
    <mergeCell ref="A61:B61"/>
    <mergeCell ref="G61:H61"/>
    <mergeCell ref="I61:N61"/>
    <mergeCell ref="O61:P61"/>
    <mergeCell ref="Q61:W61"/>
    <mergeCell ref="G51:L51"/>
    <mergeCell ref="M51:M52"/>
    <mergeCell ref="N51:N52"/>
    <mergeCell ref="O51:O52"/>
    <mergeCell ref="P51:P52"/>
    <mergeCell ref="Q51:V51"/>
    <mergeCell ref="C61:D61"/>
    <mergeCell ref="E61:F61"/>
    <mergeCell ref="A50:B50"/>
    <mergeCell ref="C50:N50"/>
    <mergeCell ref="O50:P50"/>
    <mergeCell ref="Q50:W50"/>
    <mergeCell ref="A51:A52"/>
    <mergeCell ref="B51:B52"/>
    <mergeCell ref="C51:C52"/>
    <mergeCell ref="D51:D52"/>
    <mergeCell ref="E51:E52"/>
    <mergeCell ref="F51:F52"/>
    <mergeCell ref="W51:W52"/>
    <mergeCell ref="A49:B49"/>
    <mergeCell ref="G49:H49"/>
    <mergeCell ref="I49:N49"/>
    <mergeCell ref="O49:P49"/>
    <mergeCell ref="Q49:W49"/>
    <mergeCell ref="G39:L39"/>
    <mergeCell ref="M39:M40"/>
    <mergeCell ref="N39:N40"/>
    <mergeCell ref="O39:O40"/>
    <mergeCell ref="P39:P40"/>
    <mergeCell ref="Q39:V39"/>
    <mergeCell ref="C49:D49"/>
    <mergeCell ref="E49:F49"/>
    <mergeCell ref="A38:B38"/>
    <mergeCell ref="C38:N38"/>
    <mergeCell ref="O38:P38"/>
    <mergeCell ref="Q38:W38"/>
    <mergeCell ref="A39:A40"/>
    <mergeCell ref="B39:B40"/>
    <mergeCell ref="C39:C40"/>
    <mergeCell ref="D39:D40"/>
    <mergeCell ref="E39:E40"/>
    <mergeCell ref="F39:F40"/>
    <mergeCell ref="W39:W40"/>
    <mergeCell ref="A37:B37"/>
    <mergeCell ref="G37:H37"/>
    <mergeCell ref="I37:N37"/>
    <mergeCell ref="O37:P37"/>
    <mergeCell ref="Q37:W37"/>
    <mergeCell ref="G27:L27"/>
    <mergeCell ref="M27:M28"/>
    <mergeCell ref="N27:N28"/>
    <mergeCell ref="O27:O28"/>
    <mergeCell ref="P27:P28"/>
    <mergeCell ref="Q27:V27"/>
    <mergeCell ref="E37:F37"/>
    <mergeCell ref="C37:D37"/>
    <mergeCell ref="A26:B26"/>
    <mergeCell ref="C26:N26"/>
    <mergeCell ref="O26:P26"/>
    <mergeCell ref="Q26:W26"/>
    <mergeCell ref="A27:A28"/>
    <mergeCell ref="B27:B28"/>
    <mergeCell ref="C27:C28"/>
    <mergeCell ref="D27:D28"/>
    <mergeCell ref="E27:E28"/>
    <mergeCell ref="F27:F28"/>
    <mergeCell ref="W27:W28"/>
    <mergeCell ref="A25:B25"/>
    <mergeCell ref="G25:H25"/>
    <mergeCell ref="I25:N25"/>
    <mergeCell ref="O25:P25"/>
    <mergeCell ref="Q25:W25"/>
    <mergeCell ref="G15:L15"/>
    <mergeCell ref="M15:M16"/>
    <mergeCell ref="N15:N16"/>
    <mergeCell ref="O15:O16"/>
    <mergeCell ref="P15:P16"/>
    <mergeCell ref="Q15:V15"/>
    <mergeCell ref="E25:F25"/>
    <mergeCell ref="C25:D25"/>
    <mergeCell ref="A14:B14"/>
    <mergeCell ref="C14:N14"/>
    <mergeCell ref="O14:P14"/>
    <mergeCell ref="Q14:W14"/>
    <mergeCell ref="A15:A16"/>
    <mergeCell ref="B15:B16"/>
    <mergeCell ref="C15:C16"/>
    <mergeCell ref="D15:D16"/>
    <mergeCell ref="E15:E16"/>
    <mergeCell ref="F15:F16"/>
    <mergeCell ref="W15:W16"/>
    <mergeCell ref="A3:A4"/>
    <mergeCell ref="B3:B4"/>
    <mergeCell ref="C3:C4"/>
    <mergeCell ref="D3:D4"/>
    <mergeCell ref="E3:E4"/>
    <mergeCell ref="F3:F4"/>
    <mergeCell ref="W3:W4"/>
    <mergeCell ref="A13:B13"/>
    <mergeCell ref="G13:H13"/>
    <mergeCell ref="I13:N13"/>
    <mergeCell ref="O13:P13"/>
    <mergeCell ref="Q13:W13"/>
    <mergeCell ref="G3:L3"/>
    <mergeCell ref="M3:M4"/>
    <mergeCell ref="N3:N4"/>
    <mergeCell ref="O3:O4"/>
    <mergeCell ref="P3:P4"/>
    <mergeCell ref="Q3:V3"/>
    <mergeCell ref="E13:F13"/>
    <mergeCell ref="C13:D13"/>
    <mergeCell ref="A1:B1"/>
    <mergeCell ref="G1:H1"/>
    <mergeCell ref="I1:N1"/>
    <mergeCell ref="O1:P1"/>
    <mergeCell ref="Q1:W1"/>
    <mergeCell ref="A2:B2"/>
    <mergeCell ref="C2:N2"/>
    <mergeCell ref="O2:P2"/>
    <mergeCell ref="Q2:W2"/>
    <mergeCell ref="E1:F1"/>
    <mergeCell ref="C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FAD3-8298-4389-91D8-E19AB48C0948}">
  <dimension ref="A2:W204"/>
  <sheetViews>
    <sheetView topLeftCell="A185" workbookViewId="0">
      <selection activeCell="E87" sqref="E87:F87"/>
    </sheetView>
  </sheetViews>
  <sheetFormatPr baseColWidth="10" defaultRowHeight="15" x14ac:dyDescent="0.25"/>
  <cols>
    <col min="2" max="2" width="10.5703125" customWidth="1"/>
    <col min="3" max="4" width="12.7109375" bestFit="1" customWidth="1"/>
    <col min="5" max="5" width="8.85546875" customWidth="1"/>
    <col min="6" max="6" width="11.5703125" customWidth="1"/>
    <col min="7" max="7" width="5.42578125" customWidth="1"/>
    <col min="8" max="8" width="5" customWidth="1"/>
    <col min="9" max="9" width="5.42578125" customWidth="1"/>
    <col min="10" max="10" width="6.42578125" customWidth="1"/>
    <col min="11" max="11" width="5.42578125" customWidth="1"/>
    <col min="12" max="12" width="6.140625" customWidth="1"/>
    <col min="13" max="13" width="10.28515625" customWidth="1"/>
    <col min="14" max="14" width="12.7109375" bestFit="1" customWidth="1"/>
    <col min="15" max="15" width="9.28515625" customWidth="1"/>
    <col min="17" max="17" width="6.85546875" customWidth="1"/>
    <col min="18" max="18" width="6.140625" customWidth="1"/>
    <col min="19" max="20" width="5.7109375" customWidth="1"/>
    <col min="21" max="21" width="5.140625" customWidth="1"/>
    <col min="22" max="22" width="4.85546875" customWidth="1"/>
    <col min="23" max="23" width="9.85546875" customWidth="1"/>
  </cols>
  <sheetData>
    <row r="2" spans="1:23" ht="15.75" thickBot="1" x14ac:dyDescent="0.3"/>
    <row r="3" spans="1:23" ht="15.75" x14ac:dyDescent="0.25">
      <c r="A3" s="100" t="s">
        <v>260</v>
      </c>
      <c r="B3" s="101"/>
      <c r="C3" s="111" t="s">
        <v>347</v>
      </c>
      <c r="D3" s="112"/>
      <c r="E3" s="111" t="s">
        <v>424</v>
      </c>
      <c r="F3" s="112"/>
      <c r="G3" s="101" t="s">
        <v>4</v>
      </c>
      <c r="H3" s="101"/>
      <c r="I3" s="102" t="s">
        <v>425</v>
      </c>
      <c r="J3" s="102"/>
      <c r="K3" s="102"/>
      <c r="L3" s="102"/>
      <c r="M3" s="102"/>
      <c r="N3" s="102"/>
      <c r="O3" s="101" t="s">
        <v>6</v>
      </c>
      <c r="P3" s="101"/>
      <c r="Q3" s="103"/>
      <c r="R3" s="104"/>
      <c r="S3" s="104"/>
      <c r="T3" s="104"/>
      <c r="U3" s="104"/>
      <c r="V3" s="104"/>
      <c r="W3" s="105"/>
    </row>
    <row r="4" spans="1:23" ht="15.75" x14ac:dyDescent="0.25">
      <c r="A4" s="106" t="s">
        <v>7</v>
      </c>
      <c r="B4" s="107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7"/>
      <c r="R4" s="107"/>
      <c r="S4" s="107"/>
      <c r="T4" s="107"/>
      <c r="U4" s="107"/>
      <c r="V4" s="107"/>
      <c r="W4" s="110"/>
    </row>
    <row r="5" spans="1:23" x14ac:dyDescent="0.25">
      <c r="A5" s="113" t="s">
        <v>8</v>
      </c>
      <c r="B5" s="114" t="s">
        <v>9</v>
      </c>
      <c r="C5" s="114" t="s">
        <v>10</v>
      </c>
      <c r="D5" s="114" t="s">
        <v>11</v>
      </c>
      <c r="E5" s="114" t="s">
        <v>12</v>
      </c>
      <c r="F5" s="114" t="s">
        <v>13</v>
      </c>
      <c r="G5" s="114" t="s">
        <v>14</v>
      </c>
      <c r="H5" s="114"/>
      <c r="I5" s="114"/>
      <c r="J5" s="114"/>
      <c r="K5" s="114"/>
      <c r="L5" s="114"/>
      <c r="M5" s="114" t="s">
        <v>15</v>
      </c>
      <c r="N5" s="114" t="s">
        <v>16</v>
      </c>
      <c r="O5" s="114" t="s">
        <v>17</v>
      </c>
      <c r="P5" s="114" t="s">
        <v>18</v>
      </c>
      <c r="Q5" s="114" t="s">
        <v>19</v>
      </c>
      <c r="R5" s="114"/>
      <c r="S5" s="114"/>
      <c r="T5" s="114"/>
      <c r="U5" s="114"/>
      <c r="V5" s="114"/>
      <c r="W5" s="115" t="s">
        <v>20</v>
      </c>
    </row>
    <row r="6" spans="1:23" x14ac:dyDescent="0.25">
      <c r="A6" s="113"/>
      <c r="B6" s="114"/>
      <c r="C6" s="114"/>
      <c r="D6" s="114"/>
      <c r="E6" s="114"/>
      <c r="F6" s="114"/>
      <c r="G6" s="31" t="s">
        <v>21</v>
      </c>
      <c r="H6" s="31" t="s">
        <v>21</v>
      </c>
      <c r="I6" s="31" t="s">
        <v>21</v>
      </c>
      <c r="J6" s="31" t="s">
        <v>22</v>
      </c>
      <c r="K6" s="31" t="s">
        <v>22</v>
      </c>
      <c r="L6" s="32" t="s">
        <v>22</v>
      </c>
      <c r="M6" s="138"/>
      <c r="N6" s="114"/>
      <c r="O6" s="114"/>
      <c r="P6" s="114"/>
      <c r="Q6" s="31" t="s">
        <v>21</v>
      </c>
      <c r="R6" s="31" t="s">
        <v>21</v>
      </c>
      <c r="S6" s="31" t="s">
        <v>21</v>
      </c>
      <c r="T6" s="31" t="s">
        <v>22</v>
      </c>
      <c r="U6" s="31" t="s">
        <v>22</v>
      </c>
      <c r="V6" s="31" t="s">
        <v>22</v>
      </c>
      <c r="W6" s="115"/>
    </row>
    <row r="7" spans="1:23" ht="15.75" x14ac:dyDescent="0.25">
      <c r="A7" s="5">
        <v>1</v>
      </c>
      <c r="B7" s="20" t="s">
        <v>240</v>
      </c>
      <c r="C7" s="20">
        <v>45917</v>
      </c>
      <c r="D7" s="36">
        <v>45253</v>
      </c>
      <c r="E7" s="21">
        <v>4</v>
      </c>
      <c r="F7" s="21">
        <v>2</v>
      </c>
      <c r="G7" s="21"/>
      <c r="H7" s="21"/>
      <c r="I7" s="21"/>
      <c r="J7" s="21">
        <v>100</v>
      </c>
      <c r="K7" s="24">
        <v>109</v>
      </c>
      <c r="L7" s="29"/>
      <c r="M7" s="69">
        <f>AVERAGE(G7:L7)</f>
        <v>104.5</v>
      </c>
      <c r="N7" s="70">
        <v>45663</v>
      </c>
      <c r="O7" s="21">
        <v>2</v>
      </c>
      <c r="P7" s="21">
        <v>0</v>
      </c>
      <c r="Q7" s="21"/>
      <c r="R7" s="21"/>
      <c r="S7" s="21"/>
      <c r="T7" s="21">
        <v>295</v>
      </c>
      <c r="U7" s="21">
        <v>323</v>
      </c>
      <c r="V7" s="21"/>
      <c r="W7" s="22">
        <f>AVERAGE(T7:V7)</f>
        <v>309</v>
      </c>
    </row>
    <row r="8" spans="1:23" ht="15.75" x14ac:dyDescent="0.25">
      <c r="A8" s="6">
        <v>2</v>
      </c>
      <c r="B8" s="21" t="s">
        <v>240</v>
      </c>
      <c r="C8" s="13">
        <v>46039</v>
      </c>
      <c r="D8" s="13">
        <v>46110</v>
      </c>
      <c r="E8" s="21">
        <v>4</v>
      </c>
      <c r="F8" s="21">
        <v>0</v>
      </c>
      <c r="G8" s="21">
        <v>109</v>
      </c>
      <c r="H8" s="21">
        <v>101</v>
      </c>
      <c r="I8" s="21"/>
      <c r="J8" s="21">
        <v>79</v>
      </c>
      <c r="K8" s="24">
        <v>80</v>
      </c>
      <c r="L8" s="29"/>
      <c r="M8" s="92">
        <f>AVERAGE(G8:L8)</f>
        <v>92.25</v>
      </c>
      <c r="N8" s="26">
        <v>46133</v>
      </c>
      <c r="O8" s="21">
        <v>4</v>
      </c>
      <c r="P8" s="21">
        <v>0</v>
      </c>
      <c r="Q8" s="21">
        <v>264</v>
      </c>
      <c r="R8" s="21">
        <v>273</v>
      </c>
      <c r="S8" s="21"/>
      <c r="T8" s="21">
        <v>211</v>
      </c>
      <c r="U8" s="21">
        <v>257</v>
      </c>
      <c r="V8" s="21"/>
      <c r="W8" s="22">
        <f>AVERAGE(Q8:V8)</f>
        <v>251.25</v>
      </c>
    </row>
    <row r="9" spans="1:23" ht="15.75" x14ac:dyDescent="0.25">
      <c r="A9" s="6">
        <v>3</v>
      </c>
      <c r="B9" s="8"/>
      <c r="C9" s="8"/>
      <c r="D9" s="8"/>
      <c r="E9" s="21"/>
      <c r="F9" s="21"/>
      <c r="G9" s="21"/>
      <c r="H9" s="21"/>
      <c r="I9" s="21"/>
      <c r="J9" s="21"/>
      <c r="K9" s="21"/>
      <c r="L9" s="44"/>
      <c r="M9" s="44"/>
      <c r="N9" s="21"/>
      <c r="O9" s="21"/>
      <c r="P9" s="21"/>
      <c r="Q9" s="21"/>
      <c r="R9" s="21"/>
      <c r="S9" s="21"/>
      <c r="T9" s="21"/>
      <c r="U9" s="21"/>
      <c r="V9" s="21"/>
      <c r="W9" s="22"/>
    </row>
    <row r="10" spans="1:23" ht="15.75" x14ac:dyDescent="0.25">
      <c r="A10" s="5">
        <v>4</v>
      </c>
      <c r="B10" s="8"/>
      <c r="C10" s="8"/>
      <c r="D10" s="8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2"/>
    </row>
    <row r="11" spans="1:23" ht="15.75" x14ac:dyDescent="0.25">
      <c r="A11" s="5">
        <v>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</row>
    <row r="12" spans="1:23" ht="16.5" thickBot="1" x14ac:dyDescent="0.3">
      <c r="A12" s="7">
        <v>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4" spans="1:23" ht="15.75" thickBot="1" x14ac:dyDescent="0.3"/>
    <row r="15" spans="1:23" ht="15.75" x14ac:dyDescent="0.25">
      <c r="A15" s="100" t="s">
        <v>260</v>
      </c>
      <c r="B15" s="101"/>
      <c r="C15" s="111" t="s">
        <v>346</v>
      </c>
      <c r="D15" s="112"/>
      <c r="E15" s="111" t="s">
        <v>424</v>
      </c>
      <c r="F15" s="112"/>
      <c r="G15" s="101" t="s">
        <v>4</v>
      </c>
      <c r="H15" s="101"/>
      <c r="I15" s="102" t="s">
        <v>425</v>
      </c>
      <c r="J15" s="102"/>
      <c r="K15" s="102"/>
      <c r="L15" s="102"/>
      <c r="M15" s="102"/>
      <c r="N15" s="102"/>
      <c r="O15" s="101" t="s">
        <v>6</v>
      </c>
      <c r="P15" s="101"/>
      <c r="Q15" s="103"/>
      <c r="R15" s="104"/>
      <c r="S15" s="104"/>
      <c r="T15" s="104"/>
      <c r="U15" s="104"/>
      <c r="V15" s="104"/>
      <c r="W15" s="105"/>
    </row>
    <row r="16" spans="1:23" ht="15.75" x14ac:dyDescent="0.25">
      <c r="A16" s="106" t="s">
        <v>7</v>
      </c>
      <c r="B16" s="107"/>
      <c r="C16" s="122" t="s">
        <v>44</v>
      </c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09"/>
      <c r="P16" s="109"/>
      <c r="Q16" s="107"/>
      <c r="R16" s="107"/>
      <c r="S16" s="107"/>
      <c r="T16" s="107"/>
      <c r="U16" s="107"/>
      <c r="V16" s="107"/>
      <c r="W16" s="110"/>
    </row>
    <row r="17" spans="1:23" x14ac:dyDescent="0.25">
      <c r="A17" s="113" t="s">
        <v>8</v>
      </c>
      <c r="B17" s="114" t="s">
        <v>9</v>
      </c>
      <c r="C17" s="114" t="s">
        <v>10</v>
      </c>
      <c r="D17" s="114" t="s">
        <v>11</v>
      </c>
      <c r="E17" s="114" t="s">
        <v>12</v>
      </c>
      <c r="F17" s="114" t="s">
        <v>13</v>
      </c>
      <c r="G17" s="114" t="s">
        <v>14</v>
      </c>
      <c r="H17" s="114"/>
      <c r="I17" s="114"/>
      <c r="J17" s="114"/>
      <c r="K17" s="114"/>
      <c r="L17" s="114"/>
      <c r="M17" s="114" t="s">
        <v>15</v>
      </c>
      <c r="N17" s="114" t="s">
        <v>16</v>
      </c>
      <c r="O17" s="114" t="s">
        <v>17</v>
      </c>
      <c r="P17" s="114" t="s">
        <v>18</v>
      </c>
      <c r="Q17" s="114" t="s">
        <v>19</v>
      </c>
      <c r="R17" s="114"/>
      <c r="S17" s="114"/>
      <c r="T17" s="114"/>
      <c r="U17" s="114"/>
      <c r="V17" s="114"/>
      <c r="W17" s="115" t="s">
        <v>20</v>
      </c>
    </row>
    <row r="18" spans="1:23" x14ac:dyDescent="0.25">
      <c r="A18" s="113"/>
      <c r="B18" s="114"/>
      <c r="C18" s="114"/>
      <c r="D18" s="114"/>
      <c r="E18" s="114"/>
      <c r="F18" s="114"/>
      <c r="G18" s="31" t="s">
        <v>21</v>
      </c>
      <c r="H18" s="31" t="s">
        <v>21</v>
      </c>
      <c r="I18" s="31" t="s">
        <v>21</v>
      </c>
      <c r="J18" s="31" t="s">
        <v>22</v>
      </c>
      <c r="K18" s="31" t="s">
        <v>22</v>
      </c>
      <c r="L18" s="32" t="s">
        <v>22</v>
      </c>
      <c r="M18" s="138"/>
      <c r="N18" s="114"/>
      <c r="O18" s="114"/>
      <c r="P18" s="114"/>
      <c r="Q18" s="31" t="s">
        <v>21</v>
      </c>
      <c r="R18" s="31" t="s">
        <v>21</v>
      </c>
      <c r="S18" s="31" t="s">
        <v>21</v>
      </c>
      <c r="T18" s="31" t="s">
        <v>22</v>
      </c>
      <c r="U18" s="31" t="s">
        <v>22</v>
      </c>
      <c r="V18" s="31" t="s">
        <v>22</v>
      </c>
      <c r="W18" s="115"/>
    </row>
    <row r="19" spans="1:23" ht="15.75" x14ac:dyDescent="0.25">
      <c r="A19" s="5">
        <v>1</v>
      </c>
      <c r="B19" s="21" t="s">
        <v>240</v>
      </c>
      <c r="C19" s="20">
        <v>45917</v>
      </c>
      <c r="D19" s="36">
        <v>45999</v>
      </c>
      <c r="E19" s="21">
        <v>3</v>
      </c>
      <c r="F19" s="21">
        <v>0</v>
      </c>
      <c r="G19" s="21">
        <v>121</v>
      </c>
      <c r="H19" s="21">
        <v>124</v>
      </c>
      <c r="I19" s="21">
        <v>122</v>
      </c>
      <c r="J19" s="21"/>
      <c r="K19" s="24"/>
      <c r="L19" s="29"/>
      <c r="M19" s="72">
        <f>AVERAGE(G19:L19)</f>
        <v>122.33333333333333</v>
      </c>
      <c r="N19" s="70">
        <v>46028</v>
      </c>
      <c r="O19" s="21">
        <v>3</v>
      </c>
      <c r="P19" s="21">
        <v>0</v>
      </c>
      <c r="Q19" s="21">
        <v>201</v>
      </c>
      <c r="R19" s="21">
        <v>252</v>
      </c>
      <c r="S19" s="21">
        <v>233</v>
      </c>
      <c r="T19" s="21"/>
      <c r="U19" s="21"/>
      <c r="V19" s="21"/>
      <c r="W19" s="40">
        <f>AVERAGE(Q19:V19)</f>
        <v>228.66666666666666</v>
      </c>
    </row>
    <row r="20" spans="1:23" ht="15.75" x14ac:dyDescent="0.25">
      <c r="A20" s="6">
        <v>2</v>
      </c>
      <c r="B20" s="21" t="s">
        <v>240</v>
      </c>
      <c r="C20" s="13">
        <v>46039</v>
      </c>
      <c r="D20" s="13">
        <v>46116</v>
      </c>
      <c r="E20" s="21">
        <v>3</v>
      </c>
      <c r="F20" s="21">
        <v>0</v>
      </c>
      <c r="G20" s="21">
        <v>118</v>
      </c>
      <c r="H20" s="21">
        <v>143</v>
      </c>
      <c r="I20" s="21">
        <v>132</v>
      </c>
      <c r="J20" s="21"/>
      <c r="K20" s="24"/>
      <c r="L20" s="29"/>
      <c r="M20" s="69">
        <f>AVERAGE(G20:L20)</f>
        <v>131</v>
      </c>
      <c r="N20" s="26">
        <v>46139</v>
      </c>
      <c r="O20" s="21">
        <v>2</v>
      </c>
      <c r="P20" s="21">
        <v>1</v>
      </c>
      <c r="Q20" s="21">
        <v>241</v>
      </c>
      <c r="R20" s="21">
        <v>260</v>
      </c>
      <c r="S20" s="21"/>
      <c r="T20" s="21"/>
      <c r="U20" s="21"/>
      <c r="V20" s="21"/>
      <c r="W20" s="22">
        <f>AVERAGE(Q20:V20)</f>
        <v>250.5</v>
      </c>
    </row>
    <row r="21" spans="1:23" ht="15.75" x14ac:dyDescent="0.25">
      <c r="A21" s="6">
        <v>3</v>
      </c>
      <c r="B21" s="8"/>
      <c r="C21" s="8"/>
      <c r="D21" s="8"/>
      <c r="E21" s="21"/>
      <c r="F21" s="21"/>
      <c r="G21" s="21"/>
      <c r="H21" s="21"/>
      <c r="I21" s="21"/>
      <c r="J21" s="21"/>
      <c r="K21" s="21"/>
      <c r="L21" s="44"/>
      <c r="M21" s="44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3" ht="15.75" x14ac:dyDescent="0.25">
      <c r="A22" s="5">
        <v>4</v>
      </c>
      <c r="B22" s="8"/>
      <c r="C22" s="8"/>
      <c r="D22" s="8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3" ht="15.75" x14ac:dyDescent="0.25">
      <c r="A23" s="5">
        <v>5</v>
      </c>
      <c r="B23" s="8"/>
      <c r="C23" s="8"/>
      <c r="D23" s="8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3" ht="16.5" thickBot="1" x14ac:dyDescent="0.3">
      <c r="A24" s="7">
        <v>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6" spans="1:23" ht="15.75" thickBot="1" x14ac:dyDescent="0.3"/>
    <row r="27" spans="1:23" ht="15.75" x14ac:dyDescent="0.25">
      <c r="A27" s="100" t="s">
        <v>260</v>
      </c>
      <c r="B27" s="101"/>
      <c r="C27" s="111" t="s">
        <v>348</v>
      </c>
      <c r="D27" s="112"/>
      <c r="E27" s="111" t="s">
        <v>424</v>
      </c>
      <c r="F27" s="112"/>
      <c r="G27" s="101" t="s">
        <v>4</v>
      </c>
      <c r="H27" s="101"/>
      <c r="I27" s="102" t="s">
        <v>425</v>
      </c>
      <c r="J27" s="102"/>
      <c r="K27" s="102"/>
      <c r="L27" s="102"/>
      <c r="M27" s="102"/>
      <c r="N27" s="102"/>
      <c r="O27" s="101" t="s">
        <v>6</v>
      </c>
      <c r="P27" s="101"/>
      <c r="Q27" s="103"/>
      <c r="R27" s="104"/>
      <c r="S27" s="104"/>
      <c r="T27" s="104"/>
      <c r="U27" s="104"/>
      <c r="V27" s="104"/>
      <c r="W27" s="105"/>
    </row>
    <row r="28" spans="1:23" ht="15.75" x14ac:dyDescent="0.25">
      <c r="A28" s="106" t="s">
        <v>7</v>
      </c>
      <c r="B28" s="107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7"/>
      <c r="R28" s="107"/>
      <c r="S28" s="107"/>
      <c r="T28" s="107"/>
      <c r="U28" s="107"/>
      <c r="V28" s="107"/>
      <c r="W28" s="110"/>
    </row>
    <row r="29" spans="1:23" x14ac:dyDescent="0.25">
      <c r="A29" s="113" t="s">
        <v>8</v>
      </c>
      <c r="B29" s="114" t="s">
        <v>9</v>
      </c>
      <c r="C29" s="114" t="s">
        <v>10</v>
      </c>
      <c r="D29" s="114" t="s">
        <v>11</v>
      </c>
      <c r="E29" s="114" t="s">
        <v>12</v>
      </c>
      <c r="F29" s="114" t="s">
        <v>13</v>
      </c>
      <c r="G29" s="114" t="s">
        <v>14</v>
      </c>
      <c r="H29" s="114"/>
      <c r="I29" s="114"/>
      <c r="J29" s="114"/>
      <c r="K29" s="114"/>
      <c r="L29" s="114"/>
      <c r="M29" s="114" t="s">
        <v>15</v>
      </c>
      <c r="N29" s="114" t="s">
        <v>16</v>
      </c>
      <c r="O29" s="114" t="s">
        <v>17</v>
      </c>
      <c r="P29" s="114" t="s">
        <v>18</v>
      </c>
      <c r="Q29" s="114" t="s">
        <v>19</v>
      </c>
      <c r="R29" s="114"/>
      <c r="S29" s="114"/>
      <c r="T29" s="114"/>
      <c r="U29" s="114"/>
      <c r="V29" s="114"/>
      <c r="W29" s="115" t="s">
        <v>20</v>
      </c>
    </row>
    <row r="30" spans="1:23" x14ac:dyDescent="0.25">
      <c r="A30" s="113"/>
      <c r="B30" s="114"/>
      <c r="C30" s="114"/>
      <c r="D30" s="114"/>
      <c r="E30" s="114"/>
      <c r="F30" s="114"/>
      <c r="G30" s="31" t="s">
        <v>21</v>
      </c>
      <c r="H30" s="31" t="s">
        <v>21</v>
      </c>
      <c r="I30" s="31" t="s">
        <v>21</v>
      </c>
      <c r="J30" s="31" t="s">
        <v>22</v>
      </c>
      <c r="K30" s="31" t="s">
        <v>22</v>
      </c>
      <c r="L30" s="32" t="s">
        <v>22</v>
      </c>
      <c r="M30" s="138"/>
      <c r="N30" s="114"/>
      <c r="O30" s="114"/>
      <c r="P30" s="114"/>
      <c r="Q30" s="31" t="s">
        <v>21</v>
      </c>
      <c r="R30" s="31" t="s">
        <v>21</v>
      </c>
      <c r="S30" s="31" t="s">
        <v>21</v>
      </c>
      <c r="T30" s="31" t="s">
        <v>22</v>
      </c>
      <c r="U30" s="31" t="s">
        <v>22</v>
      </c>
      <c r="V30" s="31" t="s">
        <v>22</v>
      </c>
      <c r="W30" s="115"/>
    </row>
    <row r="31" spans="1:23" ht="15.75" x14ac:dyDescent="0.25">
      <c r="A31" s="5">
        <v>1</v>
      </c>
      <c r="B31" s="21" t="s">
        <v>240</v>
      </c>
      <c r="C31" s="20">
        <v>45917</v>
      </c>
      <c r="D31" s="36">
        <v>45991</v>
      </c>
      <c r="E31" s="21">
        <v>4</v>
      </c>
      <c r="F31" s="21">
        <v>0</v>
      </c>
      <c r="G31" s="21">
        <v>119</v>
      </c>
      <c r="H31" s="21">
        <v>93</v>
      </c>
      <c r="I31" s="21">
        <v>87</v>
      </c>
      <c r="J31" s="21"/>
      <c r="K31" s="24"/>
      <c r="L31" s="29"/>
      <c r="M31" s="92">
        <f>AVERAGE(G31:L31)</f>
        <v>99.666666666666671</v>
      </c>
      <c r="N31" s="93">
        <v>45663</v>
      </c>
      <c r="O31" s="21">
        <v>3</v>
      </c>
      <c r="P31" s="21">
        <v>1</v>
      </c>
      <c r="Q31" s="21">
        <v>239</v>
      </c>
      <c r="R31" s="21">
        <v>317</v>
      </c>
      <c r="S31" s="21"/>
      <c r="T31" s="21">
        <v>335</v>
      </c>
      <c r="U31" s="21"/>
      <c r="V31" s="21"/>
      <c r="W31" s="22">
        <f>AVERAGE(Q31:V31)</f>
        <v>297</v>
      </c>
    </row>
    <row r="32" spans="1:23" ht="15.75" x14ac:dyDescent="0.25">
      <c r="A32" s="6">
        <v>2</v>
      </c>
      <c r="B32" s="21" t="s">
        <v>240</v>
      </c>
      <c r="C32" s="13">
        <v>46039</v>
      </c>
      <c r="D32" s="13">
        <v>46136</v>
      </c>
      <c r="E32" s="21">
        <v>4</v>
      </c>
      <c r="F32" s="21">
        <v>0</v>
      </c>
      <c r="G32" s="21">
        <v>105</v>
      </c>
      <c r="H32" s="21">
        <v>109</v>
      </c>
      <c r="I32" s="21">
        <v>113</v>
      </c>
      <c r="J32" s="21">
        <v>100</v>
      </c>
      <c r="K32" s="24"/>
      <c r="L32" s="29"/>
      <c r="M32" s="92">
        <f>AVERAGE(G32:L32)</f>
        <v>106.75</v>
      </c>
      <c r="N32" s="26">
        <v>46176</v>
      </c>
      <c r="O32" s="21">
        <v>4</v>
      </c>
      <c r="P32" s="21">
        <v>0</v>
      </c>
      <c r="Q32" s="21">
        <v>300</v>
      </c>
      <c r="R32" s="21">
        <v>280</v>
      </c>
      <c r="S32" s="21">
        <v>285</v>
      </c>
      <c r="T32" s="21">
        <v>290</v>
      </c>
      <c r="U32" s="21"/>
      <c r="V32" s="21"/>
      <c r="W32" s="68">
        <f>AVERAGE(Q32:V32)</f>
        <v>288.75</v>
      </c>
    </row>
    <row r="33" spans="1:23" ht="15.75" x14ac:dyDescent="0.25">
      <c r="A33" s="6">
        <v>3</v>
      </c>
      <c r="B33" s="8"/>
      <c r="C33" s="8"/>
      <c r="D33" s="8"/>
      <c r="E33" s="21"/>
      <c r="F33" s="21"/>
      <c r="G33" s="21"/>
      <c r="H33" s="21"/>
      <c r="I33" s="21"/>
      <c r="J33" s="21"/>
      <c r="K33" s="21"/>
      <c r="L33" s="44"/>
      <c r="M33" s="44"/>
      <c r="N33" s="21"/>
      <c r="O33" s="21"/>
      <c r="P33" s="21"/>
      <c r="Q33" s="21"/>
      <c r="R33" s="21"/>
      <c r="S33" s="21"/>
      <c r="T33" s="21"/>
      <c r="U33" s="21"/>
      <c r="V33" s="21"/>
      <c r="W33" s="22"/>
    </row>
    <row r="34" spans="1:23" ht="15.75" x14ac:dyDescent="0.25">
      <c r="A34" s="5">
        <v>4</v>
      </c>
      <c r="B34" s="8"/>
      <c r="C34" s="8"/>
      <c r="D34" s="8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2"/>
    </row>
    <row r="35" spans="1:23" ht="15.75" x14ac:dyDescent="0.25">
      <c r="A35" s="5">
        <v>5</v>
      </c>
      <c r="B35" s="8"/>
      <c r="C35" s="8"/>
      <c r="D35" s="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</row>
    <row r="36" spans="1:23" ht="16.5" thickBot="1" x14ac:dyDescent="0.3">
      <c r="A36" s="7">
        <v>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8" spans="1:23" ht="15.75" thickBot="1" x14ac:dyDescent="0.3"/>
    <row r="39" spans="1:23" ht="15.75" x14ac:dyDescent="0.25">
      <c r="A39" s="100" t="s">
        <v>260</v>
      </c>
      <c r="B39" s="101"/>
      <c r="C39" s="111" t="s">
        <v>349</v>
      </c>
      <c r="D39" s="112"/>
      <c r="E39" s="111" t="s">
        <v>424</v>
      </c>
      <c r="F39" s="112"/>
      <c r="G39" s="101" t="s">
        <v>4</v>
      </c>
      <c r="H39" s="101"/>
      <c r="I39" s="102" t="s">
        <v>425</v>
      </c>
      <c r="J39" s="102"/>
      <c r="K39" s="102"/>
      <c r="L39" s="102"/>
      <c r="M39" s="102"/>
      <c r="N39" s="102"/>
      <c r="O39" s="101" t="s">
        <v>6</v>
      </c>
      <c r="P39" s="101"/>
      <c r="Q39" s="103"/>
      <c r="R39" s="104"/>
      <c r="S39" s="104"/>
      <c r="T39" s="104"/>
      <c r="U39" s="104"/>
      <c r="V39" s="104"/>
      <c r="W39" s="105"/>
    </row>
    <row r="40" spans="1:23" ht="15.75" x14ac:dyDescent="0.25">
      <c r="A40" s="106" t="s">
        <v>7</v>
      </c>
      <c r="B40" s="107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7"/>
      <c r="R40" s="107"/>
      <c r="S40" s="107"/>
      <c r="T40" s="107"/>
      <c r="U40" s="107"/>
      <c r="V40" s="107"/>
      <c r="W40" s="110"/>
    </row>
    <row r="41" spans="1:23" x14ac:dyDescent="0.25">
      <c r="A41" s="113" t="s">
        <v>8</v>
      </c>
      <c r="B41" s="114" t="s">
        <v>9</v>
      </c>
      <c r="C41" s="114" t="s">
        <v>10</v>
      </c>
      <c r="D41" s="114" t="s">
        <v>11</v>
      </c>
      <c r="E41" s="114" t="s">
        <v>12</v>
      </c>
      <c r="F41" s="114" t="s">
        <v>13</v>
      </c>
      <c r="G41" s="114" t="s">
        <v>14</v>
      </c>
      <c r="H41" s="114"/>
      <c r="I41" s="114"/>
      <c r="J41" s="114"/>
      <c r="K41" s="114"/>
      <c r="L41" s="114"/>
      <c r="M41" s="114" t="s">
        <v>15</v>
      </c>
      <c r="N41" s="114" t="s">
        <v>16</v>
      </c>
      <c r="O41" s="114" t="s">
        <v>17</v>
      </c>
      <c r="P41" s="114" t="s">
        <v>18</v>
      </c>
      <c r="Q41" s="114" t="s">
        <v>19</v>
      </c>
      <c r="R41" s="114"/>
      <c r="S41" s="114"/>
      <c r="T41" s="114"/>
      <c r="U41" s="114"/>
      <c r="V41" s="114"/>
      <c r="W41" s="115" t="s">
        <v>20</v>
      </c>
    </row>
    <row r="42" spans="1:23" x14ac:dyDescent="0.25">
      <c r="A42" s="113"/>
      <c r="B42" s="114"/>
      <c r="C42" s="114"/>
      <c r="D42" s="114"/>
      <c r="E42" s="114"/>
      <c r="F42" s="114"/>
      <c r="G42" s="31" t="s">
        <v>21</v>
      </c>
      <c r="H42" s="31" t="s">
        <v>21</v>
      </c>
      <c r="I42" s="31" t="s">
        <v>21</v>
      </c>
      <c r="J42" s="31" t="s">
        <v>22</v>
      </c>
      <c r="K42" s="31" t="s">
        <v>22</v>
      </c>
      <c r="L42" s="32" t="s">
        <v>22</v>
      </c>
      <c r="M42" s="138"/>
      <c r="N42" s="114"/>
      <c r="O42" s="114"/>
      <c r="P42" s="114"/>
      <c r="Q42" s="31" t="s">
        <v>21</v>
      </c>
      <c r="R42" s="31" t="s">
        <v>21</v>
      </c>
      <c r="S42" s="31" t="s">
        <v>21</v>
      </c>
      <c r="T42" s="31" t="s">
        <v>22</v>
      </c>
      <c r="U42" s="31" t="s">
        <v>22</v>
      </c>
      <c r="V42" s="31" t="s">
        <v>22</v>
      </c>
      <c r="W42" s="115"/>
    </row>
    <row r="43" spans="1:23" ht="15.75" x14ac:dyDescent="0.25">
      <c r="A43" s="5">
        <v>1</v>
      </c>
      <c r="B43" s="21" t="s">
        <v>240</v>
      </c>
      <c r="C43" s="20">
        <v>45917</v>
      </c>
      <c r="D43" s="36">
        <v>45988</v>
      </c>
      <c r="E43" s="21">
        <v>2</v>
      </c>
      <c r="F43" s="21">
        <v>0</v>
      </c>
      <c r="G43" s="21">
        <v>138</v>
      </c>
      <c r="H43" s="21"/>
      <c r="I43" s="21"/>
      <c r="J43" s="21">
        <v>159</v>
      </c>
      <c r="K43" s="24"/>
      <c r="L43" s="58"/>
      <c r="M43" s="31">
        <f>AVERAGE(G43:L43)</f>
        <v>148.5</v>
      </c>
      <c r="N43" s="70">
        <v>45663</v>
      </c>
      <c r="O43" s="21">
        <v>2</v>
      </c>
      <c r="P43" s="21">
        <v>0</v>
      </c>
      <c r="Q43" s="21">
        <v>351</v>
      </c>
      <c r="R43" s="21"/>
      <c r="S43" s="21"/>
      <c r="T43" s="21">
        <v>365</v>
      </c>
      <c r="U43" s="21"/>
      <c r="V43" s="21"/>
      <c r="W43" s="22">
        <f>AVERAGE(Q43:V43)</f>
        <v>358</v>
      </c>
    </row>
    <row r="44" spans="1:23" ht="15.75" x14ac:dyDescent="0.25">
      <c r="A44" s="6">
        <v>2</v>
      </c>
      <c r="B44" s="21" t="s">
        <v>240</v>
      </c>
      <c r="C44" s="13">
        <v>46039</v>
      </c>
      <c r="D44" s="13">
        <v>46120</v>
      </c>
      <c r="E44" s="21">
        <v>3</v>
      </c>
      <c r="F44" s="21">
        <v>0</v>
      </c>
      <c r="G44" s="21">
        <v>125</v>
      </c>
      <c r="H44" s="21">
        <v>130</v>
      </c>
      <c r="I44" s="21">
        <v>115</v>
      </c>
      <c r="J44" s="21"/>
      <c r="K44" s="24"/>
      <c r="L44" s="58"/>
      <c r="M44" s="90">
        <f>AVERAGE(G44:L44)</f>
        <v>123.33333333333333</v>
      </c>
      <c r="N44" s="26">
        <v>46139</v>
      </c>
      <c r="O44" s="21">
        <v>2</v>
      </c>
      <c r="P44" s="21">
        <v>1</v>
      </c>
      <c r="Q44" s="21">
        <v>281</v>
      </c>
      <c r="R44" s="21">
        <v>188</v>
      </c>
      <c r="S44" s="21"/>
      <c r="T44" s="21"/>
      <c r="U44" s="21"/>
      <c r="V44" s="21"/>
      <c r="W44" s="22">
        <f>AVERAGE(Q44:V44)</f>
        <v>234.5</v>
      </c>
    </row>
    <row r="45" spans="1:23" ht="15.75" x14ac:dyDescent="0.25">
      <c r="A45" s="6">
        <v>3</v>
      </c>
      <c r="B45" s="8"/>
      <c r="C45" s="8"/>
      <c r="D45" s="8"/>
      <c r="E45" s="21"/>
      <c r="F45" s="21"/>
      <c r="G45" s="21"/>
      <c r="H45" s="21"/>
      <c r="I45" s="21"/>
      <c r="J45" s="21"/>
      <c r="K45" s="21"/>
      <c r="L45" s="44"/>
      <c r="M45" s="44"/>
      <c r="N45" s="21"/>
      <c r="O45" s="21"/>
      <c r="P45" s="21"/>
      <c r="Q45" s="21"/>
      <c r="R45" s="21"/>
      <c r="S45" s="21"/>
      <c r="T45" s="21"/>
      <c r="U45" s="21"/>
      <c r="V45" s="21"/>
      <c r="W45" s="22"/>
    </row>
    <row r="46" spans="1:23" ht="15.75" x14ac:dyDescent="0.25">
      <c r="A46" s="5">
        <v>4</v>
      </c>
      <c r="B46" s="8"/>
      <c r="C46" s="8"/>
      <c r="D46" s="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2"/>
    </row>
    <row r="47" spans="1:23" ht="15.75" x14ac:dyDescent="0.25">
      <c r="A47" s="5">
        <v>5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9"/>
    </row>
    <row r="48" spans="1:23" ht="16.5" thickBot="1" x14ac:dyDescent="0.3">
      <c r="A48" s="7">
        <v>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50" spans="1:23" ht="15.75" thickBot="1" x14ac:dyDescent="0.3"/>
    <row r="51" spans="1:23" ht="15.75" x14ac:dyDescent="0.25">
      <c r="A51" s="100" t="s">
        <v>260</v>
      </c>
      <c r="B51" s="101"/>
      <c r="C51" s="109" t="s">
        <v>350</v>
      </c>
      <c r="D51" s="109"/>
      <c r="E51" s="158" t="s">
        <v>496</v>
      </c>
      <c r="F51" s="112"/>
      <c r="G51" s="101" t="s">
        <v>4</v>
      </c>
      <c r="H51" s="101"/>
      <c r="I51" s="102" t="s">
        <v>427</v>
      </c>
      <c r="J51" s="102"/>
      <c r="K51" s="102"/>
      <c r="L51" s="102"/>
      <c r="M51" s="102"/>
      <c r="N51" s="102"/>
      <c r="O51" s="101" t="s">
        <v>6</v>
      </c>
      <c r="P51" s="101"/>
      <c r="Q51" s="103"/>
      <c r="R51" s="104"/>
      <c r="S51" s="104"/>
      <c r="T51" s="104"/>
      <c r="U51" s="104"/>
      <c r="V51" s="104"/>
      <c r="W51" s="105"/>
    </row>
    <row r="52" spans="1:23" ht="15.75" x14ac:dyDescent="0.25">
      <c r="A52" s="106" t="s">
        <v>7</v>
      </c>
      <c r="B52" s="107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09"/>
      <c r="P52" s="109"/>
      <c r="Q52" s="107"/>
      <c r="R52" s="107"/>
      <c r="S52" s="107"/>
      <c r="T52" s="107"/>
      <c r="U52" s="107"/>
      <c r="V52" s="107"/>
      <c r="W52" s="110"/>
    </row>
    <row r="53" spans="1:23" x14ac:dyDescent="0.25">
      <c r="A53" s="113" t="s">
        <v>8</v>
      </c>
      <c r="B53" s="114" t="s">
        <v>9</v>
      </c>
      <c r="C53" s="114" t="s">
        <v>10</v>
      </c>
      <c r="D53" s="114" t="s">
        <v>11</v>
      </c>
      <c r="E53" s="114" t="s">
        <v>12</v>
      </c>
      <c r="F53" s="114" t="s">
        <v>13</v>
      </c>
      <c r="G53" s="114" t="s">
        <v>14</v>
      </c>
      <c r="H53" s="114"/>
      <c r="I53" s="114"/>
      <c r="J53" s="114"/>
      <c r="K53" s="114"/>
      <c r="L53" s="114"/>
      <c r="M53" s="114" t="s">
        <v>15</v>
      </c>
      <c r="N53" s="114" t="s">
        <v>16</v>
      </c>
      <c r="O53" s="114" t="s">
        <v>17</v>
      </c>
      <c r="P53" s="114" t="s">
        <v>18</v>
      </c>
      <c r="Q53" s="114" t="s">
        <v>19</v>
      </c>
      <c r="R53" s="114"/>
      <c r="S53" s="114"/>
      <c r="T53" s="114"/>
      <c r="U53" s="114"/>
      <c r="V53" s="114"/>
      <c r="W53" s="115" t="s">
        <v>20</v>
      </c>
    </row>
    <row r="54" spans="1:23" x14ac:dyDescent="0.25">
      <c r="A54" s="113"/>
      <c r="B54" s="114"/>
      <c r="C54" s="114"/>
      <c r="D54" s="114"/>
      <c r="E54" s="114"/>
      <c r="F54" s="114"/>
      <c r="G54" s="31" t="s">
        <v>21</v>
      </c>
      <c r="H54" s="31" t="s">
        <v>21</v>
      </c>
      <c r="I54" s="31" t="s">
        <v>21</v>
      </c>
      <c r="J54" s="31" t="s">
        <v>22</v>
      </c>
      <c r="K54" s="31" t="s">
        <v>22</v>
      </c>
      <c r="L54" s="32" t="s">
        <v>22</v>
      </c>
      <c r="M54" s="138"/>
      <c r="N54" s="114"/>
      <c r="O54" s="114"/>
      <c r="P54" s="114"/>
      <c r="Q54" s="31" t="s">
        <v>21</v>
      </c>
      <c r="R54" s="31" t="s">
        <v>21</v>
      </c>
      <c r="S54" s="31" t="s">
        <v>21</v>
      </c>
      <c r="T54" s="31" t="s">
        <v>22</v>
      </c>
      <c r="U54" s="31" t="s">
        <v>22</v>
      </c>
      <c r="V54" s="31" t="s">
        <v>22</v>
      </c>
      <c r="W54" s="115"/>
    </row>
    <row r="55" spans="1:23" ht="15.75" x14ac:dyDescent="0.25">
      <c r="A55" s="5">
        <v>1</v>
      </c>
      <c r="B55" s="21" t="s">
        <v>351</v>
      </c>
      <c r="C55" s="20">
        <v>45939</v>
      </c>
      <c r="D55" s="36" t="s">
        <v>371</v>
      </c>
      <c r="E55" s="21"/>
      <c r="F55" s="21"/>
      <c r="G55" s="21"/>
      <c r="H55" s="21"/>
      <c r="I55" s="21"/>
      <c r="J55" s="21"/>
      <c r="K55" s="24"/>
      <c r="L55" s="29"/>
      <c r="M55" s="165"/>
      <c r="O55" s="21"/>
      <c r="P55" s="21"/>
      <c r="Q55" s="21"/>
      <c r="R55" s="21"/>
      <c r="S55" s="21"/>
      <c r="T55" s="21"/>
      <c r="U55" s="21"/>
      <c r="V55" s="21"/>
      <c r="W55" s="22"/>
    </row>
    <row r="56" spans="1:23" ht="15.75" x14ac:dyDescent="0.25">
      <c r="A56" s="6">
        <v>2</v>
      </c>
      <c r="B56" s="21" t="s">
        <v>351</v>
      </c>
      <c r="C56" s="13">
        <v>46006</v>
      </c>
      <c r="D56" s="8"/>
      <c r="E56" s="8"/>
      <c r="F56" s="8"/>
      <c r="G56" s="8"/>
      <c r="H56" s="8"/>
      <c r="I56" s="8"/>
      <c r="J56" s="8"/>
      <c r="K56" s="25"/>
      <c r="L56" s="30"/>
      <c r="M56" s="165"/>
      <c r="N56" s="26"/>
      <c r="O56" s="8"/>
      <c r="P56" s="8"/>
      <c r="Q56" s="8"/>
      <c r="R56" s="8"/>
      <c r="S56" s="8"/>
      <c r="T56" s="8"/>
      <c r="U56" s="8"/>
      <c r="V56" s="8"/>
      <c r="W56" s="9"/>
    </row>
    <row r="57" spans="1:23" ht="15.75" x14ac:dyDescent="0.25">
      <c r="A57" s="6">
        <v>3</v>
      </c>
      <c r="B57" s="8" t="s">
        <v>24</v>
      </c>
      <c r="C57" s="13"/>
      <c r="D57" s="8" t="s">
        <v>428</v>
      </c>
      <c r="E57" s="8"/>
      <c r="F57" s="8"/>
      <c r="G57" s="8"/>
      <c r="H57" s="8"/>
      <c r="I57" s="8"/>
      <c r="J57" s="8"/>
      <c r="K57" s="8"/>
      <c r="L57" s="27"/>
      <c r="M57" s="27"/>
      <c r="N57" s="8"/>
      <c r="O57" s="8"/>
      <c r="P57" s="8"/>
      <c r="Q57" s="8"/>
      <c r="R57" s="8"/>
      <c r="S57" s="8"/>
      <c r="T57" s="8"/>
      <c r="U57" s="8"/>
      <c r="V57" s="8"/>
      <c r="W57" s="9"/>
    </row>
    <row r="58" spans="1:23" ht="15.75" x14ac:dyDescent="0.25">
      <c r="A58" s="5">
        <v>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</row>
    <row r="59" spans="1:23" ht="15.75" x14ac:dyDescent="0.25">
      <c r="A59" s="5">
        <v>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</row>
    <row r="60" spans="1:23" ht="16.5" thickBot="1" x14ac:dyDescent="0.3">
      <c r="A60" s="7">
        <v>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2" spans="1:23" ht="15.75" thickBot="1" x14ac:dyDescent="0.3"/>
    <row r="63" spans="1:23" ht="15.75" x14ac:dyDescent="0.25">
      <c r="A63" s="100" t="s">
        <v>260</v>
      </c>
      <c r="B63" s="101"/>
      <c r="C63" s="109" t="s">
        <v>352</v>
      </c>
      <c r="D63" s="109"/>
      <c r="E63" s="111" t="s">
        <v>496</v>
      </c>
      <c r="F63" s="112"/>
      <c r="G63" s="101" t="s">
        <v>4</v>
      </c>
      <c r="H63" s="101"/>
      <c r="I63" s="102" t="s">
        <v>427</v>
      </c>
      <c r="J63" s="102"/>
      <c r="K63" s="102"/>
      <c r="L63" s="102"/>
      <c r="M63" s="102"/>
      <c r="N63" s="102"/>
      <c r="O63" s="101" t="s">
        <v>6</v>
      </c>
      <c r="P63" s="101"/>
      <c r="Q63" s="103"/>
      <c r="R63" s="104"/>
      <c r="S63" s="104"/>
      <c r="T63" s="104"/>
      <c r="U63" s="104"/>
      <c r="V63" s="104"/>
      <c r="W63" s="105"/>
    </row>
    <row r="64" spans="1:23" ht="15.75" x14ac:dyDescent="0.25">
      <c r="A64" s="106" t="s">
        <v>7</v>
      </c>
      <c r="B64" s="107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7"/>
      <c r="R64" s="107"/>
      <c r="S64" s="107"/>
      <c r="T64" s="107"/>
      <c r="U64" s="107"/>
      <c r="V64" s="107"/>
      <c r="W64" s="110"/>
    </row>
    <row r="65" spans="1:23" x14ac:dyDescent="0.25">
      <c r="A65" s="113" t="s">
        <v>8</v>
      </c>
      <c r="B65" s="114" t="s">
        <v>9</v>
      </c>
      <c r="C65" s="114" t="s">
        <v>10</v>
      </c>
      <c r="D65" s="114" t="s">
        <v>11</v>
      </c>
      <c r="E65" s="114" t="s">
        <v>12</v>
      </c>
      <c r="F65" s="114" t="s">
        <v>13</v>
      </c>
      <c r="G65" s="114" t="s">
        <v>14</v>
      </c>
      <c r="H65" s="114"/>
      <c r="I65" s="114"/>
      <c r="J65" s="114"/>
      <c r="K65" s="114"/>
      <c r="L65" s="114"/>
      <c r="M65" s="114" t="s">
        <v>15</v>
      </c>
      <c r="N65" s="114" t="s">
        <v>16</v>
      </c>
      <c r="O65" s="114" t="s">
        <v>17</v>
      </c>
      <c r="P65" s="114" t="s">
        <v>18</v>
      </c>
      <c r="Q65" s="114" t="s">
        <v>19</v>
      </c>
      <c r="R65" s="114"/>
      <c r="S65" s="114"/>
      <c r="T65" s="114"/>
      <c r="U65" s="114"/>
      <c r="V65" s="114"/>
      <c r="W65" s="115" t="s">
        <v>20</v>
      </c>
    </row>
    <row r="66" spans="1:23" x14ac:dyDescent="0.25">
      <c r="A66" s="113"/>
      <c r="B66" s="114"/>
      <c r="C66" s="114"/>
      <c r="D66" s="114"/>
      <c r="E66" s="114"/>
      <c r="F66" s="114"/>
      <c r="G66" s="31" t="s">
        <v>21</v>
      </c>
      <c r="H66" s="31" t="s">
        <v>21</v>
      </c>
      <c r="I66" s="31" t="s">
        <v>21</v>
      </c>
      <c r="J66" s="31" t="s">
        <v>22</v>
      </c>
      <c r="K66" s="31" t="s">
        <v>22</v>
      </c>
      <c r="L66" s="32" t="s">
        <v>22</v>
      </c>
      <c r="M66" s="138"/>
      <c r="N66" s="114"/>
      <c r="O66" s="114"/>
      <c r="P66" s="114"/>
      <c r="Q66" s="31" t="s">
        <v>21</v>
      </c>
      <c r="R66" s="31" t="s">
        <v>21</v>
      </c>
      <c r="S66" s="31" t="s">
        <v>21</v>
      </c>
      <c r="T66" s="31" t="s">
        <v>22</v>
      </c>
      <c r="U66" s="31" t="s">
        <v>22</v>
      </c>
      <c r="V66" s="31" t="s">
        <v>22</v>
      </c>
      <c r="W66" s="115"/>
    </row>
    <row r="67" spans="1:23" ht="15.75" x14ac:dyDescent="0.25">
      <c r="A67" s="5">
        <v>1</v>
      </c>
      <c r="B67" s="21" t="s">
        <v>351</v>
      </c>
      <c r="C67" s="20">
        <v>45939</v>
      </c>
      <c r="D67" s="36" t="s">
        <v>283</v>
      </c>
      <c r="E67" s="21"/>
      <c r="F67" s="21"/>
      <c r="G67" s="21"/>
      <c r="H67" s="21"/>
      <c r="I67" s="21"/>
      <c r="J67" s="21"/>
      <c r="K67" s="24"/>
      <c r="L67" s="29"/>
      <c r="M67" s="165"/>
      <c r="O67" s="21"/>
      <c r="P67" s="21"/>
      <c r="Q67" s="21"/>
      <c r="R67" s="21"/>
      <c r="S67" s="21"/>
      <c r="T67" s="21"/>
      <c r="U67" s="21"/>
      <c r="V67" s="21"/>
      <c r="W67" s="22"/>
    </row>
    <row r="68" spans="1:23" ht="15.75" x14ac:dyDescent="0.25">
      <c r="A68" s="6">
        <v>2</v>
      </c>
      <c r="B68" s="21" t="s">
        <v>351</v>
      </c>
      <c r="C68" s="13">
        <v>46006</v>
      </c>
      <c r="D68" s="8"/>
      <c r="E68" s="8"/>
      <c r="F68" s="8"/>
      <c r="G68" s="8"/>
      <c r="H68" s="8"/>
      <c r="I68" s="8"/>
      <c r="J68" s="8"/>
      <c r="K68" s="25"/>
      <c r="L68" s="30"/>
      <c r="M68" s="165"/>
      <c r="N68" s="26"/>
      <c r="O68" s="8"/>
      <c r="P68" s="8"/>
      <c r="Q68" s="8"/>
      <c r="R68" s="8"/>
      <c r="S68" s="8"/>
      <c r="T68" s="8"/>
      <c r="U68" s="8"/>
      <c r="V68" s="8"/>
      <c r="W68" s="9"/>
    </row>
    <row r="69" spans="1:23" ht="15.75" x14ac:dyDescent="0.25">
      <c r="A69" s="6">
        <v>3</v>
      </c>
      <c r="B69" s="8" t="s">
        <v>24</v>
      </c>
      <c r="C69" s="8"/>
      <c r="D69" s="8" t="s">
        <v>428</v>
      </c>
      <c r="E69" s="8"/>
      <c r="F69" s="8"/>
      <c r="G69" s="8"/>
      <c r="H69" s="8"/>
      <c r="I69" s="8"/>
      <c r="J69" s="8"/>
      <c r="K69" s="8"/>
      <c r="L69" s="27"/>
      <c r="M69" s="27"/>
      <c r="N69" s="8"/>
      <c r="O69" s="8"/>
      <c r="P69" s="8"/>
      <c r="Q69" s="8"/>
      <c r="R69" s="8"/>
      <c r="S69" s="8"/>
      <c r="T69" s="8"/>
      <c r="U69" s="8"/>
      <c r="V69" s="8"/>
      <c r="W69" s="9"/>
    </row>
    <row r="70" spans="1:23" ht="15.75" x14ac:dyDescent="0.25">
      <c r="A70" s="5">
        <v>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</row>
    <row r="71" spans="1:23" ht="15.75" x14ac:dyDescent="0.25">
      <c r="A71" s="5">
        <v>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</row>
    <row r="72" spans="1:23" ht="16.5" thickBot="1" x14ac:dyDescent="0.3">
      <c r="A72" s="7">
        <v>6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4" spans="1:23" ht="15.75" thickBot="1" x14ac:dyDescent="0.3"/>
    <row r="75" spans="1:23" ht="15.75" x14ac:dyDescent="0.25">
      <c r="A75" s="100" t="s">
        <v>260</v>
      </c>
      <c r="B75" s="101"/>
      <c r="C75" s="111" t="s">
        <v>353</v>
      </c>
      <c r="D75" s="112"/>
      <c r="E75" s="111" t="s">
        <v>496</v>
      </c>
      <c r="F75" s="112"/>
      <c r="G75" s="101" t="s">
        <v>4</v>
      </c>
      <c r="H75" s="101"/>
      <c r="I75" s="102" t="s">
        <v>427</v>
      </c>
      <c r="J75" s="102"/>
      <c r="K75" s="102"/>
      <c r="L75" s="102"/>
      <c r="M75" s="102"/>
      <c r="N75" s="102"/>
      <c r="O75" s="101" t="s">
        <v>6</v>
      </c>
      <c r="P75" s="101"/>
      <c r="Q75" s="103"/>
      <c r="R75" s="104"/>
      <c r="S75" s="104"/>
      <c r="T75" s="104"/>
      <c r="U75" s="104"/>
      <c r="V75" s="104"/>
      <c r="W75" s="105"/>
    </row>
    <row r="76" spans="1:23" ht="15.75" x14ac:dyDescent="0.25">
      <c r="A76" s="106" t="s">
        <v>7</v>
      </c>
      <c r="B76" s="107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7"/>
      <c r="R76" s="107"/>
      <c r="S76" s="107"/>
      <c r="T76" s="107"/>
      <c r="U76" s="107"/>
      <c r="V76" s="107"/>
      <c r="W76" s="110"/>
    </row>
    <row r="77" spans="1:23" x14ac:dyDescent="0.25">
      <c r="A77" s="113" t="s">
        <v>8</v>
      </c>
      <c r="B77" s="114" t="s">
        <v>9</v>
      </c>
      <c r="C77" s="114" t="s">
        <v>10</v>
      </c>
      <c r="D77" s="114" t="s">
        <v>11</v>
      </c>
      <c r="E77" s="114" t="s">
        <v>12</v>
      </c>
      <c r="F77" s="114" t="s">
        <v>13</v>
      </c>
      <c r="G77" s="114" t="s">
        <v>14</v>
      </c>
      <c r="H77" s="114"/>
      <c r="I77" s="114"/>
      <c r="J77" s="114"/>
      <c r="K77" s="114"/>
      <c r="L77" s="114"/>
      <c r="M77" s="114" t="s">
        <v>15</v>
      </c>
      <c r="N77" s="114" t="s">
        <v>16</v>
      </c>
      <c r="O77" s="114" t="s">
        <v>17</v>
      </c>
      <c r="P77" s="114" t="s">
        <v>18</v>
      </c>
      <c r="Q77" s="114" t="s">
        <v>19</v>
      </c>
      <c r="R77" s="114"/>
      <c r="S77" s="114"/>
      <c r="T77" s="114"/>
      <c r="U77" s="114"/>
      <c r="V77" s="114"/>
      <c r="W77" s="115" t="s">
        <v>20</v>
      </c>
    </row>
    <row r="78" spans="1:23" x14ac:dyDescent="0.25">
      <c r="A78" s="113"/>
      <c r="B78" s="114"/>
      <c r="C78" s="114"/>
      <c r="D78" s="114"/>
      <c r="E78" s="114"/>
      <c r="F78" s="114"/>
      <c r="G78" s="31" t="s">
        <v>21</v>
      </c>
      <c r="H78" s="31" t="s">
        <v>21</v>
      </c>
      <c r="I78" s="31" t="s">
        <v>21</v>
      </c>
      <c r="J78" s="31" t="s">
        <v>22</v>
      </c>
      <c r="K78" s="31" t="s">
        <v>22</v>
      </c>
      <c r="L78" s="32" t="s">
        <v>22</v>
      </c>
      <c r="M78" s="138"/>
      <c r="N78" s="114"/>
      <c r="O78" s="114"/>
      <c r="P78" s="114"/>
      <c r="Q78" s="31" t="s">
        <v>21</v>
      </c>
      <c r="R78" s="31" t="s">
        <v>21</v>
      </c>
      <c r="S78" s="31" t="s">
        <v>21</v>
      </c>
      <c r="T78" s="31" t="s">
        <v>22</v>
      </c>
      <c r="U78" s="31" t="s">
        <v>22</v>
      </c>
      <c r="V78" s="31" t="s">
        <v>22</v>
      </c>
      <c r="W78" s="115"/>
    </row>
    <row r="79" spans="1:23" ht="15.75" x14ac:dyDescent="0.25">
      <c r="A79" s="5">
        <v>1</v>
      </c>
      <c r="B79" s="21" t="s">
        <v>351</v>
      </c>
      <c r="C79" s="20">
        <v>45939</v>
      </c>
      <c r="D79" s="36" t="s">
        <v>283</v>
      </c>
      <c r="E79" s="21"/>
      <c r="F79" s="21"/>
      <c r="G79" s="21"/>
      <c r="H79" s="21"/>
      <c r="I79" s="21"/>
      <c r="J79" s="21"/>
      <c r="K79" s="24"/>
      <c r="L79" s="29"/>
      <c r="M79" s="165"/>
      <c r="O79" s="21"/>
      <c r="P79" s="21"/>
      <c r="Q79" s="21"/>
      <c r="R79" s="21"/>
      <c r="S79" s="21"/>
      <c r="T79" s="21"/>
      <c r="U79" s="21"/>
      <c r="V79" s="21"/>
      <c r="W79" s="22"/>
    </row>
    <row r="80" spans="1:23" ht="15.75" x14ac:dyDescent="0.25">
      <c r="A80" s="6">
        <v>2</v>
      </c>
      <c r="B80" s="21" t="s">
        <v>351</v>
      </c>
      <c r="C80" s="13">
        <v>46006</v>
      </c>
      <c r="D80" s="8"/>
      <c r="E80" s="8"/>
      <c r="F80" s="8"/>
      <c r="G80" s="8"/>
      <c r="H80" s="8"/>
      <c r="I80" s="8"/>
      <c r="J80" s="8"/>
      <c r="K80" s="25"/>
      <c r="L80" s="30"/>
      <c r="M80" s="165"/>
      <c r="N80" s="26"/>
      <c r="O80" s="8"/>
      <c r="P80" s="8"/>
      <c r="Q80" s="8"/>
      <c r="R80" s="8"/>
      <c r="S80" s="8"/>
      <c r="T80" s="8"/>
      <c r="U80" s="8"/>
      <c r="V80" s="8"/>
      <c r="W80" s="9"/>
    </row>
    <row r="81" spans="1:23" ht="15.75" x14ac:dyDescent="0.25">
      <c r="A81" s="6">
        <v>3</v>
      </c>
      <c r="B81" s="8" t="s">
        <v>24</v>
      </c>
      <c r="C81" s="8" t="s">
        <v>428</v>
      </c>
      <c r="D81" s="8"/>
      <c r="E81" s="8"/>
      <c r="F81" s="8"/>
      <c r="G81" s="8"/>
      <c r="H81" s="8"/>
      <c r="I81" s="8"/>
      <c r="J81" s="8"/>
      <c r="K81" s="8"/>
      <c r="L81" s="27"/>
      <c r="M81" s="27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3" ht="15.75" x14ac:dyDescent="0.25">
      <c r="A82" s="5">
        <v>4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</row>
    <row r="83" spans="1:23" ht="15.75" x14ac:dyDescent="0.25">
      <c r="A83" s="5">
        <v>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</row>
    <row r="84" spans="1:23" ht="16.5" thickBot="1" x14ac:dyDescent="0.3">
      <c r="A84" s="7">
        <v>6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6" spans="1:23" ht="15.75" thickBot="1" x14ac:dyDescent="0.3"/>
    <row r="87" spans="1:23" ht="15.75" x14ac:dyDescent="0.25">
      <c r="A87" s="100" t="s">
        <v>260</v>
      </c>
      <c r="B87" s="101"/>
      <c r="C87" s="111" t="s">
        <v>354</v>
      </c>
      <c r="D87" s="112"/>
      <c r="E87" s="111" t="s">
        <v>496</v>
      </c>
      <c r="F87" s="112"/>
      <c r="G87" s="101" t="s">
        <v>4</v>
      </c>
      <c r="H87" s="101"/>
      <c r="I87" s="102" t="s">
        <v>427</v>
      </c>
      <c r="J87" s="102"/>
      <c r="K87" s="102"/>
      <c r="L87" s="102"/>
      <c r="M87" s="102"/>
      <c r="N87" s="102"/>
      <c r="O87" s="101" t="s">
        <v>6</v>
      </c>
      <c r="P87" s="101"/>
      <c r="Q87" s="103"/>
      <c r="R87" s="104"/>
      <c r="S87" s="104"/>
      <c r="T87" s="104"/>
      <c r="U87" s="104"/>
      <c r="V87" s="104"/>
      <c r="W87" s="105"/>
    </row>
    <row r="88" spans="1:23" ht="15.75" x14ac:dyDescent="0.25">
      <c r="A88" s="106" t="s">
        <v>7</v>
      </c>
      <c r="B88" s="107"/>
      <c r="C88" s="116" t="s">
        <v>44</v>
      </c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09"/>
      <c r="P88" s="109"/>
      <c r="Q88" s="107"/>
      <c r="R88" s="107"/>
      <c r="S88" s="107"/>
      <c r="T88" s="107"/>
      <c r="U88" s="107"/>
      <c r="V88" s="107"/>
      <c r="W88" s="110"/>
    </row>
    <row r="89" spans="1:23" x14ac:dyDescent="0.25">
      <c r="A89" s="113" t="s">
        <v>8</v>
      </c>
      <c r="B89" s="114" t="s">
        <v>9</v>
      </c>
      <c r="C89" s="114" t="s">
        <v>10</v>
      </c>
      <c r="D89" s="114" t="s">
        <v>11</v>
      </c>
      <c r="E89" s="114" t="s">
        <v>12</v>
      </c>
      <c r="F89" s="114" t="s">
        <v>13</v>
      </c>
      <c r="G89" s="114" t="s">
        <v>14</v>
      </c>
      <c r="H89" s="114"/>
      <c r="I89" s="114"/>
      <c r="J89" s="114"/>
      <c r="K89" s="114"/>
      <c r="L89" s="114"/>
      <c r="M89" s="114" t="s">
        <v>15</v>
      </c>
      <c r="N89" s="114" t="s">
        <v>16</v>
      </c>
      <c r="O89" s="114" t="s">
        <v>17</v>
      </c>
      <c r="P89" s="114" t="s">
        <v>18</v>
      </c>
      <c r="Q89" s="114" t="s">
        <v>19</v>
      </c>
      <c r="R89" s="114"/>
      <c r="S89" s="114"/>
      <c r="T89" s="114"/>
      <c r="U89" s="114"/>
      <c r="V89" s="114"/>
      <c r="W89" s="115" t="s">
        <v>20</v>
      </c>
    </row>
    <row r="90" spans="1:23" x14ac:dyDescent="0.25">
      <c r="A90" s="113"/>
      <c r="B90" s="114"/>
      <c r="C90" s="114"/>
      <c r="D90" s="114"/>
      <c r="E90" s="114"/>
      <c r="F90" s="114"/>
      <c r="G90" s="31" t="s">
        <v>21</v>
      </c>
      <c r="H90" s="31" t="s">
        <v>21</v>
      </c>
      <c r="I90" s="31" t="s">
        <v>21</v>
      </c>
      <c r="J90" s="31" t="s">
        <v>22</v>
      </c>
      <c r="K90" s="31" t="s">
        <v>22</v>
      </c>
      <c r="L90" s="32" t="s">
        <v>22</v>
      </c>
      <c r="M90" s="138"/>
      <c r="N90" s="114"/>
      <c r="O90" s="114"/>
      <c r="P90" s="114"/>
      <c r="Q90" s="31" t="s">
        <v>21</v>
      </c>
      <c r="R90" s="31" t="s">
        <v>21</v>
      </c>
      <c r="S90" s="31" t="s">
        <v>21</v>
      </c>
      <c r="T90" s="31" t="s">
        <v>22</v>
      </c>
      <c r="U90" s="31" t="s">
        <v>22</v>
      </c>
      <c r="V90" s="31" t="s">
        <v>22</v>
      </c>
      <c r="W90" s="115"/>
    </row>
    <row r="91" spans="1:23" ht="15.75" x14ac:dyDescent="0.25">
      <c r="A91" s="5">
        <v>1</v>
      </c>
      <c r="B91" s="21" t="s">
        <v>351</v>
      </c>
      <c r="C91" s="20">
        <v>45939</v>
      </c>
      <c r="D91" s="36" t="s">
        <v>283</v>
      </c>
      <c r="E91" s="21"/>
      <c r="F91" s="21"/>
      <c r="G91" s="21"/>
      <c r="H91" s="21"/>
      <c r="I91" s="21"/>
      <c r="J91" s="21"/>
      <c r="K91" s="24"/>
      <c r="L91" s="29"/>
      <c r="M91" s="57"/>
      <c r="O91" s="21"/>
      <c r="P91" s="21"/>
      <c r="Q91" s="21"/>
      <c r="R91" s="21"/>
      <c r="S91" s="21"/>
      <c r="T91" s="21"/>
      <c r="U91" s="21"/>
      <c r="V91" s="21"/>
      <c r="W91" s="22"/>
    </row>
    <row r="92" spans="1:23" ht="15.75" x14ac:dyDescent="0.25">
      <c r="A92" s="6">
        <v>2</v>
      </c>
      <c r="B92" s="21" t="s">
        <v>351</v>
      </c>
      <c r="C92" s="13">
        <v>46006</v>
      </c>
      <c r="D92" s="13">
        <v>46029</v>
      </c>
      <c r="E92" s="21">
        <v>3</v>
      </c>
      <c r="F92" s="21">
        <v>1</v>
      </c>
      <c r="G92" s="21">
        <v>120</v>
      </c>
      <c r="H92" s="21"/>
      <c r="I92" s="21"/>
      <c r="J92" s="21">
        <v>118</v>
      </c>
      <c r="K92" s="24"/>
      <c r="L92" s="29"/>
      <c r="M92" s="77">
        <f>AVERAGE(G92:L92)</f>
        <v>119</v>
      </c>
      <c r="N92" s="26">
        <v>46055</v>
      </c>
      <c r="O92" s="8">
        <v>2</v>
      </c>
      <c r="P92" s="8">
        <v>0</v>
      </c>
      <c r="Q92" s="8">
        <v>311</v>
      </c>
      <c r="R92" s="8"/>
      <c r="S92" s="8"/>
      <c r="T92" s="8">
        <v>329</v>
      </c>
      <c r="U92" s="8"/>
      <c r="V92" s="8"/>
      <c r="W92" s="78">
        <f>AVERAGE(Q92:V92)</f>
        <v>320</v>
      </c>
    </row>
    <row r="93" spans="1:23" ht="15.75" x14ac:dyDescent="0.25">
      <c r="A93" s="6">
        <v>3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27"/>
      <c r="M93" s="27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5.75" x14ac:dyDescent="0.25">
      <c r="A94" s="5">
        <v>4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</row>
    <row r="95" spans="1:23" ht="15.75" x14ac:dyDescent="0.25">
      <c r="A95" s="5">
        <v>5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/>
    </row>
    <row r="96" spans="1:23" ht="16.5" thickBot="1" x14ac:dyDescent="0.3">
      <c r="A96" s="7">
        <v>6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8" spans="1:23" ht="15.75" thickBot="1" x14ac:dyDescent="0.3"/>
    <row r="99" spans="1:23" ht="15.75" x14ac:dyDescent="0.25">
      <c r="A99" s="100" t="s">
        <v>260</v>
      </c>
      <c r="B99" s="101"/>
      <c r="C99" s="111" t="s">
        <v>355</v>
      </c>
      <c r="D99" s="112"/>
      <c r="E99" s="111" t="s">
        <v>496</v>
      </c>
      <c r="F99" s="112"/>
      <c r="G99" s="101" t="s">
        <v>4</v>
      </c>
      <c r="H99" s="101"/>
      <c r="I99" s="102" t="s">
        <v>427</v>
      </c>
      <c r="J99" s="102"/>
      <c r="K99" s="102"/>
      <c r="L99" s="102"/>
      <c r="M99" s="102"/>
      <c r="N99" s="102"/>
      <c r="O99" s="101" t="s">
        <v>6</v>
      </c>
      <c r="P99" s="101"/>
      <c r="Q99" s="103"/>
      <c r="R99" s="104"/>
      <c r="S99" s="104"/>
      <c r="T99" s="104"/>
      <c r="U99" s="104"/>
      <c r="V99" s="104"/>
      <c r="W99" s="105"/>
    </row>
    <row r="100" spans="1:23" ht="15.75" x14ac:dyDescent="0.25">
      <c r="A100" s="106" t="s">
        <v>7</v>
      </c>
      <c r="B100" s="107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7"/>
      <c r="R100" s="107"/>
      <c r="S100" s="107"/>
      <c r="T100" s="107"/>
      <c r="U100" s="107"/>
      <c r="V100" s="107"/>
      <c r="W100" s="110"/>
    </row>
    <row r="101" spans="1:23" x14ac:dyDescent="0.25">
      <c r="A101" s="113" t="s">
        <v>8</v>
      </c>
      <c r="B101" s="114" t="s">
        <v>9</v>
      </c>
      <c r="C101" s="114" t="s">
        <v>10</v>
      </c>
      <c r="D101" s="114" t="s">
        <v>11</v>
      </c>
      <c r="E101" s="114" t="s">
        <v>12</v>
      </c>
      <c r="F101" s="114" t="s">
        <v>13</v>
      </c>
      <c r="G101" s="114" t="s">
        <v>14</v>
      </c>
      <c r="H101" s="114"/>
      <c r="I101" s="114"/>
      <c r="J101" s="114"/>
      <c r="K101" s="114"/>
      <c r="L101" s="114"/>
      <c r="M101" s="114" t="s">
        <v>15</v>
      </c>
      <c r="N101" s="114" t="s">
        <v>16</v>
      </c>
      <c r="O101" s="114" t="s">
        <v>17</v>
      </c>
      <c r="P101" s="114" t="s">
        <v>18</v>
      </c>
      <c r="Q101" s="114" t="s">
        <v>19</v>
      </c>
      <c r="R101" s="114"/>
      <c r="S101" s="114"/>
      <c r="T101" s="114"/>
      <c r="U101" s="114"/>
      <c r="V101" s="114"/>
      <c r="W101" s="115" t="s">
        <v>20</v>
      </c>
    </row>
    <row r="102" spans="1:23" x14ac:dyDescent="0.25">
      <c r="A102" s="113"/>
      <c r="B102" s="114"/>
      <c r="C102" s="114"/>
      <c r="D102" s="114"/>
      <c r="E102" s="114"/>
      <c r="F102" s="114"/>
      <c r="G102" s="31" t="s">
        <v>21</v>
      </c>
      <c r="H102" s="31" t="s">
        <v>21</v>
      </c>
      <c r="I102" s="31" t="s">
        <v>21</v>
      </c>
      <c r="J102" s="31" t="s">
        <v>22</v>
      </c>
      <c r="K102" s="31" t="s">
        <v>22</v>
      </c>
      <c r="L102" s="32" t="s">
        <v>22</v>
      </c>
      <c r="M102" s="138"/>
      <c r="N102" s="114"/>
      <c r="O102" s="114"/>
      <c r="P102" s="114"/>
      <c r="Q102" s="31" t="s">
        <v>21</v>
      </c>
      <c r="R102" s="31" t="s">
        <v>21</v>
      </c>
      <c r="S102" s="31" t="s">
        <v>21</v>
      </c>
      <c r="T102" s="31" t="s">
        <v>22</v>
      </c>
      <c r="U102" s="31" t="s">
        <v>22</v>
      </c>
      <c r="V102" s="31" t="s">
        <v>22</v>
      </c>
      <c r="W102" s="115"/>
    </row>
    <row r="103" spans="1:23" ht="15.75" x14ac:dyDescent="0.25">
      <c r="A103" s="5">
        <v>1</v>
      </c>
      <c r="B103" s="21" t="s">
        <v>351</v>
      </c>
      <c r="C103" s="20">
        <v>45939</v>
      </c>
      <c r="D103" s="36" t="s">
        <v>428</v>
      </c>
      <c r="E103" s="21"/>
      <c r="F103" s="21"/>
      <c r="G103" s="21"/>
      <c r="H103" s="21"/>
      <c r="I103" s="21"/>
      <c r="J103" s="21"/>
      <c r="K103" s="24"/>
      <c r="L103" s="58"/>
      <c r="M103" s="63"/>
      <c r="O103" s="21"/>
      <c r="P103" s="21"/>
      <c r="Q103" s="21"/>
      <c r="R103" s="21"/>
      <c r="S103" s="21"/>
      <c r="T103" s="21"/>
      <c r="U103" s="21"/>
      <c r="V103" s="21"/>
      <c r="W103" s="22"/>
    </row>
    <row r="104" spans="1:23" ht="15.75" x14ac:dyDescent="0.25">
      <c r="A104" s="6">
        <v>2</v>
      </c>
      <c r="B104" s="21" t="s">
        <v>24</v>
      </c>
      <c r="C104" s="8"/>
      <c r="D104" s="20">
        <v>46090</v>
      </c>
      <c r="E104" s="21">
        <v>2</v>
      </c>
      <c r="F104" s="21">
        <v>0</v>
      </c>
      <c r="G104" s="21"/>
      <c r="H104" s="21"/>
      <c r="I104" s="21"/>
      <c r="J104" s="21">
        <v>118</v>
      </c>
      <c r="K104" s="24">
        <v>145</v>
      </c>
      <c r="L104" s="58"/>
      <c r="M104" s="31">
        <f>AVERAGE(G104:L104)</f>
        <v>131.5</v>
      </c>
      <c r="N104" s="26">
        <v>46133</v>
      </c>
      <c r="O104" s="21">
        <v>2</v>
      </c>
      <c r="P104" s="21">
        <v>0</v>
      </c>
      <c r="Q104" s="21"/>
      <c r="R104" s="21"/>
      <c r="S104" s="21"/>
      <c r="T104" s="21">
        <v>588</v>
      </c>
      <c r="U104" s="21">
        <v>549</v>
      </c>
      <c r="V104" s="21"/>
      <c r="W104" s="22">
        <f>AVERAGE(Q104:V104)</f>
        <v>568.5</v>
      </c>
    </row>
    <row r="105" spans="1:23" ht="15.75" x14ac:dyDescent="0.25">
      <c r="A105" s="6">
        <v>3</v>
      </c>
      <c r="B105" s="8"/>
      <c r="C105" s="8"/>
      <c r="D105" s="21"/>
      <c r="E105" s="21"/>
      <c r="F105" s="21"/>
      <c r="G105" s="21"/>
      <c r="H105" s="21"/>
      <c r="I105" s="21"/>
      <c r="J105" s="21"/>
      <c r="K105" s="21"/>
      <c r="L105" s="44"/>
      <c r="M105" s="44"/>
      <c r="N105" s="21"/>
      <c r="O105" s="21"/>
      <c r="P105" s="21"/>
      <c r="Q105" s="21"/>
      <c r="R105" s="21"/>
      <c r="S105" s="21"/>
      <c r="T105" s="21"/>
      <c r="U105" s="21"/>
      <c r="V105" s="21"/>
      <c r="W105" s="22"/>
    </row>
    <row r="106" spans="1:23" ht="15.75" x14ac:dyDescent="0.25">
      <c r="A106" s="5">
        <v>4</v>
      </c>
      <c r="B106" s="8"/>
      <c r="C106" s="8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2"/>
    </row>
    <row r="107" spans="1:23" ht="15.75" x14ac:dyDescent="0.25">
      <c r="A107" s="5">
        <v>5</v>
      </c>
      <c r="B107" s="8"/>
      <c r="C107" s="8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2"/>
    </row>
    <row r="108" spans="1:23" ht="16.5" thickBot="1" x14ac:dyDescent="0.3">
      <c r="A108" s="7">
        <v>6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10" spans="1:23" ht="15.75" thickBot="1" x14ac:dyDescent="0.3"/>
    <row r="111" spans="1:23" ht="15.75" x14ac:dyDescent="0.25">
      <c r="A111" s="100" t="s">
        <v>260</v>
      </c>
      <c r="B111" s="101"/>
      <c r="C111" s="111" t="s">
        <v>434</v>
      </c>
      <c r="D111" s="112"/>
      <c r="E111" s="111" t="s">
        <v>412</v>
      </c>
      <c r="F111" s="112"/>
      <c r="G111" s="101" t="s">
        <v>4</v>
      </c>
      <c r="H111" s="101"/>
      <c r="I111" s="102" t="s">
        <v>366</v>
      </c>
      <c r="J111" s="102"/>
      <c r="K111" s="102"/>
      <c r="L111" s="102"/>
      <c r="M111" s="102"/>
      <c r="N111" s="102"/>
      <c r="O111" s="101" t="s">
        <v>6</v>
      </c>
      <c r="P111" s="101"/>
      <c r="Q111" s="103"/>
      <c r="R111" s="104"/>
      <c r="S111" s="104"/>
      <c r="T111" s="104"/>
      <c r="U111" s="104"/>
      <c r="V111" s="104"/>
      <c r="W111" s="105"/>
    </row>
    <row r="112" spans="1:23" ht="15.75" x14ac:dyDescent="0.25">
      <c r="A112" s="106" t="s">
        <v>7</v>
      </c>
      <c r="B112" s="107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7"/>
      <c r="R112" s="107"/>
      <c r="S112" s="107"/>
      <c r="T112" s="107"/>
      <c r="U112" s="107"/>
      <c r="V112" s="107"/>
      <c r="W112" s="110"/>
    </row>
    <row r="113" spans="1:23" x14ac:dyDescent="0.25">
      <c r="A113" s="113" t="s">
        <v>8</v>
      </c>
      <c r="B113" s="114" t="s">
        <v>9</v>
      </c>
      <c r="C113" s="114" t="s">
        <v>10</v>
      </c>
      <c r="D113" s="114" t="s">
        <v>11</v>
      </c>
      <c r="E113" s="114" t="s">
        <v>12</v>
      </c>
      <c r="F113" s="114" t="s">
        <v>13</v>
      </c>
      <c r="G113" s="114" t="s">
        <v>14</v>
      </c>
      <c r="H113" s="114"/>
      <c r="I113" s="114"/>
      <c r="J113" s="114"/>
      <c r="K113" s="114"/>
      <c r="L113" s="114"/>
      <c r="M113" s="114" t="s">
        <v>15</v>
      </c>
      <c r="N113" s="114" t="s">
        <v>16</v>
      </c>
      <c r="O113" s="114" t="s">
        <v>17</v>
      </c>
      <c r="P113" s="114" t="s">
        <v>18</v>
      </c>
      <c r="Q113" s="114" t="s">
        <v>19</v>
      </c>
      <c r="R113" s="114"/>
      <c r="S113" s="114"/>
      <c r="T113" s="114"/>
      <c r="U113" s="114"/>
      <c r="V113" s="114"/>
      <c r="W113" s="115" t="s">
        <v>20</v>
      </c>
    </row>
    <row r="114" spans="1:23" x14ac:dyDescent="0.25">
      <c r="A114" s="113"/>
      <c r="B114" s="114"/>
      <c r="C114" s="114"/>
      <c r="D114" s="114"/>
      <c r="E114" s="114"/>
      <c r="F114" s="114"/>
      <c r="G114" s="31" t="s">
        <v>21</v>
      </c>
      <c r="H114" s="31" t="s">
        <v>21</v>
      </c>
      <c r="I114" s="31" t="s">
        <v>21</v>
      </c>
      <c r="J114" s="31" t="s">
        <v>22</v>
      </c>
      <c r="K114" s="31" t="s">
        <v>22</v>
      </c>
      <c r="L114" s="32" t="s">
        <v>22</v>
      </c>
      <c r="M114" s="138"/>
      <c r="N114" s="114"/>
      <c r="O114" s="114"/>
      <c r="P114" s="114"/>
      <c r="Q114" s="31" t="s">
        <v>21</v>
      </c>
      <c r="R114" s="31" t="s">
        <v>21</v>
      </c>
      <c r="S114" s="31" t="s">
        <v>21</v>
      </c>
      <c r="T114" s="31" t="s">
        <v>22</v>
      </c>
      <c r="U114" s="31" t="s">
        <v>22</v>
      </c>
      <c r="V114" s="31" t="s">
        <v>22</v>
      </c>
      <c r="W114" s="115"/>
    </row>
    <row r="115" spans="1:23" ht="15.75" x14ac:dyDescent="0.25">
      <c r="A115" s="5">
        <v>1</v>
      </c>
      <c r="B115" s="21" t="s">
        <v>241</v>
      </c>
      <c r="C115" s="20">
        <v>46039</v>
      </c>
      <c r="D115" s="36" t="s">
        <v>428</v>
      </c>
      <c r="E115" s="21"/>
      <c r="F115" s="21"/>
      <c r="G115" s="21"/>
      <c r="H115" s="21"/>
      <c r="I115" s="21"/>
      <c r="J115" s="21"/>
      <c r="K115" s="24"/>
      <c r="L115" s="29"/>
      <c r="M115" s="165"/>
      <c r="O115" s="21"/>
      <c r="P115" s="21"/>
      <c r="Q115" s="21"/>
      <c r="R115" s="21"/>
      <c r="S115" s="21"/>
      <c r="T115" s="21"/>
      <c r="U115" s="21"/>
      <c r="V115" s="21"/>
      <c r="W115" s="22"/>
    </row>
    <row r="116" spans="1:23" ht="15.75" x14ac:dyDescent="0.25">
      <c r="A116" s="6">
        <v>2</v>
      </c>
      <c r="B116" s="21" t="s">
        <v>241</v>
      </c>
      <c r="C116" s="13">
        <v>46148</v>
      </c>
      <c r="D116" s="8"/>
      <c r="E116" s="8"/>
      <c r="F116" s="8"/>
      <c r="G116" s="8"/>
      <c r="H116" s="8"/>
      <c r="I116" s="8"/>
      <c r="J116" s="8"/>
      <c r="K116" s="25"/>
      <c r="L116" s="30"/>
      <c r="M116" s="165"/>
      <c r="N116" s="26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6">
        <v>3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27"/>
      <c r="M117" s="27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5.75" x14ac:dyDescent="0.25">
      <c r="A118" s="5">
        <v>4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</row>
    <row r="119" spans="1:23" ht="15.75" x14ac:dyDescent="0.25">
      <c r="A119" s="5">
        <v>5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9"/>
    </row>
    <row r="120" spans="1:23" ht="16.5" thickBot="1" x14ac:dyDescent="0.3">
      <c r="A120" s="7">
        <v>6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2" spans="1:23" ht="15.75" thickBot="1" x14ac:dyDescent="0.3"/>
    <row r="123" spans="1:23" ht="15.75" x14ac:dyDescent="0.25">
      <c r="A123" s="100" t="s">
        <v>260</v>
      </c>
      <c r="B123" s="101"/>
      <c r="C123" s="111" t="s">
        <v>438</v>
      </c>
      <c r="D123" s="112"/>
      <c r="E123" s="111" t="s">
        <v>413</v>
      </c>
      <c r="F123" s="112"/>
      <c r="G123" s="101" t="s">
        <v>4</v>
      </c>
      <c r="H123" s="101"/>
      <c r="I123" s="102" t="s">
        <v>366</v>
      </c>
      <c r="J123" s="102"/>
      <c r="K123" s="102"/>
      <c r="L123" s="102"/>
      <c r="M123" s="102"/>
      <c r="N123" s="102"/>
      <c r="O123" s="101" t="s">
        <v>6</v>
      </c>
      <c r="P123" s="101"/>
      <c r="Q123" s="103"/>
      <c r="R123" s="104"/>
      <c r="S123" s="104"/>
      <c r="T123" s="104"/>
      <c r="U123" s="104"/>
      <c r="V123" s="104"/>
      <c r="W123" s="105"/>
    </row>
    <row r="124" spans="1:23" ht="15.75" x14ac:dyDescent="0.25">
      <c r="A124" s="106" t="s">
        <v>7</v>
      </c>
      <c r="B124" s="107"/>
      <c r="C124" s="116" t="s">
        <v>44</v>
      </c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09"/>
      <c r="P124" s="109"/>
      <c r="Q124" s="107"/>
      <c r="R124" s="107"/>
      <c r="S124" s="107"/>
      <c r="T124" s="107"/>
      <c r="U124" s="107"/>
      <c r="V124" s="107"/>
      <c r="W124" s="110"/>
    </row>
    <row r="125" spans="1:23" x14ac:dyDescent="0.25">
      <c r="A125" s="113" t="s">
        <v>8</v>
      </c>
      <c r="B125" s="114" t="s">
        <v>9</v>
      </c>
      <c r="C125" s="114" t="s">
        <v>10</v>
      </c>
      <c r="D125" s="114" t="s">
        <v>11</v>
      </c>
      <c r="E125" s="114" t="s">
        <v>12</v>
      </c>
      <c r="F125" s="114" t="s">
        <v>13</v>
      </c>
      <c r="G125" s="114" t="s">
        <v>14</v>
      </c>
      <c r="H125" s="114"/>
      <c r="I125" s="114"/>
      <c r="J125" s="114"/>
      <c r="K125" s="114"/>
      <c r="L125" s="114"/>
      <c r="M125" s="114" t="s">
        <v>15</v>
      </c>
      <c r="N125" s="114" t="s">
        <v>16</v>
      </c>
      <c r="O125" s="114" t="s">
        <v>17</v>
      </c>
      <c r="P125" s="114" t="s">
        <v>18</v>
      </c>
      <c r="Q125" s="114" t="s">
        <v>19</v>
      </c>
      <c r="R125" s="114"/>
      <c r="S125" s="114"/>
      <c r="T125" s="114"/>
      <c r="U125" s="114"/>
      <c r="V125" s="114"/>
      <c r="W125" s="115" t="s">
        <v>20</v>
      </c>
    </row>
    <row r="126" spans="1:23" x14ac:dyDescent="0.25">
      <c r="A126" s="113"/>
      <c r="B126" s="114"/>
      <c r="C126" s="114"/>
      <c r="D126" s="114"/>
      <c r="E126" s="114"/>
      <c r="F126" s="114"/>
      <c r="G126" s="31" t="s">
        <v>21</v>
      </c>
      <c r="H126" s="31" t="s">
        <v>21</v>
      </c>
      <c r="I126" s="31" t="s">
        <v>21</v>
      </c>
      <c r="J126" s="31" t="s">
        <v>22</v>
      </c>
      <c r="K126" s="31" t="s">
        <v>22</v>
      </c>
      <c r="L126" s="32" t="s">
        <v>22</v>
      </c>
      <c r="M126" s="138"/>
      <c r="N126" s="114"/>
      <c r="O126" s="114"/>
      <c r="P126" s="114"/>
      <c r="Q126" s="31" t="s">
        <v>21</v>
      </c>
      <c r="R126" s="31" t="s">
        <v>21</v>
      </c>
      <c r="S126" s="31" t="s">
        <v>21</v>
      </c>
      <c r="T126" s="31" t="s">
        <v>22</v>
      </c>
      <c r="U126" s="31" t="s">
        <v>22</v>
      </c>
      <c r="V126" s="31" t="s">
        <v>22</v>
      </c>
      <c r="W126" s="115"/>
    </row>
    <row r="127" spans="1:23" ht="15.75" x14ac:dyDescent="0.25">
      <c r="A127" s="5">
        <v>1</v>
      </c>
      <c r="B127" s="21" t="s">
        <v>251</v>
      </c>
      <c r="C127" s="20">
        <v>46039</v>
      </c>
      <c r="D127" s="36" t="s">
        <v>428</v>
      </c>
      <c r="E127" s="21"/>
      <c r="F127" s="21"/>
      <c r="G127" s="21"/>
      <c r="H127" s="21"/>
      <c r="I127" s="21"/>
      <c r="J127" s="21"/>
      <c r="K127" s="24"/>
      <c r="L127" s="29"/>
      <c r="M127" s="57"/>
      <c r="O127" s="21"/>
      <c r="P127" s="21"/>
      <c r="Q127" s="21"/>
      <c r="R127" s="21"/>
      <c r="S127" s="21"/>
      <c r="T127" s="21"/>
      <c r="U127" s="21"/>
      <c r="V127" s="21"/>
      <c r="W127" s="22"/>
    </row>
    <row r="128" spans="1:23" ht="15.75" x14ac:dyDescent="0.25">
      <c r="A128" s="6">
        <v>2</v>
      </c>
      <c r="B128" s="21" t="s">
        <v>251</v>
      </c>
      <c r="C128" s="13">
        <v>46148</v>
      </c>
      <c r="D128" s="8"/>
      <c r="E128" s="8"/>
      <c r="F128" s="8"/>
      <c r="G128" s="8"/>
      <c r="H128" s="8"/>
      <c r="I128" s="8"/>
      <c r="J128" s="8"/>
      <c r="K128" s="25"/>
      <c r="L128" s="30"/>
      <c r="M128" s="57"/>
      <c r="N128" s="26"/>
      <c r="O128" s="8"/>
      <c r="P128" s="8"/>
      <c r="Q128" s="8"/>
      <c r="R128" s="8"/>
      <c r="S128" s="8"/>
      <c r="T128" s="8"/>
      <c r="U128" s="8"/>
      <c r="V128" s="8"/>
      <c r="W128" s="9"/>
    </row>
    <row r="129" spans="1:23" ht="15.75" x14ac:dyDescent="0.25">
      <c r="A129" s="6">
        <v>3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27"/>
      <c r="M129" s="27"/>
      <c r="N129" s="8"/>
      <c r="O129" s="8"/>
      <c r="P129" s="8"/>
      <c r="Q129" s="8"/>
      <c r="R129" s="8"/>
      <c r="S129" s="8"/>
      <c r="T129" s="8"/>
      <c r="U129" s="8"/>
      <c r="V129" s="8"/>
      <c r="W129" s="9"/>
    </row>
    <row r="130" spans="1:23" ht="15.75" x14ac:dyDescent="0.25">
      <c r="A130" s="5">
        <v>4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9"/>
    </row>
    <row r="131" spans="1:23" ht="15.75" x14ac:dyDescent="0.25">
      <c r="A131" s="5">
        <v>5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</row>
    <row r="132" spans="1:23" ht="16.5" thickBot="1" x14ac:dyDescent="0.3">
      <c r="A132" s="7">
        <v>6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4" spans="1:23" ht="15.75" thickBot="1" x14ac:dyDescent="0.3"/>
    <row r="135" spans="1:23" ht="15.75" x14ac:dyDescent="0.25">
      <c r="A135" s="100" t="s">
        <v>260</v>
      </c>
      <c r="B135" s="101"/>
      <c r="C135" s="111" t="s">
        <v>439</v>
      </c>
      <c r="D135" s="112"/>
      <c r="E135" s="111" t="s">
        <v>413</v>
      </c>
      <c r="F135" s="112"/>
      <c r="G135" s="101" t="s">
        <v>4</v>
      </c>
      <c r="H135" s="101"/>
      <c r="I135" s="102" t="s">
        <v>366</v>
      </c>
      <c r="J135" s="102"/>
      <c r="K135" s="102"/>
      <c r="L135" s="102"/>
      <c r="M135" s="102"/>
      <c r="N135" s="102"/>
      <c r="O135" s="101" t="s">
        <v>6</v>
      </c>
      <c r="P135" s="101"/>
      <c r="Q135" s="103"/>
      <c r="R135" s="104"/>
      <c r="S135" s="104"/>
      <c r="T135" s="104"/>
      <c r="U135" s="104"/>
      <c r="V135" s="104"/>
      <c r="W135" s="105"/>
    </row>
    <row r="136" spans="1:23" ht="15.75" x14ac:dyDescent="0.25">
      <c r="A136" s="106" t="s">
        <v>7</v>
      </c>
      <c r="B136" s="107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7"/>
      <c r="R136" s="107"/>
      <c r="S136" s="107"/>
      <c r="T136" s="107"/>
      <c r="U136" s="107"/>
      <c r="V136" s="107"/>
      <c r="W136" s="110"/>
    </row>
    <row r="137" spans="1:23" x14ac:dyDescent="0.25">
      <c r="A137" s="113" t="s">
        <v>8</v>
      </c>
      <c r="B137" s="114" t="s">
        <v>9</v>
      </c>
      <c r="C137" s="114" t="s">
        <v>10</v>
      </c>
      <c r="D137" s="114" t="s">
        <v>11</v>
      </c>
      <c r="E137" s="114" t="s">
        <v>12</v>
      </c>
      <c r="F137" s="114" t="s">
        <v>13</v>
      </c>
      <c r="G137" s="114" t="s">
        <v>14</v>
      </c>
      <c r="H137" s="114"/>
      <c r="I137" s="114"/>
      <c r="J137" s="114"/>
      <c r="K137" s="114"/>
      <c r="L137" s="114"/>
      <c r="M137" s="114" t="s">
        <v>15</v>
      </c>
      <c r="N137" s="114" t="s">
        <v>16</v>
      </c>
      <c r="O137" s="114" t="s">
        <v>17</v>
      </c>
      <c r="P137" s="114" t="s">
        <v>18</v>
      </c>
      <c r="Q137" s="114" t="s">
        <v>19</v>
      </c>
      <c r="R137" s="114"/>
      <c r="S137" s="114"/>
      <c r="T137" s="114"/>
      <c r="U137" s="114"/>
      <c r="V137" s="114"/>
      <c r="W137" s="115" t="s">
        <v>20</v>
      </c>
    </row>
    <row r="138" spans="1:23" x14ac:dyDescent="0.25">
      <c r="A138" s="113"/>
      <c r="B138" s="114"/>
      <c r="C138" s="114"/>
      <c r="D138" s="114"/>
      <c r="E138" s="114"/>
      <c r="F138" s="114"/>
      <c r="G138" s="31" t="s">
        <v>21</v>
      </c>
      <c r="H138" s="31" t="s">
        <v>21</v>
      </c>
      <c r="I138" s="31" t="s">
        <v>21</v>
      </c>
      <c r="J138" s="31" t="s">
        <v>22</v>
      </c>
      <c r="K138" s="31" t="s">
        <v>22</v>
      </c>
      <c r="L138" s="32" t="s">
        <v>22</v>
      </c>
      <c r="M138" s="138"/>
      <c r="N138" s="114"/>
      <c r="O138" s="114"/>
      <c r="P138" s="114"/>
      <c r="Q138" s="31" t="s">
        <v>21</v>
      </c>
      <c r="R138" s="31" t="s">
        <v>21</v>
      </c>
      <c r="S138" s="31" t="s">
        <v>21</v>
      </c>
      <c r="T138" s="31" t="s">
        <v>22</v>
      </c>
      <c r="U138" s="31" t="s">
        <v>22</v>
      </c>
      <c r="V138" s="31" t="s">
        <v>22</v>
      </c>
      <c r="W138" s="115"/>
    </row>
    <row r="139" spans="1:23" ht="15.75" x14ac:dyDescent="0.25">
      <c r="A139" s="5">
        <v>1</v>
      </c>
      <c r="B139" s="21" t="s">
        <v>251</v>
      </c>
      <c r="C139" s="20">
        <v>46039</v>
      </c>
      <c r="D139" s="36">
        <v>46118</v>
      </c>
      <c r="E139" s="21">
        <v>4</v>
      </c>
      <c r="F139" s="21">
        <v>0</v>
      </c>
      <c r="G139" s="21">
        <v>122</v>
      </c>
      <c r="H139" s="21">
        <v>120</v>
      </c>
      <c r="I139" s="21">
        <v>117</v>
      </c>
      <c r="J139" s="21">
        <v>107</v>
      </c>
      <c r="K139" s="24"/>
      <c r="L139" s="29"/>
      <c r="M139" s="57">
        <f>AVERAGE(G139:L139)</f>
        <v>116.5</v>
      </c>
      <c r="N139" s="70">
        <v>46139</v>
      </c>
      <c r="O139" s="21">
        <v>4</v>
      </c>
      <c r="P139" s="21">
        <v>0</v>
      </c>
      <c r="Q139" s="21">
        <v>218</v>
      </c>
      <c r="R139" s="21">
        <v>260</v>
      </c>
      <c r="S139" s="21">
        <v>266</v>
      </c>
      <c r="T139" s="21">
        <v>280</v>
      </c>
      <c r="U139" s="21"/>
      <c r="V139" s="21"/>
      <c r="W139" s="22">
        <f>AVERAGE(Q139:V139)</f>
        <v>256</v>
      </c>
    </row>
    <row r="140" spans="1:23" ht="15.75" x14ac:dyDescent="0.25">
      <c r="A140" s="6">
        <v>2</v>
      </c>
      <c r="B140" s="21" t="s">
        <v>251</v>
      </c>
      <c r="C140" s="13">
        <v>46148</v>
      </c>
      <c r="D140" s="8"/>
      <c r="E140" s="8"/>
      <c r="F140" s="8"/>
      <c r="G140" s="8"/>
      <c r="H140" s="8"/>
      <c r="I140" s="8"/>
      <c r="J140" s="8"/>
      <c r="K140" s="25"/>
      <c r="L140" s="30"/>
      <c r="M140" s="57"/>
      <c r="N140" s="26"/>
      <c r="O140" s="8"/>
      <c r="P140" s="8"/>
      <c r="Q140" s="8"/>
      <c r="R140" s="8"/>
      <c r="S140" s="8"/>
      <c r="T140" s="8"/>
      <c r="U140" s="8"/>
      <c r="V140" s="8"/>
      <c r="W140" s="9"/>
    </row>
    <row r="141" spans="1:23" ht="15.75" x14ac:dyDescent="0.25">
      <c r="A141" s="6">
        <v>3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27"/>
      <c r="M141" s="27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spans="1:23" ht="15.75" x14ac:dyDescent="0.25">
      <c r="A142" s="5">
        <v>4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</row>
    <row r="143" spans="1:23" ht="15.75" x14ac:dyDescent="0.25">
      <c r="A143" s="5">
        <v>5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</row>
    <row r="144" spans="1:23" ht="16.5" thickBot="1" x14ac:dyDescent="0.3">
      <c r="A144" s="7">
        <v>6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6" spans="1:23" ht="15.75" thickBot="1" x14ac:dyDescent="0.3"/>
    <row r="147" spans="1:23" ht="15.75" x14ac:dyDescent="0.25">
      <c r="A147" s="100" t="s">
        <v>260</v>
      </c>
      <c r="B147" s="101"/>
      <c r="C147" s="111" t="s">
        <v>440</v>
      </c>
      <c r="D147" s="112"/>
      <c r="E147" s="111" t="s">
        <v>413</v>
      </c>
      <c r="F147" s="112"/>
      <c r="G147" s="101" t="s">
        <v>4</v>
      </c>
      <c r="H147" s="101"/>
      <c r="I147" s="102" t="s">
        <v>366</v>
      </c>
      <c r="J147" s="102"/>
      <c r="K147" s="102"/>
      <c r="L147" s="102"/>
      <c r="M147" s="102"/>
      <c r="N147" s="102"/>
      <c r="O147" s="101" t="s">
        <v>6</v>
      </c>
      <c r="P147" s="101"/>
      <c r="Q147" s="103"/>
      <c r="R147" s="104"/>
      <c r="S147" s="104"/>
      <c r="T147" s="104"/>
      <c r="U147" s="104"/>
      <c r="V147" s="104"/>
      <c r="W147" s="105"/>
    </row>
    <row r="148" spans="1:23" ht="15.75" x14ac:dyDescent="0.25">
      <c r="A148" s="106" t="s">
        <v>7</v>
      </c>
      <c r="B148" s="107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7"/>
      <c r="R148" s="107"/>
      <c r="S148" s="107"/>
      <c r="T148" s="107"/>
      <c r="U148" s="107"/>
      <c r="V148" s="107"/>
      <c r="W148" s="110"/>
    </row>
    <row r="149" spans="1:23" x14ac:dyDescent="0.25">
      <c r="A149" s="113" t="s">
        <v>8</v>
      </c>
      <c r="B149" s="114" t="s">
        <v>9</v>
      </c>
      <c r="C149" s="114" t="s">
        <v>10</v>
      </c>
      <c r="D149" s="114" t="s">
        <v>11</v>
      </c>
      <c r="E149" s="114" t="s">
        <v>12</v>
      </c>
      <c r="F149" s="114" t="s">
        <v>13</v>
      </c>
      <c r="G149" s="114" t="s">
        <v>14</v>
      </c>
      <c r="H149" s="114"/>
      <c r="I149" s="114"/>
      <c r="J149" s="114"/>
      <c r="K149" s="114"/>
      <c r="L149" s="114"/>
      <c r="M149" s="114" t="s">
        <v>15</v>
      </c>
      <c r="N149" s="114" t="s">
        <v>16</v>
      </c>
      <c r="O149" s="114" t="s">
        <v>17</v>
      </c>
      <c r="P149" s="114" t="s">
        <v>18</v>
      </c>
      <c r="Q149" s="114" t="s">
        <v>19</v>
      </c>
      <c r="R149" s="114"/>
      <c r="S149" s="114"/>
      <c r="T149" s="114"/>
      <c r="U149" s="114"/>
      <c r="V149" s="114"/>
      <c r="W149" s="115" t="s">
        <v>20</v>
      </c>
    </row>
    <row r="150" spans="1:23" x14ac:dyDescent="0.25">
      <c r="A150" s="113"/>
      <c r="B150" s="114"/>
      <c r="C150" s="114"/>
      <c r="D150" s="114"/>
      <c r="E150" s="114"/>
      <c r="F150" s="114"/>
      <c r="G150" s="31" t="s">
        <v>21</v>
      </c>
      <c r="H150" s="31" t="s">
        <v>21</v>
      </c>
      <c r="I150" s="31" t="s">
        <v>21</v>
      </c>
      <c r="J150" s="31" t="s">
        <v>22</v>
      </c>
      <c r="K150" s="31" t="s">
        <v>22</v>
      </c>
      <c r="L150" s="32" t="s">
        <v>22</v>
      </c>
      <c r="M150" s="138"/>
      <c r="N150" s="114"/>
      <c r="O150" s="114"/>
      <c r="P150" s="114"/>
      <c r="Q150" s="31" t="s">
        <v>21</v>
      </c>
      <c r="R150" s="31" t="s">
        <v>21</v>
      </c>
      <c r="S150" s="31" t="s">
        <v>21</v>
      </c>
      <c r="T150" s="31" t="s">
        <v>22</v>
      </c>
      <c r="U150" s="31" t="s">
        <v>22</v>
      </c>
      <c r="V150" s="31" t="s">
        <v>22</v>
      </c>
      <c r="W150" s="115"/>
    </row>
    <row r="151" spans="1:23" ht="15.75" x14ac:dyDescent="0.25">
      <c r="A151" s="5">
        <v>1</v>
      </c>
      <c r="B151" s="21" t="s">
        <v>251</v>
      </c>
      <c r="C151" s="20">
        <v>46039</v>
      </c>
      <c r="D151" s="36">
        <v>46113</v>
      </c>
      <c r="E151" s="21">
        <v>3</v>
      </c>
      <c r="F151" s="21">
        <v>0</v>
      </c>
      <c r="G151" s="21">
        <v>128</v>
      </c>
      <c r="H151" s="21">
        <v>140</v>
      </c>
      <c r="I151" s="21">
        <v>129</v>
      </c>
      <c r="J151" s="21"/>
      <c r="K151" s="24"/>
      <c r="L151" s="29"/>
      <c r="M151" s="91">
        <f>AVERAGE(G151:L151)</f>
        <v>132.33333333333334</v>
      </c>
      <c r="N151" s="70">
        <v>46139</v>
      </c>
      <c r="O151" s="21">
        <v>3</v>
      </c>
      <c r="P151" s="21">
        <v>0</v>
      </c>
      <c r="Q151" s="21">
        <v>237</v>
      </c>
      <c r="R151" s="21">
        <v>277</v>
      </c>
      <c r="S151" s="21">
        <v>228</v>
      </c>
      <c r="T151" s="21"/>
      <c r="U151" s="21"/>
      <c r="V151" s="21"/>
      <c r="W151" s="22">
        <f>AVERAGE(Q151:V151)</f>
        <v>247.33333333333334</v>
      </c>
    </row>
    <row r="152" spans="1:23" ht="15.75" x14ac:dyDescent="0.25">
      <c r="A152" s="6">
        <v>2</v>
      </c>
      <c r="B152" s="21" t="s">
        <v>251</v>
      </c>
      <c r="C152" s="13">
        <v>46148</v>
      </c>
      <c r="D152" s="8"/>
      <c r="E152" s="8"/>
      <c r="F152" s="8"/>
      <c r="G152" s="8"/>
      <c r="H152" s="8"/>
      <c r="I152" s="8"/>
      <c r="J152" s="8"/>
      <c r="K152" s="25"/>
      <c r="L152" s="30"/>
      <c r="M152" s="57"/>
      <c r="N152" s="26"/>
      <c r="O152" s="8"/>
      <c r="P152" s="8"/>
      <c r="Q152" s="8"/>
      <c r="R152" s="8"/>
      <c r="S152" s="8"/>
      <c r="T152" s="8"/>
      <c r="U152" s="8"/>
      <c r="V152" s="8"/>
      <c r="W152" s="9"/>
    </row>
    <row r="153" spans="1:23" ht="15.75" x14ac:dyDescent="0.25">
      <c r="A153" s="6">
        <v>3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27"/>
      <c r="M153" s="27"/>
      <c r="N153" s="8"/>
      <c r="O153" s="8"/>
      <c r="P153" s="8"/>
      <c r="Q153" s="8"/>
      <c r="R153" s="8"/>
      <c r="S153" s="8"/>
      <c r="T153" s="8"/>
      <c r="U153" s="8"/>
      <c r="V153" s="8"/>
      <c r="W153" s="9"/>
    </row>
    <row r="154" spans="1:23" ht="15.75" x14ac:dyDescent="0.25">
      <c r="A154" s="5">
        <v>4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</row>
    <row r="155" spans="1:23" ht="15.75" x14ac:dyDescent="0.25">
      <c r="A155" s="5">
        <v>5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</row>
    <row r="156" spans="1:23" ht="16.5" thickBot="1" x14ac:dyDescent="0.3">
      <c r="A156" s="7">
        <v>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8" spans="1:23" ht="15.75" thickBot="1" x14ac:dyDescent="0.3"/>
    <row r="159" spans="1:23" ht="15.75" x14ac:dyDescent="0.25">
      <c r="A159" s="100" t="s">
        <v>260</v>
      </c>
      <c r="B159" s="101"/>
      <c r="C159" s="111" t="s">
        <v>442</v>
      </c>
      <c r="D159" s="112"/>
      <c r="E159" s="111" t="s">
        <v>413</v>
      </c>
      <c r="F159" s="112"/>
      <c r="G159" s="101" t="s">
        <v>4</v>
      </c>
      <c r="H159" s="101"/>
      <c r="I159" s="102" t="s">
        <v>366</v>
      </c>
      <c r="J159" s="102"/>
      <c r="K159" s="102"/>
      <c r="L159" s="102"/>
      <c r="M159" s="102"/>
      <c r="N159" s="102"/>
      <c r="O159" s="101" t="s">
        <v>6</v>
      </c>
      <c r="P159" s="101"/>
      <c r="Q159" s="103"/>
      <c r="R159" s="104"/>
      <c r="S159" s="104"/>
      <c r="T159" s="104"/>
      <c r="U159" s="104"/>
      <c r="V159" s="104"/>
      <c r="W159" s="105"/>
    </row>
    <row r="160" spans="1:23" ht="15.75" x14ac:dyDescent="0.25">
      <c r="A160" s="106" t="s">
        <v>7</v>
      </c>
      <c r="B160" s="107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7"/>
      <c r="R160" s="107"/>
      <c r="S160" s="107"/>
      <c r="T160" s="107"/>
      <c r="U160" s="107"/>
      <c r="V160" s="107"/>
      <c r="W160" s="110"/>
    </row>
    <row r="161" spans="1:23" x14ac:dyDescent="0.25">
      <c r="A161" s="113" t="s">
        <v>8</v>
      </c>
      <c r="B161" s="114" t="s">
        <v>9</v>
      </c>
      <c r="C161" s="114" t="s">
        <v>10</v>
      </c>
      <c r="D161" s="114" t="s">
        <v>11</v>
      </c>
      <c r="E161" s="114" t="s">
        <v>12</v>
      </c>
      <c r="F161" s="114" t="s">
        <v>13</v>
      </c>
      <c r="G161" s="114" t="s">
        <v>14</v>
      </c>
      <c r="H161" s="114"/>
      <c r="I161" s="114"/>
      <c r="J161" s="114"/>
      <c r="K161" s="114"/>
      <c r="L161" s="114"/>
      <c r="M161" s="114" t="s">
        <v>15</v>
      </c>
      <c r="N161" s="114" t="s">
        <v>16</v>
      </c>
      <c r="O161" s="114" t="s">
        <v>17</v>
      </c>
      <c r="P161" s="114" t="s">
        <v>18</v>
      </c>
      <c r="Q161" s="114" t="s">
        <v>19</v>
      </c>
      <c r="R161" s="114"/>
      <c r="S161" s="114"/>
      <c r="T161" s="114"/>
      <c r="U161" s="114"/>
      <c r="V161" s="114"/>
      <c r="W161" s="115" t="s">
        <v>20</v>
      </c>
    </row>
    <row r="162" spans="1:23" x14ac:dyDescent="0.25">
      <c r="A162" s="113"/>
      <c r="B162" s="114"/>
      <c r="C162" s="114"/>
      <c r="D162" s="114"/>
      <c r="E162" s="114"/>
      <c r="F162" s="114"/>
      <c r="G162" s="31" t="s">
        <v>21</v>
      </c>
      <c r="H162" s="31" t="s">
        <v>21</v>
      </c>
      <c r="I162" s="31" t="s">
        <v>21</v>
      </c>
      <c r="J162" s="31" t="s">
        <v>22</v>
      </c>
      <c r="K162" s="31" t="s">
        <v>22</v>
      </c>
      <c r="L162" s="32" t="s">
        <v>22</v>
      </c>
      <c r="M162" s="138"/>
      <c r="N162" s="114"/>
      <c r="O162" s="114"/>
      <c r="P162" s="114"/>
      <c r="Q162" s="31" t="s">
        <v>21</v>
      </c>
      <c r="R162" s="31" t="s">
        <v>21</v>
      </c>
      <c r="S162" s="31" t="s">
        <v>21</v>
      </c>
      <c r="T162" s="31" t="s">
        <v>22</v>
      </c>
      <c r="U162" s="31" t="s">
        <v>22</v>
      </c>
      <c r="V162" s="31" t="s">
        <v>22</v>
      </c>
      <c r="W162" s="115"/>
    </row>
    <row r="163" spans="1:23" ht="15.75" x14ac:dyDescent="0.25">
      <c r="A163" s="5">
        <v>1</v>
      </c>
      <c r="B163" s="21" t="s">
        <v>251</v>
      </c>
      <c r="C163" s="20">
        <v>46039</v>
      </c>
      <c r="D163" s="36">
        <v>46115</v>
      </c>
      <c r="E163" s="21">
        <v>3</v>
      </c>
      <c r="F163" s="21">
        <v>0</v>
      </c>
      <c r="G163" s="21">
        <v>149</v>
      </c>
      <c r="H163" s="21">
        <v>146</v>
      </c>
      <c r="I163" s="21">
        <v>145</v>
      </c>
      <c r="J163" s="21"/>
      <c r="K163" s="24"/>
      <c r="L163" s="29"/>
      <c r="M163" s="91">
        <f>AVERAGE(G163:L163)</f>
        <v>146.66666666666666</v>
      </c>
      <c r="N163" s="70">
        <v>46139</v>
      </c>
      <c r="O163" s="21">
        <v>3</v>
      </c>
      <c r="P163" s="21">
        <v>0</v>
      </c>
      <c r="Q163" s="21">
        <v>243</v>
      </c>
      <c r="R163" s="21">
        <v>212</v>
      </c>
      <c r="S163" s="21">
        <v>296</v>
      </c>
      <c r="T163" s="21"/>
      <c r="U163" s="21"/>
      <c r="V163" s="21"/>
      <c r="W163" s="40">
        <f>AVERAGE(Q163:V163)</f>
        <v>250.33333333333334</v>
      </c>
    </row>
    <row r="164" spans="1:23" ht="15.75" x14ac:dyDescent="0.25">
      <c r="A164" s="6">
        <v>2</v>
      </c>
      <c r="B164" s="21" t="s">
        <v>251</v>
      </c>
      <c r="C164" s="13">
        <v>46148</v>
      </c>
      <c r="D164" s="8"/>
      <c r="E164" s="8"/>
      <c r="F164" s="8"/>
      <c r="G164" s="8"/>
      <c r="H164" s="8"/>
      <c r="I164" s="8"/>
      <c r="J164" s="8"/>
      <c r="K164" s="25"/>
      <c r="L164" s="30"/>
      <c r="M164" s="57"/>
      <c r="N164" s="26"/>
      <c r="O164" s="8"/>
      <c r="P164" s="8"/>
      <c r="Q164" s="8"/>
      <c r="R164" s="8"/>
      <c r="S164" s="8"/>
      <c r="T164" s="8"/>
      <c r="U164" s="8"/>
      <c r="V164" s="8"/>
      <c r="W164" s="9"/>
    </row>
    <row r="165" spans="1:23" ht="15.75" x14ac:dyDescent="0.25">
      <c r="A165" s="6">
        <v>3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27"/>
      <c r="M165" s="27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spans="1:23" ht="15.75" x14ac:dyDescent="0.25">
      <c r="A166" s="5">
        <v>4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</row>
    <row r="167" spans="1:23" ht="15.75" x14ac:dyDescent="0.25">
      <c r="A167" s="5">
        <v>5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</row>
    <row r="168" spans="1:23" ht="16.5" thickBot="1" x14ac:dyDescent="0.3">
      <c r="A168" s="7">
        <v>6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70" spans="1:23" ht="15.75" thickBot="1" x14ac:dyDescent="0.3"/>
    <row r="171" spans="1:23" ht="15.75" x14ac:dyDescent="0.25">
      <c r="A171" s="100" t="s">
        <v>260</v>
      </c>
      <c r="B171" s="101"/>
      <c r="C171" s="111" t="s">
        <v>443</v>
      </c>
      <c r="D171" s="112"/>
      <c r="E171" s="111" t="s">
        <v>413</v>
      </c>
      <c r="F171" s="112"/>
      <c r="G171" s="101" t="s">
        <v>4</v>
      </c>
      <c r="H171" s="101"/>
      <c r="I171" s="102" t="s">
        <v>366</v>
      </c>
      <c r="J171" s="102"/>
      <c r="K171" s="102"/>
      <c r="L171" s="102"/>
      <c r="M171" s="102"/>
      <c r="N171" s="102"/>
      <c r="O171" s="101" t="s">
        <v>6</v>
      </c>
      <c r="P171" s="101"/>
      <c r="Q171" s="103"/>
      <c r="R171" s="104"/>
      <c r="S171" s="104"/>
      <c r="T171" s="104"/>
      <c r="U171" s="104"/>
      <c r="V171" s="104"/>
      <c r="W171" s="105"/>
    </row>
    <row r="172" spans="1:23" ht="15.75" x14ac:dyDescent="0.25">
      <c r="A172" s="106" t="s">
        <v>7</v>
      </c>
      <c r="B172" s="107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7"/>
      <c r="R172" s="107"/>
      <c r="S172" s="107"/>
      <c r="T172" s="107"/>
      <c r="U172" s="107"/>
      <c r="V172" s="107"/>
      <c r="W172" s="110"/>
    </row>
    <row r="173" spans="1:23" x14ac:dyDescent="0.25">
      <c r="A173" s="113" t="s">
        <v>8</v>
      </c>
      <c r="B173" s="114" t="s">
        <v>9</v>
      </c>
      <c r="C173" s="114" t="s">
        <v>10</v>
      </c>
      <c r="D173" s="114" t="s">
        <v>11</v>
      </c>
      <c r="E173" s="114" t="s">
        <v>12</v>
      </c>
      <c r="F173" s="114" t="s">
        <v>13</v>
      </c>
      <c r="G173" s="114" t="s">
        <v>14</v>
      </c>
      <c r="H173" s="114"/>
      <c r="I173" s="114"/>
      <c r="J173" s="114"/>
      <c r="K173" s="114"/>
      <c r="L173" s="114"/>
      <c r="M173" s="114" t="s">
        <v>15</v>
      </c>
      <c r="N173" s="114" t="s">
        <v>16</v>
      </c>
      <c r="O173" s="114" t="s">
        <v>17</v>
      </c>
      <c r="P173" s="114" t="s">
        <v>18</v>
      </c>
      <c r="Q173" s="114" t="s">
        <v>19</v>
      </c>
      <c r="R173" s="114"/>
      <c r="S173" s="114"/>
      <c r="T173" s="114"/>
      <c r="U173" s="114"/>
      <c r="V173" s="114"/>
      <c r="W173" s="115" t="s">
        <v>20</v>
      </c>
    </row>
    <row r="174" spans="1:23" x14ac:dyDescent="0.25">
      <c r="A174" s="113"/>
      <c r="B174" s="114"/>
      <c r="C174" s="114"/>
      <c r="D174" s="114"/>
      <c r="E174" s="114"/>
      <c r="F174" s="114"/>
      <c r="G174" s="31" t="s">
        <v>21</v>
      </c>
      <c r="H174" s="31" t="s">
        <v>21</v>
      </c>
      <c r="I174" s="31" t="s">
        <v>21</v>
      </c>
      <c r="J174" s="31" t="s">
        <v>22</v>
      </c>
      <c r="K174" s="31" t="s">
        <v>22</v>
      </c>
      <c r="L174" s="32" t="s">
        <v>22</v>
      </c>
      <c r="M174" s="138"/>
      <c r="N174" s="114"/>
      <c r="O174" s="114"/>
      <c r="P174" s="114"/>
      <c r="Q174" s="31" t="s">
        <v>21</v>
      </c>
      <c r="R174" s="31" t="s">
        <v>21</v>
      </c>
      <c r="S174" s="31" t="s">
        <v>21</v>
      </c>
      <c r="T174" s="31" t="s">
        <v>22</v>
      </c>
      <c r="U174" s="31" t="s">
        <v>22</v>
      </c>
      <c r="V174" s="31" t="s">
        <v>22</v>
      </c>
      <c r="W174" s="115"/>
    </row>
    <row r="175" spans="1:23" ht="15.75" x14ac:dyDescent="0.25">
      <c r="A175" s="5">
        <v>1</v>
      </c>
      <c r="B175" s="21" t="s">
        <v>251</v>
      </c>
      <c r="C175" s="20">
        <v>46039</v>
      </c>
      <c r="D175" s="36">
        <v>46120</v>
      </c>
      <c r="E175" s="21">
        <v>4</v>
      </c>
      <c r="F175" s="21">
        <v>0</v>
      </c>
      <c r="G175" s="21">
        <v>135</v>
      </c>
      <c r="H175" s="21">
        <v>122</v>
      </c>
      <c r="I175" s="21"/>
      <c r="J175" s="21">
        <v>120</v>
      </c>
      <c r="K175" s="24">
        <v>128</v>
      </c>
      <c r="L175" s="29"/>
      <c r="M175" s="91">
        <f>AVERAGE(G175:L175)</f>
        <v>126.25</v>
      </c>
      <c r="N175" s="70">
        <v>46139</v>
      </c>
      <c r="O175" s="21">
        <v>4</v>
      </c>
      <c r="P175" s="21">
        <v>0</v>
      </c>
      <c r="Q175" s="21">
        <v>233</v>
      </c>
      <c r="R175" s="21">
        <v>234</v>
      </c>
      <c r="S175" s="21"/>
      <c r="T175" s="21">
        <v>281</v>
      </c>
      <c r="U175" s="21">
        <v>259</v>
      </c>
      <c r="V175" s="21"/>
      <c r="W175" s="22">
        <f>AVERAGE(Q175:V175)</f>
        <v>251.75</v>
      </c>
    </row>
    <row r="176" spans="1:23" ht="15.75" x14ac:dyDescent="0.25">
      <c r="A176" s="6">
        <v>2</v>
      </c>
      <c r="B176" s="21" t="s">
        <v>251</v>
      </c>
      <c r="C176" s="13">
        <v>46148</v>
      </c>
      <c r="D176" s="8"/>
      <c r="E176" s="8"/>
      <c r="F176" s="8"/>
      <c r="G176" s="8"/>
      <c r="H176" s="8"/>
      <c r="I176" s="8"/>
      <c r="J176" s="8"/>
      <c r="K176" s="25"/>
      <c r="L176" s="30"/>
      <c r="M176" s="57"/>
      <c r="N176" s="26"/>
      <c r="O176" s="8"/>
      <c r="P176" s="8"/>
      <c r="Q176" s="8"/>
      <c r="R176" s="8"/>
      <c r="S176" s="8"/>
      <c r="T176" s="8"/>
      <c r="U176" s="8"/>
      <c r="V176" s="8"/>
      <c r="W176" s="9"/>
    </row>
    <row r="177" spans="1:23" ht="15.75" x14ac:dyDescent="0.25">
      <c r="A177" s="6">
        <v>3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27"/>
      <c r="M177" s="27"/>
      <c r="N177" s="8"/>
      <c r="O177" s="8"/>
      <c r="P177" s="8"/>
      <c r="Q177" s="8"/>
      <c r="R177" s="8"/>
      <c r="S177" s="8"/>
      <c r="T177" s="8"/>
      <c r="U177" s="8"/>
      <c r="V177" s="8"/>
      <c r="W177" s="9"/>
    </row>
    <row r="178" spans="1:23" ht="15.75" x14ac:dyDescent="0.25">
      <c r="A178" s="5">
        <v>4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</row>
    <row r="179" spans="1:23" ht="15.75" x14ac:dyDescent="0.25">
      <c r="A179" s="5">
        <v>5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</row>
    <row r="180" spans="1:23" ht="16.5" thickBot="1" x14ac:dyDescent="0.3">
      <c r="A180" s="7">
        <v>6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2" spans="1:23" ht="15.75" thickBot="1" x14ac:dyDescent="0.3"/>
    <row r="183" spans="1:23" ht="15.75" x14ac:dyDescent="0.25">
      <c r="A183" s="100" t="s">
        <v>260</v>
      </c>
      <c r="B183" s="101"/>
      <c r="C183" s="111" t="s">
        <v>444</v>
      </c>
      <c r="D183" s="112"/>
      <c r="E183" s="111" t="s">
        <v>413</v>
      </c>
      <c r="F183" s="112"/>
      <c r="G183" s="101" t="s">
        <v>4</v>
      </c>
      <c r="H183" s="101"/>
      <c r="I183" s="102" t="s">
        <v>366</v>
      </c>
      <c r="J183" s="102"/>
      <c r="K183" s="102"/>
      <c r="L183" s="102"/>
      <c r="M183" s="102"/>
      <c r="N183" s="102"/>
      <c r="O183" s="101" t="s">
        <v>6</v>
      </c>
      <c r="P183" s="101"/>
      <c r="Q183" s="103"/>
      <c r="R183" s="104"/>
      <c r="S183" s="104"/>
      <c r="T183" s="104"/>
      <c r="U183" s="104"/>
      <c r="V183" s="104"/>
      <c r="W183" s="105"/>
    </row>
    <row r="184" spans="1:23" ht="15.75" x14ac:dyDescent="0.25">
      <c r="A184" s="106" t="s">
        <v>7</v>
      </c>
      <c r="B184" s="107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7"/>
      <c r="R184" s="107"/>
      <c r="S184" s="107"/>
      <c r="T184" s="107"/>
      <c r="U184" s="107"/>
      <c r="V184" s="107"/>
      <c r="W184" s="110"/>
    </row>
    <row r="185" spans="1:23" x14ac:dyDescent="0.25">
      <c r="A185" s="113" t="s">
        <v>8</v>
      </c>
      <c r="B185" s="114" t="s">
        <v>9</v>
      </c>
      <c r="C185" s="114" t="s">
        <v>10</v>
      </c>
      <c r="D185" s="114" t="s">
        <v>11</v>
      </c>
      <c r="E185" s="114" t="s">
        <v>12</v>
      </c>
      <c r="F185" s="114" t="s">
        <v>13</v>
      </c>
      <c r="G185" s="114" t="s">
        <v>14</v>
      </c>
      <c r="H185" s="114"/>
      <c r="I185" s="114"/>
      <c r="J185" s="114"/>
      <c r="K185" s="114"/>
      <c r="L185" s="114"/>
      <c r="M185" s="114" t="s">
        <v>15</v>
      </c>
      <c r="N185" s="114" t="s">
        <v>16</v>
      </c>
      <c r="O185" s="114" t="s">
        <v>17</v>
      </c>
      <c r="P185" s="114" t="s">
        <v>18</v>
      </c>
      <c r="Q185" s="114" t="s">
        <v>19</v>
      </c>
      <c r="R185" s="114"/>
      <c r="S185" s="114"/>
      <c r="T185" s="114"/>
      <c r="U185" s="114"/>
      <c r="V185" s="114"/>
      <c r="W185" s="115" t="s">
        <v>20</v>
      </c>
    </row>
    <row r="186" spans="1:23" x14ac:dyDescent="0.25">
      <c r="A186" s="113"/>
      <c r="B186" s="114"/>
      <c r="C186" s="114"/>
      <c r="D186" s="114"/>
      <c r="E186" s="114"/>
      <c r="F186" s="114"/>
      <c r="G186" s="31" t="s">
        <v>21</v>
      </c>
      <c r="H186" s="31" t="s">
        <v>21</v>
      </c>
      <c r="I186" s="31" t="s">
        <v>21</v>
      </c>
      <c r="J186" s="31" t="s">
        <v>22</v>
      </c>
      <c r="K186" s="31" t="s">
        <v>22</v>
      </c>
      <c r="L186" s="32" t="s">
        <v>22</v>
      </c>
      <c r="M186" s="138"/>
      <c r="N186" s="114"/>
      <c r="O186" s="114"/>
      <c r="P186" s="114"/>
      <c r="Q186" s="31" t="s">
        <v>21</v>
      </c>
      <c r="R186" s="31" t="s">
        <v>21</v>
      </c>
      <c r="S186" s="31" t="s">
        <v>21</v>
      </c>
      <c r="T186" s="31" t="s">
        <v>22</v>
      </c>
      <c r="U186" s="31" t="s">
        <v>22</v>
      </c>
      <c r="V186" s="31" t="s">
        <v>22</v>
      </c>
      <c r="W186" s="115"/>
    </row>
    <row r="187" spans="1:23" ht="15.75" x14ac:dyDescent="0.25">
      <c r="A187" s="5">
        <v>1</v>
      </c>
      <c r="B187" s="21" t="s">
        <v>251</v>
      </c>
      <c r="C187" s="20">
        <v>46039</v>
      </c>
      <c r="D187" s="36" t="s">
        <v>428</v>
      </c>
      <c r="E187" s="21"/>
      <c r="F187" s="21"/>
      <c r="G187" s="21"/>
      <c r="H187" s="21"/>
      <c r="I187" s="21"/>
      <c r="J187" s="21"/>
      <c r="K187" s="24"/>
      <c r="L187" s="29"/>
      <c r="M187" s="165"/>
      <c r="O187" s="21"/>
      <c r="P187" s="21"/>
      <c r="Q187" s="21"/>
      <c r="R187" s="21"/>
      <c r="S187" s="21"/>
      <c r="T187" s="21"/>
      <c r="U187" s="21"/>
      <c r="V187" s="21"/>
      <c r="W187" s="22"/>
    </row>
    <row r="188" spans="1:23" ht="15.75" x14ac:dyDescent="0.25">
      <c r="A188" s="6">
        <v>2</v>
      </c>
      <c r="B188" s="21" t="s">
        <v>251</v>
      </c>
      <c r="C188" s="13">
        <v>46148</v>
      </c>
      <c r="D188" s="8"/>
      <c r="E188" s="8"/>
      <c r="F188" s="8"/>
      <c r="G188" s="8"/>
      <c r="H188" s="8"/>
      <c r="I188" s="8"/>
      <c r="J188" s="8"/>
      <c r="K188" s="25"/>
      <c r="L188" s="30"/>
      <c r="M188" s="165"/>
      <c r="N188" s="26"/>
      <c r="O188" s="8"/>
      <c r="P188" s="8"/>
      <c r="Q188" s="8"/>
      <c r="R188" s="8"/>
      <c r="S188" s="8"/>
      <c r="T188" s="8"/>
      <c r="U188" s="8"/>
      <c r="V188" s="8"/>
      <c r="W188" s="9"/>
    </row>
    <row r="189" spans="1:23" ht="15.75" x14ac:dyDescent="0.25">
      <c r="A189" s="6">
        <v>3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27"/>
      <c r="M189" s="27"/>
      <c r="N189" s="8"/>
      <c r="O189" s="8"/>
      <c r="P189" s="8"/>
      <c r="Q189" s="8"/>
      <c r="R189" s="8"/>
      <c r="S189" s="8"/>
      <c r="T189" s="8"/>
      <c r="U189" s="8"/>
      <c r="V189" s="8"/>
      <c r="W189" s="9"/>
    </row>
    <row r="190" spans="1:23" ht="15.75" x14ac:dyDescent="0.25">
      <c r="A190" s="5">
        <v>4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</row>
    <row r="191" spans="1:23" ht="15.75" x14ac:dyDescent="0.25">
      <c r="A191" s="5">
        <v>5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</row>
    <row r="192" spans="1:23" ht="16.5" thickBot="1" x14ac:dyDescent="0.3">
      <c r="A192" s="7">
        <v>6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4" spans="1:23" ht="15.75" thickBot="1" x14ac:dyDescent="0.3"/>
    <row r="195" spans="1:23" ht="15.75" x14ac:dyDescent="0.25">
      <c r="A195" s="100" t="s">
        <v>260</v>
      </c>
      <c r="B195" s="101"/>
      <c r="C195" s="111" t="s">
        <v>445</v>
      </c>
      <c r="D195" s="112"/>
      <c r="E195" s="111" t="s">
        <v>426</v>
      </c>
      <c r="F195" s="112"/>
      <c r="G195" s="101" t="s">
        <v>4</v>
      </c>
      <c r="H195" s="101"/>
      <c r="I195" s="102" t="s">
        <v>366</v>
      </c>
      <c r="J195" s="102"/>
      <c r="K195" s="102"/>
      <c r="L195" s="102"/>
      <c r="M195" s="102"/>
      <c r="N195" s="102"/>
      <c r="O195" s="101" t="s">
        <v>6</v>
      </c>
      <c r="P195" s="101"/>
      <c r="Q195" s="103"/>
      <c r="R195" s="104"/>
      <c r="S195" s="104"/>
      <c r="T195" s="104"/>
      <c r="U195" s="104"/>
      <c r="V195" s="104"/>
      <c r="W195" s="105"/>
    </row>
    <row r="196" spans="1:23" ht="15.75" x14ac:dyDescent="0.25">
      <c r="A196" s="106" t="s">
        <v>7</v>
      </c>
      <c r="B196" s="107"/>
      <c r="C196" s="116" t="s">
        <v>44</v>
      </c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09"/>
      <c r="P196" s="109"/>
      <c r="Q196" s="107"/>
      <c r="R196" s="107"/>
      <c r="S196" s="107"/>
      <c r="T196" s="107"/>
      <c r="U196" s="107"/>
      <c r="V196" s="107"/>
      <c r="W196" s="110"/>
    </row>
    <row r="197" spans="1:23" x14ac:dyDescent="0.25">
      <c r="A197" s="113" t="s">
        <v>8</v>
      </c>
      <c r="B197" s="114" t="s">
        <v>9</v>
      </c>
      <c r="C197" s="114" t="s">
        <v>10</v>
      </c>
      <c r="D197" s="114" t="s">
        <v>11</v>
      </c>
      <c r="E197" s="114" t="s">
        <v>12</v>
      </c>
      <c r="F197" s="114" t="s">
        <v>13</v>
      </c>
      <c r="G197" s="114" t="s">
        <v>14</v>
      </c>
      <c r="H197" s="114"/>
      <c r="I197" s="114"/>
      <c r="J197" s="114"/>
      <c r="K197" s="114"/>
      <c r="L197" s="114"/>
      <c r="M197" s="114" t="s">
        <v>15</v>
      </c>
      <c r="N197" s="114" t="s">
        <v>16</v>
      </c>
      <c r="O197" s="114" t="s">
        <v>17</v>
      </c>
      <c r="P197" s="114" t="s">
        <v>18</v>
      </c>
      <c r="Q197" s="114" t="s">
        <v>19</v>
      </c>
      <c r="R197" s="114"/>
      <c r="S197" s="114"/>
      <c r="T197" s="114"/>
      <c r="U197" s="114"/>
      <c r="V197" s="114"/>
      <c r="W197" s="115" t="s">
        <v>20</v>
      </c>
    </row>
    <row r="198" spans="1:23" x14ac:dyDescent="0.25">
      <c r="A198" s="113"/>
      <c r="B198" s="114"/>
      <c r="C198" s="114"/>
      <c r="D198" s="114"/>
      <c r="E198" s="114"/>
      <c r="F198" s="114"/>
      <c r="G198" s="31" t="s">
        <v>21</v>
      </c>
      <c r="H198" s="31" t="s">
        <v>21</v>
      </c>
      <c r="I198" s="31" t="s">
        <v>21</v>
      </c>
      <c r="J198" s="31" t="s">
        <v>22</v>
      </c>
      <c r="K198" s="31" t="s">
        <v>22</v>
      </c>
      <c r="L198" s="32" t="s">
        <v>22</v>
      </c>
      <c r="M198" s="138"/>
      <c r="N198" s="114"/>
      <c r="O198" s="114"/>
      <c r="P198" s="114"/>
      <c r="Q198" s="31" t="s">
        <v>21</v>
      </c>
      <c r="R198" s="31" t="s">
        <v>21</v>
      </c>
      <c r="S198" s="31" t="s">
        <v>21</v>
      </c>
      <c r="T198" s="31" t="s">
        <v>22</v>
      </c>
      <c r="U198" s="31" t="s">
        <v>22</v>
      </c>
      <c r="V198" s="31" t="s">
        <v>22</v>
      </c>
      <c r="W198" s="115"/>
    </row>
    <row r="199" spans="1:23" ht="15.75" x14ac:dyDescent="0.25">
      <c r="A199" s="5">
        <v>1</v>
      </c>
      <c r="B199" s="21" t="s">
        <v>23</v>
      </c>
      <c r="C199" s="20">
        <v>46039</v>
      </c>
      <c r="D199" s="36" t="s">
        <v>428</v>
      </c>
      <c r="E199" s="21"/>
      <c r="F199" s="21"/>
      <c r="G199" s="21"/>
      <c r="H199" s="21"/>
      <c r="I199" s="21"/>
      <c r="J199" s="21"/>
      <c r="K199" s="24"/>
      <c r="L199" s="29"/>
      <c r="M199" s="165"/>
      <c r="O199" s="21"/>
      <c r="P199" s="21"/>
      <c r="Q199" s="21"/>
      <c r="R199" s="21"/>
      <c r="S199" s="21"/>
      <c r="T199" s="21"/>
      <c r="U199" s="21"/>
      <c r="V199" s="21"/>
      <c r="W199" s="22"/>
    </row>
    <row r="200" spans="1:23" ht="15.75" x14ac:dyDescent="0.25">
      <c r="A200" s="6">
        <v>2</v>
      </c>
      <c r="B200" s="21"/>
      <c r="C200" s="13"/>
      <c r="D200" s="8"/>
      <c r="E200" s="8"/>
      <c r="F200" s="8"/>
      <c r="G200" s="8"/>
      <c r="H200" s="8"/>
      <c r="I200" s="8"/>
      <c r="J200" s="8"/>
      <c r="K200" s="25"/>
      <c r="L200" s="30"/>
      <c r="M200" s="165"/>
      <c r="N200" s="26"/>
      <c r="O200" s="8"/>
      <c r="P200" s="8"/>
      <c r="Q200" s="8"/>
      <c r="R200" s="8"/>
      <c r="S200" s="8"/>
      <c r="T200" s="8"/>
      <c r="U200" s="8"/>
      <c r="V200" s="8"/>
      <c r="W200" s="9"/>
    </row>
    <row r="201" spans="1:23" ht="15.75" x14ac:dyDescent="0.25">
      <c r="A201" s="6">
        <v>3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27"/>
      <c r="M201" s="27"/>
      <c r="N201" s="8"/>
      <c r="O201" s="8"/>
      <c r="P201" s="8"/>
      <c r="Q201" s="8"/>
      <c r="R201" s="8"/>
      <c r="S201" s="8"/>
      <c r="T201" s="8"/>
      <c r="U201" s="8"/>
      <c r="V201" s="8"/>
      <c r="W201" s="9"/>
    </row>
    <row r="202" spans="1:23" ht="15.75" x14ac:dyDescent="0.25">
      <c r="A202" s="5">
        <v>4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</row>
    <row r="203" spans="1:23" ht="15.75" x14ac:dyDescent="0.25">
      <c r="A203" s="5">
        <v>5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</row>
    <row r="204" spans="1:23" ht="16.5" thickBot="1" x14ac:dyDescent="0.3">
      <c r="A204" s="7">
        <v>6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</sheetData>
  <mergeCells count="414">
    <mergeCell ref="W173:W174"/>
    <mergeCell ref="G173:L173"/>
    <mergeCell ref="M173:M174"/>
    <mergeCell ref="N173:N174"/>
    <mergeCell ref="O173:O174"/>
    <mergeCell ref="P173:P174"/>
    <mergeCell ref="Q173:V173"/>
    <mergeCell ref="A172:B172"/>
    <mergeCell ref="C172:N172"/>
    <mergeCell ref="O172:P172"/>
    <mergeCell ref="Q172:W172"/>
    <mergeCell ref="A173:A174"/>
    <mergeCell ref="B173:B174"/>
    <mergeCell ref="C173:C174"/>
    <mergeCell ref="D173:D174"/>
    <mergeCell ref="E173:E174"/>
    <mergeCell ref="F173:F174"/>
    <mergeCell ref="A171:B171"/>
    <mergeCell ref="G171:H171"/>
    <mergeCell ref="I171:N171"/>
    <mergeCell ref="O171:P171"/>
    <mergeCell ref="Q171:W171"/>
    <mergeCell ref="G161:L161"/>
    <mergeCell ref="M161:M162"/>
    <mergeCell ref="N161:N162"/>
    <mergeCell ref="O161:O162"/>
    <mergeCell ref="P161:P162"/>
    <mergeCell ref="Q161:V161"/>
    <mergeCell ref="C171:D171"/>
    <mergeCell ref="E171:F171"/>
    <mergeCell ref="A160:B160"/>
    <mergeCell ref="C160:N160"/>
    <mergeCell ref="O160:P160"/>
    <mergeCell ref="Q160:W160"/>
    <mergeCell ref="A161:A162"/>
    <mergeCell ref="B161:B162"/>
    <mergeCell ref="C161:C162"/>
    <mergeCell ref="D161:D162"/>
    <mergeCell ref="E161:E162"/>
    <mergeCell ref="F161:F162"/>
    <mergeCell ref="W161:W162"/>
    <mergeCell ref="A159:B159"/>
    <mergeCell ref="G159:H159"/>
    <mergeCell ref="I159:N159"/>
    <mergeCell ref="O159:P159"/>
    <mergeCell ref="Q159:W159"/>
    <mergeCell ref="G149:L149"/>
    <mergeCell ref="M149:M150"/>
    <mergeCell ref="N149:N150"/>
    <mergeCell ref="O149:O150"/>
    <mergeCell ref="P149:P150"/>
    <mergeCell ref="Q149:V149"/>
    <mergeCell ref="C159:D159"/>
    <mergeCell ref="E159:F159"/>
    <mergeCell ref="A148:B148"/>
    <mergeCell ref="C148:N148"/>
    <mergeCell ref="O148:P148"/>
    <mergeCell ref="Q148:W148"/>
    <mergeCell ref="A149:A150"/>
    <mergeCell ref="B149:B150"/>
    <mergeCell ref="C149:C150"/>
    <mergeCell ref="D149:D150"/>
    <mergeCell ref="E149:E150"/>
    <mergeCell ref="F149:F150"/>
    <mergeCell ref="W149:W150"/>
    <mergeCell ref="A147:B147"/>
    <mergeCell ref="G147:H147"/>
    <mergeCell ref="I147:N147"/>
    <mergeCell ref="O147:P147"/>
    <mergeCell ref="Q147:W147"/>
    <mergeCell ref="G137:L137"/>
    <mergeCell ref="M137:M138"/>
    <mergeCell ref="N137:N138"/>
    <mergeCell ref="O137:O138"/>
    <mergeCell ref="P137:P138"/>
    <mergeCell ref="Q137:V137"/>
    <mergeCell ref="C147:D147"/>
    <mergeCell ref="E147:F147"/>
    <mergeCell ref="A136:B136"/>
    <mergeCell ref="C136:N136"/>
    <mergeCell ref="O136:P136"/>
    <mergeCell ref="Q136:W136"/>
    <mergeCell ref="A137:A138"/>
    <mergeCell ref="B137:B138"/>
    <mergeCell ref="C137:C138"/>
    <mergeCell ref="D137:D138"/>
    <mergeCell ref="E137:E138"/>
    <mergeCell ref="F137:F138"/>
    <mergeCell ref="W137:W138"/>
    <mergeCell ref="A135:B135"/>
    <mergeCell ref="G135:H135"/>
    <mergeCell ref="I135:N135"/>
    <mergeCell ref="O135:P135"/>
    <mergeCell ref="Q135:W135"/>
    <mergeCell ref="G125:L125"/>
    <mergeCell ref="M125:M126"/>
    <mergeCell ref="N125:N126"/>
    <mergeCell ref="O125:O126"/>
    <mergeCell ref="P125:P126"/>
    <mergeCell ref="Q125:V125"/>
    <mergeCell ref="C135:D135"/>
    <mergeCell ref="E135:F135"/>
    <mergeCell ref="A124:B124"/>
    <mergeCell ref="C124:N124"/>
    <mergeCell ref="O124:P124"/>
    <mergeCell ref="Q124:W124"/>
    <mergeCell ref="A125:A126"/>
    <mergeCell ref="B125:B126"/>
    <mergeCell ref="C125:C126"/>
    <mergeCell ref="D125:D126"/>
    <mergeCell ref="E125:E126"/>
    <mergeCell ref="F125:F126"/>
    <mergeCell ref="W125:W126"/>
    <mergeCell ref="M115:M116"/>
    <mergeCell ref="A123:B123"/>
    <mergeCell ref="G123:H123"/>
    <mergeCell ref="I123:N123"/>
    <mergeCell ref="O123:P123"/>
    <mergeCell ref="Q123:W123"/>
    <mergeCell ref="G113:L113"/>
    <mergeCell ref="M113:M114"/>
    <mergeCell ref="N113:N114"/>
    <mergeCell ref="O113:O114"/>
    <mergeCell ref="P113:P114"/>
    <mergeCell ref="Q113:V113"/>
    <mergeCell ref="C123:D123"/>
    <mergeCell ref="E123:F123"/>
    <mergeCell ref="A112:B112"/>
    <mergeCell ref="C112:N112"/>
    <mergeCell ref="O112:P112"/>
    <mergeCell ref="Q112:W112"/>
    <mergeCell ref="A113:A114"/>
    <mergeCell ref="B113:B114"/>
    <mergeCell ref="C113:C114"/>
    <mergeCell ref="D113:D114"/>
    <mergeCell ref="E113:E114"/>
    <mergeCell ref="F113:F114"/>
    <mergeCell ref="W113:W114"/>
    <mergeCell ref="A111:B111"/>
    <mergeCell ref="G111:H111"/>
    <mergeCell ref="I111:N111"/>
    <mergeCell ref="O111:P111"/>
    <mergeCell ref="Q111:W111"/>
    <mergeCell ref="G101:L101"/>
    <mergeCell ref="M101:M102"/>
    <mergeCell ref="N101:N102"/>
    <mergeCell ref="O101:O102"/>
    <mergeCell ref="P101:P102"/>
    <mergeCell ref="Q101:V101"/>
    <mergeCell ref="C111:D111"/>
    <mergeCell ref="E111:F111"/>
    <mergeCell ref="A100:B100"/>
    <mergeCell ref="C100:N100"/>
    <mergeCell ref="O100:P100"/>
    <mergeCell ref="Q100:W100"/>
    <mergeCell ref="A101:A102"/>
    <mergeCell ref="B101:B102"/>
    <mergeCell ref="C101:C102"/>
    <mergeCell ref="D101:D102"/>
    <mergeCell ref="E101:E102"/>
    <mergeCell ref="F101:F102"/>
    <mergeCell ref="W101:W102"/>
    <mergeCell ref="A99:B99"/>
    <mergeCell ref="G99:H99"/>
    <mergeCell ref="I99:N99"/>
    <mergeCell ref="O99:P99"/>
    <mergeCell ref="Q99:W99"/>
    <mergeCell ref="G89:L89"/>
    <mergeCell ref="M89:M90"/>
    <mergeCell ref="N89:N90"/>
    <mergeCell ref="O89:O90"/>
    <mergeCell ref="P89:P90"/>
    <mergeCell ref="Q89:V89"/>
    <mergeCell ref="E99:F99"/>
    <mergeCell ref="C99:D99"/>
    <mergeCell ref="A88:B88"/>
    <mergeCell ref="C88:N88"/>
    <mergeCell ref="O88:P88"/>
    <mergeCell ref="Q88:W88"/>
    <mergeCell ref="A89:A90"/>
    <mergeCell ref="B89:B90"/>
    <mergeCell ref="C89:C90"/>
    <mergeCell ref="D89:D90"/>
    <mergeCell ref="E89:E90"/>
    <mergeCell ref="F89:F90"/>
    <mergeCell ref="W89:W90"/>
    <mergeCell ref="M79:M80"/>
    <mergeCell ref="A87:B87"/>
    <mergeCell ref="G87:H87"/>
    <mergeCell ref="I87:N87"/>
    <mergeCell ref="O87:P87"/>
    <mergeCell ref="Q87:W87"/>
    <mergeCell ref="G77:L77"/>
    <mergeCell ref="M77:M78"/>
    <mergeCell ref="N77:N78"/>
    <mergeCell ref="O77:O78"/>
    <mergeCell ref="P77:P78"/>
    <mergeCell ref="Q77:V77"/>
    <mergeCell ref="C87:D87"/>
    <mergeCell ref="E87:F87"/>
    <mergeCell ref="A76:B76"/>
    <mergeCell ref="C76:N76"/>
    <mergeCell ref="O76:P76"/>
    <mergeCell ref="Q76:W76"/>
    <mergeCell ref="A77:A78"/>
    <mergeCell ref="B77:B78"/>
    <mergeCell ref="C77:C78"/>
    <mergeCell ref="D77:D78"/>
    <mergeCell ref="E77:E78"/>
    <mergeCell ref="F77:F78"/>
    <mergeCell ref="W77:W78"/>
    <mergeCell ref="M67:M68"/>
    <mergeCell ref="A75:B75"/>
    <mergeCell ref="G75:H75"/>
    <mergeCell ref="I75:N75"/>
    <mergeCell ref="O75:P75"/>
    <mergeCell ref="Q75:W75"/>
    <mergeCell ref="G65:L65"/>
    <mergeCell ref="M65:M66"/>
    <mergeCell ref="N65:N66"/>
    <mergeCell ref="O65:O66"/>
    <mergeCell ref="P65:P66"/>
    <mergeCell ref="Q65:V65"/>
    <mergeCell ref="E75:F75"/>
    <mergeCell ref="C75:D75"/>
    <mergeCell ref="A64:B64"/>
    <mergeCell ref="C64:N64"/>
    <mergeCell ref="O64:P64"/>
    <mergeCell ref="Q64:W64"/>
    <mergeCell ref="A65:A66"/>
    <mergeCell ref="B65:B66"/>
    <mergeCell ref="C65:C66"/>
    <mergeCell ref="D65:D66"/>
    <mergeCell ref="E65:E66"/>
    <mergeCell ref="F65:F66"/>
    <mergeCell ref="W65:W66"/>
    <mergeCell ref="M55:M56"/>
    <mergeCell ref="A63:B63"/>
    <mergeCell ref="G63:H63"/>
    <mergeCell ref="I63:N63"/>
    <mergeCell ref="O63:P63"/>
    <mergeCell ref="Q63:W63"/>
    <mergeCell ref="G53:L53"/>
    <mergeCell ref="M53:M54"/>
    <mergeCell ref="N53:N54"/>
    <mergeCell ref="O53:O54"/>
    <mergeCell ref="P53:P54"/>
    <mergeCell ref="Q53:V53"/>
    <mergeCell ref="E63:F63"/>
    <mergeCell ref="C63:D63"/>
    <mergeCell ref="A52:B52"/>
    <mergeCell ref="C52:N52"/>
    <mergeCell ref="O52:P52"/>
    <mergeCell ref="Q52:W52"/>
    <mergeCell ref="A53:A54"/>
    <mergeCell ref="B53:B54"/>
    <mergeCell ref="C53:C54"/>
    <mergeCell ref="D53:D54"/>
    <mergeCell ref="E53:E54"/>
    <mergeCell ref="F53:F54"/>
    <mergeCell ref="W53:W54"/>
    <mergeCell ref="A51:B51"/>
    <mergeCell ref="G51:H51"/>
    <mergeCell ref="I51:N51"/>
    <mergeCell ref="O51:P51"/>
    <mergeCell ref="Q51:W51"/>
    <mergeCell ref="G41:L41"/>
    <mergeCell ref="M41:M42"/>
    <mergeCell ref="N41:N42"/>
    <mergeCell ref="O41:O42"/>
    <mergeCell ref="P41:P42"/>
    <mergeCell ref="Q41:V41"/>
    <mergeCell ref="E51:F51"/>
    <mergeCell ref="C51:D51"/>
    <mergeCell ref="A40:B40"/>
    <mergeCell ref="C40:N40"/>
    <mergeCell ref="O40:P40"/>
    <mergeCell ref="Q40:W40"/>
    <mergeCell ref="A41:A42"/>
    <mergeCell ref="B41:B42"/>
    <mergeCell ref="C41:C42"/>
    <mergeCell ref="D41:D42"/>
    <mergeCell ref="E41:E42"/>
    <mergeCell ref="F41:F42"/>
    <mergeCell ref="W41:W42"/>
    <mergeCell ref="A39:B39"/>
    <mergeCell ref="G39:H39"/>
    <mergeCell ref="I39:N39"/>
    <mergeCell ref="O39:P39"/>
    <mergeCell ref="Q39:W39"/>
    <mergeCell ref="G29:L29"/>
    <mergeCell ref="M29:M30"/>
    <mergeCell ref="N29:N30"/>
    <mergeCell ref="O29:O30"/>
    <mergeCell ref="P29:P30"/>
    <mergeCell ref="Q29:V29"/>
    <mergeCell ref="E39:F39"/>
    <mergeCell ref="C39:D39"/>
    <mergeCell ref="A28:B28"/>
    <mergeCell ref="C28:N28"/>
    <mergeCell ref="O28:P28"/>
    <mergeCell ref="Q28:W28"/>
    <mergeCell ref="A29:A30"/>
    <mergeCell ref="B29:B30"/>
    <mergeCell ref="C29:C30"/>
    <mergeCell ref="D29:D30"/>
    <mergeCell ref="E29:E30"/>
    <mergeCell ref="F29:F30"/>
    <mergeCell ref="W29:W30"/>
    <mergeCell ref="A27:B27"/>
    <mergeCell ref="G27:H27"/>
    <mergeCell ref="I27:N27"/>
    <mergeCell ref="O27:P27"/>
    <mergeCell ref="Q27:W27"/>
    <mergeCell ref="G17:L17"/>
    <mergeCell ref="M17:M18"/>
    <mergeCell ref="N17:N18"/>
    <mergeCell ref="O17:O18"/>
    <mergeCell ref="P17:P18"/>
    <mergeCell ref="Q17:V17"/>
    <mergeCell ref="E27:F27"/>
    <mergeCell ref="C27:D27"/>
    <mergeCell ref="A16:B16"/>
    <mergeCell ref="C16:N16"/>
    <mergeCell ref="O16:P16"/>
    <mergeCell ref="Q16:W16"/>
    <mergeCell ref="A17:A18"/>
    <mergeCell ref="B17:B18"/>
    <mergeCell ref="C17:C18"/>
    <mergeCell ref="D17:D18"/>
    <mergeCell ref="E17:E18"/>
    <mergeCell ref="F17:F18"/>
    <mergeCell ref="W17:W18"/>
    <mergeCell ref="A5:A6"/>
    <mergeCell ref="B5:B6"/>
    <mergeCell ref="C5:C6"/>
    <mergeCell ref="D5:D6"/>
    <mergeCell ref="E5:E6"/>
    <mergeCell ref="F5:F6"/>
    <mergeCell ref="W5:W6"/>
    <mergeCell ref="A15:B15"/>
    <mergeCell ref="G15:H15"/>
    <mergeCell ref="I15:N15"/>
    <mergeCell ref="O15:P15"/>
    <mergeCell ref="Q15:W15"/>
    <mergeCell ref="G5:L5"/>
    <mergeCell ref="M5:M6"/>
    <mergeCell ref="N5:N6"/>
    <mergeCell ref="O5:O6"/>
    <mergeCell ref="P5:P6"/>
    <mergeCell ref="Q5:V5"/>
    <mergeCell ref="E15:F15"/>
    <mergeCell ref="C15:D15"/>
    <mergeCell ref="A3:B3"/>
    <mergeCell ref="G3:H3"/>
    <mergeCell ref="I3:N3"/>
    <mergeCell ref="O3:P3"/>
    <mergeCell ref="Q3:W3"/>
    <mergeCell ref="E3:F3"/>
    <mergeCell ref="C3:D3"/>
    <mergeCell ref="A4:B4"/>
    <mergeCell ref="C4:N4"/>
    <mergeCell ref="O4:P4"/>
    <mergeCell ref="Q4:W4"/>
    <mergeCell ref="A183:B183"/>
    <mergeCell ref="C183:D183"/>
    <mergeCell ref="E183:F183"/>
    <mergeCell ref="G183:H183"/>
    <mergeCell ref="I183:N183"/>
    <mergeCell ref="O183:P183"/>
    <mergeCell ref="Q183:W183"/>
    <mergeCell ref="A184:B184"/>
    <mergeCell ref="C184:N184"/>
    <mergeCell ref="O184:P184"/>
    <mergeCell ref="Q184:W184"/>
    <mergeCell ref="O185:O186"/>
    <mergeCell ref="P185:P186"/>
    <mergeCell ref="Q185:V185"/>
    <mergeCell ref="W185:W186"/>
    <mergeCell ref="M187:M188"/>
    <mergeCell ref="A195:B195"/>
    <mergeCell ref="C195:D195"/>
    <mergeCell ref="E195:F195"/>
    <mergeCell ref="G195:H195"/>
    <mergeCell ref="I195:N195"/>
    <mergeCell ref="O195:P195"/>
    <mergeCell ref="Q195:W195"/>
    <mergeCell ref="A185:A186"/>
    <mergeCell ref="B185:B186"/>
    <mergeCell ref="C185:C186"/>
    <mergeCell ref="D185:D186"/>
    <mergeCell ref="E185:E186"/>
    <mergeCell ref="F185:F186"/>
    <mergeCell ref="G185:L185"/>
    <mergeCell ref="M185:M186"/>
    <mergeCell ref="N185:N186"/>
    <mergeCell ref="M199:M200"/>
    <mergeCell ref="A196:B196"/>
    <mergeCell ref="C196:N196"/>
    <mergeCell ref="O196:P196"/>
    <mergeCell ref="Q196:W196"/>
    <mergeCell ref="A197:A198"/>
    <mergeCell ref="B197:B198"/>
    <mergeCell ref="C197:C198"/>
    <mergeCell ref="D197:D198"/>
    <mergeCell ref="E197:E198"/>
    <mergeCell ref="F197:F198"/>
    <mergeCell ref="G197:L197"/>
    <mergeCell ref="M197:M198"/>
    <mergeCell ref="N197:N198"/>
    <mergeCell ref="O197:O198"/>
    <mergeCell ref="P197:P198"/>
    <mergeCell ref="Q197:V197"/>
    <mergeCell ref="W197:W19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9073-4B66-4E94-882B-2AE0ED895F21}">
  <dimension ref="A1:W130"/>
  <sheetViews>
    <sheetView topLeftCell="A111" workbookViewId="0">
      <selection activeCell="C73" sqref="C73:D73"/>
    </sheetView>
  </sheetViews>
  <sheetFormatPr baseColWidth="10" defaultRowHeight="15" x14ac:dyDescent="0.25"/>
  <cols>
    <col min="2" max="2" width="9" customWidth="1"/>
    <col min="3" max="3" width="13.7109375" customWidth="1"/>
    <col min="4" max="4" width="12.7109375" bestFit="1" customWidth="1"/>
    <col min="5" max="5" width="9.28515625" customWidth="1"/>
    <col min="7" max="7" width="6" customWidth="1"/>
    <col min="8" max="8" width="5.7109375" customWidth="1"/>
    <col min="9" max="9" width="5.28515625" customWidth="1"/>
    <col min="10" max="10" width="5.5703125" customWidth="1"/>
    <col min="11" max="11" width="5" customWidth="1"/>
    <col min="12" max="12" width="5.85546875" customWidth="1"/>
    <col min="13" max="13" width="10.42578125" customWidth="1"/>
    <col min="14" max="14" width="11.140625" customWidth="1"/>
    <col min="15" max="15" width="8.85546875" customWidth="1"/>
    <col min="17" max="17" width="5.85546875" customWidth="1"/>
    <col min="18" max="18" width="5.7109375" customWidth="1"/>
    <col min="19" max="19" width="5.5703125" customWidth="1"/>
    <col min="20" max="20" width="5.7109375" customWidth="1"/>
    <col min="21" max="22" width="5.5703125" customWidth="1"/>
    <col min="23" max="23" width="10.5703125" customWidth="1"/>
  </cols>
  <sheetData>
    <row r="1" spans="1:23" ht="15.75" x14ac:dyDescent="0.25">
      <c r="A1" s="100" t="s">
        <v>260</v>
      </c>
      <c r="B1" s="101"/>
      <c r="C1" s="202" t="s">
        <v>446</v>
      </c>
      <c r="D1" s="203"/>
      <c r="E1" s="111" t="s">
        <v>426</v>
      </c>
      <c r="F1" s="112"/>
      <c r="G1" s="101" t="s">
        <v>4</v>
      </c>
      <c r="H1" s="101"/>
      <c r="I1" s="102" t="s">
        <v>366</v>
      </c>
      <c r="J1" s="102"/>
      <c r="K1" s="102"/>
      <c r="L1" s="102"/>
      <c r="M1" s="102"/>
      <c r="N1" s="102"/>
      <c r="O1" s="101" t="s">
        <v>6</v>
      </c>
      <c r="P1" s="101"/>
      <c r="Q1" s="103"/>
      <c r="R1" s="104"/>
      <c r="S1" s="104"/>
      <c r="T1" s="104"/>
      <c r="U1" s="104"/>
      <c r="V1" s="104"/>
      <c r="W1" s="105"/>
    </row>
    <row r="2" spans="1:23" ht="15.75" x14ac:dyDescent="0.25">
      <c r="A2" s="106" t="s">
        <v>7</v>
      </c>
      <c r="B2" s="107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7"/>
      <c r="R2" s="107"/>
      <c r="S2" s="107"/>
      <c r="T2" s="107"/>
      <c r="U2" s="107"/>
      <c r="V2" s="107"/>
      <c r="W2" s="110"/>
    </row>
    <row r="3" spans="1:23" x14ac:dyDescent="0.25">
      <c r="A3" s="113" t="s">
        <v>8</v>
      </c>
      <c r="B3" s="114" t="s">
        <v>9</v>
      </c>
      <c r="C3" s="114" t="s">
        <v>10</v>
      </c>
      <c r="D3" s="114" t="s">
        <v>11</v>
      </c>
      <c r="E3" s="114" t="s">
        <v>12</v>
      </c>
      <c r="F3" s="114" t="s">
        <v>13</v>
      </c>
      <c r="G3" s="114" t="s">
        <v>14</v>
      </c>
      <c r="H3" s="114"/>
      <c r="I3" s="114"/>
      <c r="J3" s="114"/>
      <c r="K3" s="114"/>
      <c r="L3" s="114"/>
      <c r="M3" s="114" t="s">
        <v>15</v>
      </c>
      <c r="N3" s="114" t="s">
        <v>16</v>
      </c>
      <c r="O3" s="114" t="s">
        <v>17</v>
      </c>
      <c r="P3" s="114" t="s">
        <v>18</v>
      </c>
      <c r="Q3" s="114" t="s">
        <v>19</v>
      </c>
      <c r="R3" s="114"/>
      <c r="S3" s="114"/>
      <c r="T3" s="114"/>
      <c r="U3" s="114"/>
      <c r="V3" s="114"/>
      <c r="W3" s="115" t="s">
        <v>20</v>
      </c>
    </row>
    <row r="4" spans="1:23" x14ac:dyDescent="0.25">
      <c r="A4" s="113"/>
      <c r="B4" s="114"/>
      <c r="C4" s="114"/>
      <c r="D4" s="114"/>
      <c r="E4" s="114"/>
      <c r="F4" s="114"/>
      <c r="G4" s="31" t="s">
        <v>21</v>
      </c>
      <c r="H4" s="31" t="s">
        <v>21</v>
      </c>
      <c r="I4" s="31" t="s">
        <v>21</v>
      </c>
      <c r="J4" s="31" t="s">
        <v>22</v>
      </c>
      <c r="K4" s="31" t="s">
        <v>22</v>
      </c>
      <c r="L4" s="32" t="s">
        <v>22</v>
      </c>
      <c r="M4" s="138"/>
      <c r="N4" s="114"/>
      <c r="O4" s="114"/>
      <c r="P4" s="114"/>
      <c r="Q4" s="31" t="s">
        <v>21</v>
      </c>
      <c r="R4" s="31" t="s">
        <v>21</v>
      </c>
      <c r="S4" s="31" t="s">
        <v>21</v>
      </c>
      <c r="T4" s="31" t="s">
        <v>22</v>
      </c>
      <c r="U4" s="31" t="s">
        <v>22</v>
      </c>
      <c r="V4" s="31" t="s">
        <v>22</v>
      </c>
      <c r="W4" s="115"/>
    </row>
    <row r="5" spans="1:23" ht="15.75" x14ac:dyDescent="0.25">
      <c r="A5" s="5">
        <v>1</v>
      </c>
      <c r="B5" s="21" t="s">
        <v>23</v>
      </c>
      <c r="C5" s="20">
        <v>46039</v>
      </c>
      <c r="D5" s="36">
        <v>46111</v>
      </c>
      <c r="E5" s="21">
        <v>3</v>
      </c>
      <c r="F5" s="21">
        <v>0</v>
      </c>
      <c r="G5" s="21">
        <v>137</v>
      </c>
      <c r="H5" s="21">
        <v>134</v>
      </c>
      <c r="I5" s="21"/>
      <c r="J5" s="21">
        <v>118</v>
      </c>
      <c r="K5" s="24"/>
      <c r="L5" s="29"/>
      <c r="M5" s="91">
        <f>AVERAGE(G5:L5)</f>
        <v>129.66666666666666</v>
      </c>
      <c r="N5" s="70">
        <v>46133</v>
      </c>
      <c r="O5" s="21">
        <v>3</v>
      </c>
      <c r="P5" s="21">
        <v>0</v>
      </c>
      <c r="Q5" s="21">
        <v>320</v>
      </c>
      <c r="R5" s="21">
        <v>317</v>
      </c>
      <c r="S5" s="21"/>
      <c r="T5" s="21">
        <v>225</v>
      </c>
      <c r="U5" s="21"/>
      <c r="V5" s="21"/>
      <c r="W5" s="68">
        <f>AVERAGE(Q5:V5)</f>
        <v>287.33333333333331</v>
      </c>
    </row>
    <row r="6" spans="1:23" ht="15.75" x14ac:dyDescent="0.25">
      <c r="A6" s="6">
        <v>2</v>
      </c>
      <c r="B6" s="21" t="s">
        <v>23</v>
      </c>
      <c r="C6" s="13">
        <v>46148</v>
      </c>
      <c r="D6" s="8"/>
      <c r="E6" s="8"/>
      <c r="F6" s="8"/>
      <c r="G6" s="8"/>
      <c r="H6" s="8"/>
      <c r="I6" s="8"/>
      <c r="J6" s="8"/>
      <c r="K6" s="25"/>
      <c r="L6" s="30"/>
      <c r="M6" s="57"/>
      <c r="N6" s="26"/>
      <c r="O6" s="8"/>
      <c r="P6" s="8"/>
      <c r="Q6" s="8"/>
      <c r="R6" s="8"/>
      <c r="S6" s="8"/>
      <c r="T6" s="8"/>
      <c r="U6" s="8"/>
      <c r="V6" s="8"/>
      <c r="W6" s="9"/>
    </row>
    <row r="7" spans="1:23" ht="15.75" x14ac:dyDescent="0.25">
      <c r="A7" s="6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27"/>
      <c r="M7" s="27"/>
      <c r="N7" s="8"/>
      <c r="O7" s="8"/>
      <c r="P7" s="8"/>
      <c r="Q7" s="8"/>
      <c r="R7" s="8"/>
      <c r="S7" s="8"/>
      <c r="T7" s="8"/>
      <c r="U7" s="8"/>
      <c r="V7" s="8"/>
      <c r="W7" s="9"/>
    </row>
    <row r="8" spans="1:23" ht="15.75" x14ac:dyDescent="0.25">
      <c r="A8" s="5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/>
    </row>
    <row r="9" spans="1:23" ht="15.75" x14ac:dyDescent="0.25">
      <c r="A9" s="5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</row>
    <row r="10" spans="1:23" ht="16.5" thickBot="1" x14ac:dyDescent="0.3">
      <c r="A10" s="7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2" spans="1:23" ht="15.75" thickBot="1" x14ac:dyDescent="0.3"/>
    <row r="13" spans="1:23" ht="15.75" x14ac:dyDescent="0.25">
      <c r="A13" s="100" t="s">
        <v>260</v>
      </c>
      <c r="B13" s="101"/>
      <c r="C13" s="202" t="s">
        <v>450</v>
      </c>
      <c r="D13" s="203"/>
      <c r="E13" s="111" t="s">
        <v>426</v>
      </c>
      <c r="F13" s="112"/>
      <c r="G13" s="101" t="s">
        <v>4</v>
      </c>
      <c r="H13" s="101"/>
      <c r="I13" s="102" t="s">
        <v>366</v>
      </c>
      <c r="J13" s="102"/>
      <c r="K13" s="102"/>
      <c r="L13" s="102"/>
      <c r="M13" s="102"/>
      <c r="N13" s="102"/>
      <c r="O13" s="101" t="s">
        <v>6</v>
      </c>
      <c r="P13" s="101"/>
      <c r="Q13" s="103"/>
      <c r="R13" s="104"/>
      <c r="S13" s="104"/>
      <c r="T13" s="104"/>
      <c r="U13" s="104"/>
      <c r="V13" s="104"/>
      <c r="W13" s="105"/>
    </row>
    <row r="14" spans="1:23" ht="15.75" x14ac:dyDescent="0.25">
      <c r="A14" s="106" t="s">
        <v>7</v>
      </c>
      <c r="B14" s="107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7"/>
      <c r="R14" s="107"/>
      <c r="S14" s="107"/>
      <c r="T14" s="107"/>
      <c r="U14" s="107"/>
      <c r="V14" s="107"/>
      <c r="W14" s="110"/>
    </row>
    <row r="15" spans="1:23" x14ac:dyDescent="0.25">
      <c r="A15" s="113" t="s">
        <v>8</v>
      </c>
      <c r="B15" s="114" t="s">
        <v>9</v>
      </c>
      <c r="C15" s="114" t="s">
        <v>10</v>
      </c>
      <c r="D15" s="114" t="s">
        <v>11</v>
      </c>
      <c r="E15" s="114" t="s">
        <v>12</v>
      </c>
      <c r="F15" s="114" t="s">
        <v>13</v>
      </c>
      <c r="G15" s="114" t="s">
        <v>14</v>
      </c>
      <c r="H15" s="114"/>
      <c r="I15" s="114"/>
      <c r="J15" s="114"/>
      <c r="K15" s="114"/>
      <c r="L15" s="114"/>
      <c r="M15" s="114" t="s">
        <v>15</v>
      </c>
      <c r="N15" s="114" t="s">
        <v>16</v>
      </c>
      <c r="O15" s="114" t="s">
        <v>17</v>
      </c>
      <c r="P15" s="114" t="s">
        <v>18</v>
      </c>
      <c r="Q15" s="114" t="s">
        <v>19</v>
      </c>
      <c r="R15" s="114"/>
      <c r="S15" s="114"/>
      <c r="T15" s="114"/>
      <c r="U15" s="114"/>
      <c r="V15" s="114"/>
      <c r="W15" s="115" t="s">
        <v>20</v>
      </c>
    </row>
    <row r="16" spans="1:23" x14ac:dyDescent="0.25">
      <c r="A16" s="113"/>
      <c r="B16" s="114"/>
      <c r="C16" s="114"/>
      <c r="D16" s="114"/>
      <c r="E16" s="114"/>
      <c r="F16" s="114"/>
      <c r="G16" s="31" t="s">
        <v>21</v>
      </c>
      <c r="H16" s="31" t="s">
        <v>21</v>
      </c>
      <c r="I16" s="31" t="s">
        <v>21</v>
      </c>
      <c r="J16" s="31" t="s">
        <v>22</v>
      </c>
      <c r="K16" s="31" t="s">
        <v>22</v>
      </c>
      <c r="L16" s="32" t="s">
        <v>22</v>
      </c>
      <c r="M16" s="138"/>
      <c r="N16" s="114"/>
      <c r="O16" s="114"/>
      <c r="P16" s="114"/>
      <c r="Q16" s="31" t="s">
        <v>21</v>
      </c>
      <c r="R16" s="31" t="s">
        <v>21</v>
      </c>
      <c r="S16" s="31" t="s">
        <v>21</v>
      </c>
      <c r="T16" s="31" t="s">
        <v>22</v>
      </c>
      <c r="U16" s="31" t="s">
        <v>22</v>
      </c>
      <c r="V16" s="31" t="s">
        <v>22</v>
      </c>
      <c r="W16" s="115"/>
    </row>
    <row r="17" spans="1:23" ht="15.75" x14ac:dyDescent="0.25">
      <c r="A17" s="5">
        <v>1</v>
      </c>
      <c r="B17" s="21" t="s">
        <v>23</v>
      </c>
      <c r="C17" s="20">
        <v>46039</v>
      </c>
      <c r="D17" s="36">
        <v>46119</v>
      </c>
      <c r="E17" s="21">
        <v>3</v>
      </c>
      <c r="F17" s="21">
        <v>0</v>
      </c>
      <c r="G17" s="21">
        <v>130</v>
      </c>
      <c r="H17" s="21">
        <v>122</v>
      </c>
      <c r="I17" s="21"/>
      <c r="J17" s="21">
        <v>125</v>
      </c>
      <c r="K17" s="24"/>
      <c r="L17" s="29"/>
      <c r="M17" s="91">
        <f>AVERAGE(G17:L17)</f>
        <v>125.66666666666667</v>
      </c>
      <c r="N17" s="70">
        <v>46139</v>
      </c>
      <c r="O17" s="21">
        <v>3</v>
      </c>
      <c r="P17" s="21">
        <v>0</v>
      </c>
      <c r="Q17" s="21">
        <v>227</v>
      </c>
      <c r="R17" s="21">
        <v>257</v>
      </c>
      <c r="S17" s="21"/>
      <c r="T17" s="21">
        <v>239</v>
      </c>
      <c r="U17" s="21"/>
      <c r="V17" s="21"/>
      <c r="W17" s="22">
        <f>AVERAGE(Q17:V17)</f>
        <v>241</v>
      </c>
    </row>
    <row r="18" spans="1:23" ht="15.75" x14ac:dyDescent="0.25">
      <c r="A18" s="6">
        <v>2</v>
      </c>
      <c r="B18" s="21" t="s">
        <v>23</v>
      </c>
      <c r="C18" s="13">
        <v>46148</v>
      </c>
      <c r="D18" s="8"/>
      <c r="E18" s="8"/>
      <c r="F18" s="8"/>
      <c r="G18" s="8"/>
      <c r="H18" s="8"/>
      <c r="I18" s="8"/>
      <c r="J18" s="8"/>
      <c r="K18" s="25"/>
      <c r="L18" s="30"/>
      <c r="M18" s="57"/>
      <c r="N18" s="26"/>
      <c r="O18" s="8"/>
      <c r="P18" s="8"/>
      <c r="Q18" s="8"/>
      <c r="R18" s="8"/>
      <c r="S18" s="8"/>
      <c r="T18" s="8"/>
      <c r="U18" s="8"/>
      <c r="V18" s="8"/>
      <c r="W18" s="9"/>
    </row>
    <row r="19" spans="1:23" ht="15.75" x14ac:dyDescent="0.25">
      <c r="A19" s="6">
        <v>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27"/>
      <c r="M19" s="27"/>
      <c r="N19" s="8"/>
      <c r="O19" s="8"/>
      <c r="P19" s="8"/>
      <c r="Q19" s="8"/>
      <c r="R19" s="8"/>
      <c r="S19" s="8"/>
      <c r="T19" s="8"/>
      <c r="U19" s="8"/>
      <c r="V19" s="8"/>
      <c r="W19" s="9"/>
    </row>
    <row r="20" spans="1:23" ht="15.75" x14ac:dyDescent="0.25">
      <c r="A20" s="5">
        <v>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</row>
    <row r="21" spans="1:23" ht="15.75" x14ac:dyDescent="0.25">
      <c r="A21" s="5">
        <v>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ht="16.5" thickBot="1" x14ac:dyDescent="0.3">
      <c r="A22" s="7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4" spans="1:23" ht="15.75" thickBot="1" x14ac:dyDescent="0.3"/>
    <row r="25" spans="1:23" ht="15.75" x14ac:dyDescent="0.25">
      <c r="A25" s="100" t="s">
        <v>260</v>
      </c>
      <c r="B25" s="101"/>
      <c r="C25" s="111" t="s">
        <v>451</v>
      </c>
      <c r="D25" s="112"/>
      <c r="E25" s="111" t="s">
        <v>426</v>
      </c>
      <c r="F25" s="112"/>
      <c r="G25" s="101" t="s">
        <v>4</v>
      </c>
      <c r="H25" s="101"/>
      <c r="I25" s="102" t="s">
        <v>366</v>
      </c>
      <c r="J25" s="102"/>
      <c r="K25" s="102"/>
      <c r="L25" s="102"/>
      <c r="M25" s="102"/>
      <c r="N25" s="102"/>
      <c r="O25" s="101" t="s">
        <v>6</v>
      </c>
      <c r="P25" s="101"/>
      <c r="Q25" s="103"/>
      <c r="R25" s="104"/>
      <c r="S25" s="104"/>
      <c r="T25" s="104"/>
      <c r="U25" s="104"/>
      <c r="V25" s="104"/>
      <c r="W25" s="105"/>
    </row>
    <row r="26" spans="1:23" ht="15.75" x14ac:dyDescent="0.25">
      <c r="A26" s="106" t="s">
        <v>7</v>
      </c>
      <c r="B26" s="107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7"/>
      <c r="R26" s="107"/>
      <c r="S26" s="107"/>
      <c r="T26" s="107"/>
      <c r="U26" s="107"/>
      <c r="V26" s="107"/>
      <c r="W26" s="110"/>
    </row>
    <row r="27" spans="1:23" x14ac:dyDescent="0.25">
      <c r="A27" s="113" t="s">
        <v>8</v>
      </c>
      <c r="B27" s="114" t="s">
        <v>9</v>
      </c>
      <c r="C27" s="114" t="s">
        <v>10</v>
      </c>
      <c r="D27" s="114" t="s">
        <v>11</v>
      </c>
      <c r="E27" s="114" t="s">
        <v>12</v>
      </c>
      <c r="F27" s="114" t="s">
        <v>13</v>
      </c>
      <c r="G27" s="114" t="s">
        <v>14</v>
      </c>
      <c r="H27" s="114"/>
      <c r="I27" s="114"/>
      <c r="J27" s="114"/>
      <c r="K27" s="114"/>
      <c r="L27" s="114"/>
      <c r="M27" s="114" t="s">
        <v>15</v>
      </c>
      <c r="N27" s="114" t="s">
        <v>16</v>
      </c>
      <c r="O27" s="114" t="s">
        <v>17</v>
      </c>
      <c r="P27" s="114" t="s">
        <v>18</v>
      </c>
      <c r="Q27" s="114" t="s">
        <v>19</v>
      </c>
      <c r="R27" s="114"/>
      <c r="S27" s="114"/>
      <c r="T27" s="114"/>
      <c r="U27" s="114"/>
      <c r="V27" s="114"/>
      <c r="W27" s="115" t="s">
        <v>20</v>
      </c>
    </row>
    <row r="28" spans="1:23" x14ac:dyDescent="0.25">
      <c r="A28" s="113"/>
      <c r="B28" s="114"/>
      <c r="C28" s="114"/>
      <c r="D28" s="114"/>
      <c r="E28" s="114"/>
      <c r="F28" s="114"/>
      <c r="G28" s="31" t="s">
        <v>21</v>
      </c>
      <c r="H28" s="31" t="s">
        <v>21</v>
      </c>
      <c r="I28" s="31" t="s">
        <v>21</v>
      </c>
      <c r="J28" s="31" t="s">
        <v>22</v>
      </c>
      <c r="K28" s="31" t="s">
        <v>22</v>
      </c>
      <c r="L28" s="32" t="s">
        <v>22</v>
      </c>
      <c r="M28" s="138"/>
      <c r="N28" s="114"/>
      <c r="O28" s="114"/>
      <c r="P28" s="114"/>
      <c r="Q28" s="31" t="s">
        <v>21</v>
      </c>
      <c r="R28" s="31" t="s">
        <v>21</v>
      </c>
      <c r="S28" s="31" t="s">
        <v>21</v>
      </c>
      <c r="T28" s="31" t="s">
        <v>22</v>
      </c>
      <c r="U28" s="31" t="s">
        <v>22</v>
      </c>
      <c r="V28" s="31" t="s">
        <v>22</v>
      </c>
      <c r="W28" s="115"/>
    </row>
    <row r="29" spans="1:23" ht="15.75" x14ac:dyDescent="0.25">
      <c r="A29" s="5">
        <v>1</v>
      </c>
      <c r="B29" s="21" t="s">
        <v>23</v>
      </c>
      <c r="C29" s="20">
        <v>46039</v>
      </c>
      <c r="D29" s="36" t="s">
        <v>428</v>
      </c>
      <c r="E29" s="21"/>
      <c r="F29" s="21"/>
      <c r="G29" s="21"/>
      <c r="H29" s="21"/>
      <c r="I29" s="21"/>
      <c r="J29" s="21"/>
      <c r="K29" s="24"/>
      <c r="L29" s="29"/>
      <c r="M29" s="165"/>
      <c r="O29" s="21"/>
      <c r="P29" s="21"/>
      <c r="Q29" s="21"/>
      <c r="R29" s="21"/>
      <c r="S29" s="21"/>
      <c r="T29" s="21"/>
      <c r="U29" s="21"/>
      <c r="V29" s="21"/>
      <c r="W29" s="22"/>
    </row>
    <row r="30" spans="1:23" ht="15.75" x14ac:dyDescent="0.25">
      <c r="A30" s="6">
        <v>2</v>
      </c>
      <c r="B30" s="21" t="s">
        <v>23</v>
      </c>
      <c r="C30" s="13">
        <v>46148</v>
      </c>
      <c r="D30" s="8"/>
      <c r="E30" s="8"/>
      <c r="F30" s="8"/>
      <c r="G30" s="8"/>
      <c r="H30" s="8"/>
      <c r="I30" s="8"/>
      <c r="J30" s="8"/>
      <c r="K30" s="25"/>
      <c r="L30" s="30"/>
      <c r="M30" s="165"/>
      <c r="N30" s="26"/>
      <c r="O30" s="8"/>
      <c r="P30" s="8"/>
      <c r="Q30" s="8"/>
      <c r="R30" s="8"/>
      <c r="S30" s="8"/>
      <c r="T30" s="8"/>
      <c r="U30" s="8"/>
      <c r="V30" s="8"/>
      <c r="W30" s="9"/>
    </row>
    <row r="31" spans="1:23" ht="15.75" x14ac:dyDescent="0.25">
      <c r="A31" s="6">
        <v>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27"/>
      <c r="M31" s="27"/>
      <c r="N31" s="8"/>
      <c r="O31" s="8"/>
      <c r="P31" s="8"/>
      <c r="Q31" s="8"/>
      <c r="R31" s="8"/>
      <c r="S31" s="8"/>
      <c r="T31" s="8"/>
      <c r="U31" s="8"/>
      <c r="V31" s="8"/>
      <c r="W31" s="9"/>
    </row>
    <row r="32" spans="1:23" ht="15.75" x14ac:dyDescent="0.25">
      <c r="A32" s="5">
        <v>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</row>
    <row r="33" spans="1:23" ht="15.75" x14ac:dyDescent="0.25">
      <c r="A33" s="5">
        <v>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</row>
    <row r="34" spans="1:23" ht="16.5" thickBot="1" x14ac:dyDescent="0.3">
      <c r="A34" s="7">
        <v>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6" spans="1:23" ht="15.75" thickBot="1" x14ac:dyDescent="0.3"/>
    <row r="37" spans="1:23" ht="15.75" x14ac:dyDescent="0.25">
      <c r="A37" s="100" t="s">
        <v>260</v>
      </c>
      <c r="B37" s="101"/>
      <c r="C37" s="111" t="s">
        <v>452</v>
      </c>
      <c r="D37" s="112"/>
      <c r="E37" s="111" t="s">
        <v>426</v>
      </c>
      <c r="F37" s="112"/>
      <c r="G37" s="101" t="s">
        <v>4</v>
      </c>
      <c r="H37" s="101"/>
      <c r="I37" s="102" t="s">
        <v>366</v>
      </c>
      <c r="J37" s="102"/>
      <c r="K37" s="102"/>
      <c r="L37" s="102"/>
      <c r="M37" s="102"/>
      <c r="N37" s="102"/>
      <c r="O37" s="101" t="s">
        <v>6</v>
      </c>
      <c r="P37" s="101"/>
      <c r="Q37" s="103"/>
      <c r="R37" s="104"/>
      <c r="S37" s="104"/>
      <c r="T37" s="104"/>
      <c r="U37" s="104"/>
      <c r="V37" s="104"/>
      <c r="W37" s="105"/>
    </row>
    <row r="38" spans="1:23" ht="15.75" x14ac:dyDescent="0.25">
      <c r="A38" s="106" t="s">
        <v>7</v>
      </c>
      <c r="B38" s="107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7"/>
      <c r="R38" s="107"/>
      <c r="S38" s="107"/>
      <c r="T38" s="107"/>
      <c r="U38" s="107"/>
      <c r="V38" s="107"/>
      <c r="W38" s="110"/>
    </row>
    <row r="39" spans="1:23" x14ac:dyDescent="0.25">
      <c r="A39" s="113" t="s">
        <v>8</v>
      </c>
      <c r="B39" s="114" t="s">
        <v>9</v>
      </c>
      <c r="C39" s="114" t="s">
        <v>10</v>
      </c>
      <c r="D39" s="114" t="s">
        <v>11</v>
      </c>
      <c r="E39" s="114" t="s">
        <v>12</v>
      </c>
      <c r="F39" s="114" t="s">
        <v>13</v>
      </c>
      <c r="G39" s="114" t="s">
        <v>14</v>
      </c>
      <c r="H39" s="114"/>
      <c r="I39" s="114"/>
      <c r="J39" s="114"/>
      <c r="K39" s="114"/>
      <c r="L39" s="114"/>
      <c r="M39" s="114" t="s">
        <v>15</v>
      </c>
      <c r="N39" s="114" t="s">
        <v>16</v>
      </c>
      <c r="O39" s="114" t="s">
        <v>17</v>
      </c>
      <c r="P39" s="114" t="s">
        <v>18</v>
      </c>
      <c r="Q39" s="114" t="s">
        <v>19</v>
      </c>
      <c r="R39" s="114"/>
      <c r="S39" s="114"/>
      <c r="T39" s="114"/>
      <c r="U39" s="114"/>
      <c r="V39" s="114"/>
      <c r="W39" s="115" t="s">
        <v>20</v>
      </c>
    </row>
    <row r="40" spans="1:23" x14ac:dyDescent="0.25">
      <c r="A40" s="113"/>
      <c r="B40" s="114"/>
      <c r="C40" s="114"/>
      <c r="D40" s="114"/>
      <c r="E40" s="114"/>
      <c r="F40" s="114"/>
      <c r="G40" s="31" t="s">
        <v>21</v>
      </c>
      <c r="H40" s="31" t="s">
        <v>21</v>
      </c>
      <c r="I40" s="31" t="s">
        <v>21</v>
      </c>
      <c r="J40" s="31" t="s">
        <v>22</v>
      </c>
      <c r="K40" s="31" t="s">
        <v>22</v>
      </c>
      <c r="L40" s="32" t="s">
        <v>22</v>
      </c>
      <c r="M40" s="138"/>
      <c r="N40" s="114"/>
      <c r="O40" s="114"/>
      <c r="P40" s="114"/>
      <c r="Q40" s="31" t="s">
        <v>21</v>
      </c>
      <c r="R40" s="31" t="s">
        <v>21</v>
      </c>
      <c r="S40" s="31" t="s">
        <v>21</v>
      </c>
      <c r="T40" s="31" t="s">
        <v>22</v>
      </c>
      <c r="U40" s="31" t="s">
        <v>22</v>
      </c>
      <c r="V40" s="31" t="s">
        <v>22</v>
      </c>
      <c r="W40" s="115"/>
    </row>
    <row r="41" spans="1:23" ht="15.75" x14ac:dyDescent="0.25">
      <c r="A41" s="5">
        <v>1</v>
      </c>
      <c r="B41" s="21" t="s">
        <v>23</v>
      </c>
      <c r="C41" s="20">
        <v>46039</v>
      </c>
      <c r="D41" s="36" t="s">
        <v>428</v>
      </c>
      <c r="E41" s="21"/>
      <c r="F41" s="21"/>
      <c r="G41" s="21"/>
      <c r="H41" s="21"/>
      <c r="I41" s="21"/>
      <c r="J41" s="21"/>
      <c r="K41" s="24"/>
      <c r="L41" s="29"/>
      <c r="M41" s="165"/>
      <c r="O41" s="21"/>
      <c r="P41" s="21"/>
      <c r="Q41" s="21"/>
      <c r="R41" s="21"/>
      <c r="S41" s="21"/>
      <c r="T41" s="21"/>
      <c r="U41" s="21"/>
      <c r="V41" s="21"/>
      <c r="W41" s="22"/>
    </row>
    <row r="42" spans="1:23" ht="15.75" x14ac:dyDescent="0.25">
      <c r="A42" s="6">
        <v>2</v>
      </c>
      <c r="B42" s="21" t="s">
        <v>23</v>
      </c>
      <c r="C42" s="13">
        <v>46148</v>
      </c>
      <c r="D42" s="8"/>
      <c r="E42" s="8"/>
      <c r="F42" s="8"/>
      <c r="G42" s="8"/>
      <c r="H42" s="8"/>
      <c r="I42" s="8"/>
      <c r="J42" s="8"/>
      <c r="K42" s="25"/>
      <c r="L42" s="30"/>
      <c r="M42" s="165"/>
      <c r="N42" s="26"/>
      <c r="O42" s="8"/>
      <c r="P42" s="8"/>
      <c r="Q42" s="8"/>
      <c r="R42" s="8"/>
      <c r="S42" s="8"/>
      <c r="T42" s="8"/>
      <c r="U42" s="8"/>
      <c r="V42" s="8"/>
      <c r="W42" s="9"/>
    </row>
    <row r="43" spans="1:23" ht="15.75" x14ac:dyDescent="0.25">
      <c r="A43" s="6">
        <v>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27"/>
      <c r="M43" s="27"/>
      <c r="N43" s="8"/>
      <c r="O43" s="8"/>
      <c r="P43" s="8"/>
      <c r="Q43" s="8"/>
      <c r="R43" s="8"/>
      <c r="S43" s="8"/>
      <c r="T43" s="8"/>
      <c r="U43" s="8"/>
      <c r="V43" s="8"/>
      <c r="W43" s="9"/>
    </row>
    <row r="44" spans="1:23" ht="15.75" x14ac:dyDescent="0.25">
      <c r="A44" s="5">
        <v>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9"/>
    </row>
    <row r="45" spans="1:23" ht="15.75" x14ac:dyDescent="0.25">
      <c r="A45" s="5">
        <v>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</row>
    <row r="46" spans="1:23" ht="16.5" thickBot="1" x14ac:dyDescent="0.3">
      <c r="A46" s="7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8" spans="1:23" ht="15.75" thickBot="1" x14ac:dyDescent="0.3"/>
    <row r="49" spans="1:23" ht="15.75" x14ac:dyDescent="0.25">
      <c r="A49" s="100" t="s">
        <v>260</v>
      </c>
      <c r="B49" s="101"/>
      <c r="C49" s="111" t="s">
        <v>441</v>
      </c>
      <c r="D49" s="112"/>
      <c r="E49" s="111" t="s">
        <v>426</v>
      </c>
      <c r="F49" s="112"/>
      <c r="G49" s="101" t="s">
        <v>4</v>
      </c>
      <c r="H49" s="101"/>
      <c r="I49" s="102" t="s">
        <v>366</v>
      </c>
      <c r="J49" s="102"/>
      <c r="K49" s="102"/>
      <c r="L49" s="102"/>
      <c r="M49" s="102"/>
      <c r="N49" s="102"/>
      <c r="O49" s="101" t="s">
        <v>6</v>
      </c>
      <c r="P49" s="101"/>
      <c r="Q49" s="103"/>
      <c r="R49" s="104"/>
      <c r="S49" s="104"/>
      <c r="T49" s="104"/>
      <c r="U49" s="104"/>
      <c r="V49" s="104"/>
      <c r="W49" s="105"/>
    </row>
    <row r="50" spans="1:23" ht="15.75" x14ac:dyDescent="0.25">
      <c r="A50" s="106" t="s">
        <v>7</v>
      </c>
      <c r="B50" s="107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7"/>
      <c r="R50" s="107"/>
      <c r="S50" s="107"/>
      <c r="T50" s="107"/>
      <c r="U50" s="107"/>
      <c r="V50" s="107"/>
      <c r="W50" s="110"/>
    </row>
    <row r="51" spans="1:23" x14ac:dyDescent="0.25">
      <c r="A51" s="113" t="s">
        <v>8</v>
      </c>
      <c r="B51" s="114" t="s">
        <v>9</v>
      </c>
      <c r="C51" s="114" t="s">
        <v>10</v>
      </c>
      <c r="D51" s="114" t="s">
        <v>11</v>
      </c>
      <c r="E51" s="114" t="s">
        <v>12</v>
      </c>
      <c r="F51" s="114" t="s">
        <v>13</v>
      </c>
      <c r="G51" s="114" t="s">
        <v>14</v>
      </c>
      <c r="H51" s="114"/>
      <c r="I51" s="114"/>
      <c r="J51" s="114"/>
      <c r="K51" s="114"/>
      <c r="L51" s="114"/>
      <c r="M51" s="114" t="s">
        <v>15</v>
      </c>
      <c r="N51" s="114" t="s">
        <v>16</v>
      </c>
      <c r="O51" s="114" t="s">
        <v>17</v>
      </c>
      <c r="P51" s="114" t="s">
        <v>18</v>
      </c>
      <c r="Q51" s="114" t="s">
        <v>19</v>
      </c>
      <c r="R51" s="114"/>
      <c r="S51" s="114"/>
      <c r="T51" s="114"/>
      <c r="U51" s="114"/>
      <c r="V51" s="114"/>
      <c r="W51" s="115" t="s">
        <v>20</v>
      </c>
    </row>
    <row r="52" spans="1:23" x14ac:dyDescent="0.25">
      <c r="A52" s="113"/>
      <c r="B52" s="114"/>
      <c r="C52" s="114"/>
      <c r="D52" s="114"/>
      <c r="E52" s="114"/>
      <c r="F52" s="114"/>
      <c r="G52" s="31" t="s">
        <v>21</v>
      </c>
      <c r="H52" s="31" t="s">
        <v>21</v>
      </c>
      <c r="I52" s="31" t="s">
        <v>21</v>
      </c>
      <c r="J52" s="31" t="s">
        <v>22</v>
      </c>
      <c r="K52" s="31" t="s">
        <v>22</v>
      </c>
      <c r="L52" s="32" t="s">
        <v>22</v>
      </c>
      <c r="M52" s="138"/>
      <c r="N52" s="114"/>
      <c r="O52" s="114"/>
      <c r="P52" s="114"/>
      <c r="Q52" s="31" t="s">
        <v>21</v>
      </c>
      <c r="R52" s="31" t="s">
        <v>21</v>
      </c>
      <c r="S52" s="31" t="s">
        <v>21</v>
      </c>
      <c r="T52" s="31" t="s">
        <v>22</v>
      </c>
      <c r="U52" s="31" t="s">
        <v>22</v>
      </c>
      <c r="V52" s="31" t="s">
        <v>22</v>
      </c>
      <c r="W52" s="115"/>
    </row>
    <row r="53" spans="1:23" ht="15.75" x14ac:dyDescent="0.25">
      <c r="A53" s="5">
        <v>1</v>
      </c>
      <c r="B53" s="21" t="s">
        <v>23</v>
      </c>
      <c r="C53" s="20">
        <v>46039</v>
      </c>
      <c r="D53" s="36" t="s">
        <v>428</v>
      </c>
      <c r="E53" s="21"/>
      <c r="F53" s="21"/>
      <c r="G53" s="21"/>
      <c r="H53" s="21"/>
      <c r="I53" s="21"/>
      <c r="J53" s="21"/>
      <c r="K53" s="24"/>
      <c r="L53" s="29"/>
      <c r="M53" s="165"/>
      <c r="O53" s="21"/>
      <c r="P53" s="21"/>
      <c r="Q53" s="21"/>
      <c r="R53" s="21"/>
      <c r="S53" s="21"/>
      <c r="T53" s="21"/>
      <c r="U53" s="21"/>
      <c r="V53" s="21"/>
      <c r="W53" s="22"/>
    </row>
    <row r="54" spans="1:23" ht="15.75" x14ac:dyDescent="0.25">
      <c r="A54" s="6">
        <v>2</v>
      </c>
      <c r="B54" s="21" t="s">
        <v>23</v>
      </c>
      <c r="C54" s="13">
        <v>46148</v>
      </c>
      <c r="D54" s="8"/>
      <c r="E54" s="8"/>
      <c r="F54" s="8"/>
      <c r="G54" s="8"/>
      <c r="H54" s="8"/>
      <c r="I54" s="8"/>
      <c r="J54" s="8"/>
      <c r="K54" s="25"/>
      <c r="L54" s="30"/>
      <c r="M54" s="165"/>
      <c r="N54" s="26"/>
      <c r="O54" s="8"/>
      <c r="P54" s="8"/>
      <c r="Q54" s="8"/>
      <c r="R54" s="8"/>
      <c r="S54" s="8"/>
      <c r="T54" s="8"/>
      <c r="U54" s="8"/>
      <c r="V54" s="8"/>
      <c r="W54" s="9"/>
    </row>
    <row r="55" spans="1:23" ht="15.75" x14ac:dyDescent="0.25">
      <c r="A55" s="6">
        <v>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27"/>
      <c r="M55" s="27"/>
      <c r="N55" s="8"/>
      <c r="O55" s="8"/>
      <c r="P55" s="8"/>
      <c r="Q55" s="8"/>
      <c r="R55" s="8"/>
      <c r="S55" s="8"/>
      <c r="T55" s="8"/>
      <c r="U55" s="8"/>
      <c r="V55" s="8"/>
      <c r="W55" s="9"/>
    </row>
    <row r="56" spans="1:23" ht="15.75" x14ac:dyDescent="0.25">
      <c r="A56" s="5">
        <v>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</row>
    <row r="57" spans="1:23" ht="15.75" x14ac:dyDescent="0.25">
      <c r="A57" s="5">
        <v>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</row>
    <row r="58" spans="1:23" ht="16.5" thickBot="1" x14ac:dyDescent="0.3">
      <c r="A58" s="7">
        <v>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60" spans="1:23" ht="15.75" thickBot="1" x14ac:dyDescent="0.3"/>
    <row r="61" spans="1:23" ht="15.75" x14ac:dyDescent="0.25">
      <c r="A61" s="100" t="s">
        <v>260</v>
      </c>
      <c r="B61" s="101"/>
      <c r="C61" s="111" t="s">
        <v>453</v>
      </c>
      <c r="D61" s="112"/>
      <c r="E61" s="111" t="s">
        <v>458</v>
      </c>
      <c r="F61" s="112"/>
      <c r="G61" s="101" t="s">
        <v>4</v>
      </c>
      <c r="H61" s="101"/>
      <c r="I61" s="102" t="s">
        <v>366</v>
      </c>
      <c r="J61" s="102"/>
      <c r="K61" s="102"/>
      <c r="L61" s="102"/>
      <c r="M61" s="102"/>
      <c r="N61" s="102"/>
      <c r="O61" s="101" t="s">
        <v>6</v>
      </c>
      <c r="P61" s="101"/>
      <c r="Q61" s="103"/>
      <c r="R61" s="104"/>
      <c r="S61" s="104"/>
      <c r="T61" s="104"/>
      <c r="U61" s="104"/>
      <c r="V61" s="104"/>
      <c r="W61" s="105"/>
    </row>
    <row r="62" spans="1:23" ht="15.75" x14ac:dyDescent="0.25">
      <c r="A62" s="106" t="s">
        <v>7</v>
      </c>
      <c r="B62" s="107"/>
      <c r="C62" s="116" t="s">
        <v>44</v>
      </c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09"/>
      <c r="P62" s="109"/>
      <c r="Q62" s="107"/>
      <c r="R62" s="107"/>
      <c r="S62" s="107"/>
      <c r="T62" s="107"/>
      <c r="U62" s="107"/>
      <c r="V62" s="107"/>
      <c r="W62" s="110"/>
    </row>
    <row r="63" spans="1:23" x14ac:dyDescent="0.25">
      <c r="A63" s="113" t="s">
        <v>8</v>
      </c>
      <c r="B63" s="114" t="s">
        <v>9</v>
      </c>
      <c r="C63" s="114" t="s">
        <v>10</v>
      </c>
      <c r="D63" s="114" t="s">
        <v>11</v>
      </c>
      <c r="E63" s="114" t="s">
        <v>12</v>
      </c>
      <c r="F63" s="114" t="s">
        <v>13</v>
      </c>
      <c r="G63" s="114" t="s">
        <v>14</v>
      </c>
      <c r="H63" s="114"/>
      <c r="I63" s="114"/>
      <c r="J63" s="114"/>
      <c r="K63" s="114"/>
      <c r="L63" s="114"/>
      <c r="M63" s="114" t="s">
        <v>15</v>
      </c>
      <c r="N63" s="114" t="s">
        <v>16</v>
      </c>
      <c r="O63" s="114" t="s">
        <v>17</v>
      </c>
      <c r="P63" s="114" t="s">
        <v>18</v>
      </c>
      <c r="Q63" s="114" t="s">
        <v>19</v>
      </c>
      <c r="R63" s="114"/>
      <c r="S63" s="114"/>
      <c r="T63" s="114"/>
      <c r="U63" s="114"/>
      <c r="V63" s="114"/>
      <c r="W63" s="115" t="s">
        <v>20</v>
      </c>
    </row>
    <row r="64" spans="1:23" x14ac:dyDescent="0.25">
      <c r="A64" s="113"/>
      <c r="B64" s="114"/>
      <c r="C64" s="114"/>
      <c r="D64" s="114"/>
      <c r="E64" s="114"/>
      <c r="F64" s="114"/>
      <c r="G64" s="31" t="s">
        <v>21</v>
      </c>
      <c r="H64" s="31" t="s">
        <v>21</v>
      </c>
      <c r="I64" s="31" t="s">
        <v>21</v>
      </c>
      <c r="J64" s="31" t="s">
        <v>22</v>
      </c>
      <c r="K64" s="31" t="s">
        <v>22</v>
      </c>
      <c r="L64" s="32" t="s">
        <v>22</v>
      </c>
      <c r="M64" s="138"/>
      <c r="N64" s="114"/>
      <c r="O64" s="114"/>
      <c r="P64" s="114"/>
      <c r="Q64" s="31" t="s">
        <v>21</v>
      </c>
      <c r="R64" s="31" t="s">
        <v>21</v>
      </c>
      <c r="S64" s="31" t="s">
        <v>21</v>
      </c>
      <c r="T64" s="31" t="s">
        <v>22</v>
      </c>
      <c r="U64" s="31" t="s">
        <v>22</v>
      </c>
      <c r="V64" s="31" t="s">
        <v>22</v>
      </c>
      <c r="W64" s="115"/>
    </row>
    <row r="65" spans="1:23" ht="15.75" x14ac:dyDescent="0.25">
      <c r="A65" s="5">
        <v>1</v>
      </c>
      <c r="B65" s="21" t="s">
        <v>29</v>
      </c>
      <c r="C65" s="20">
        <v>46039</v>
      </c>
      <c r="D65" s="36">
        <v>46117</v>
      </c>
      <c r="E65" s="21">
        <v>1</v>
      </c>
      <c r="F65" s="21">
        <v>0</v>
      </c>
      <c r="G65" s="21">
        <v>219</v>
      </c>
      <c r="H65" s="21"/>
      <c r="I65" s="21"/>
      <c r="J65" s="21"/>
      <c r="K65" s="24"/>
      <c r="L65" s="29"/>
      <c r="M65" s="57">
        <v>219</v>
      </c>
      <c r="N65" s="70">
        <v>46139</v>
      </c>
      <c r="O65" s="21">
        <v>1</v>
      </c>
      <c r="P65" s="21">
        <v>0</v>
      </c>
      <c r="Q65" s="21">
        <v>310</v>
      </c>
      <c r="R65" s="21"/>
      <c r="S65" s="21"/>
      <c r="T65" s="21"/>
      <c r="U65" s="21"/>
      <c r="V65" s="21"/>
      <c r="W65" s="22">
        <v>310</v>
      </c>
    </row>
    <row r="66" spans="1:23" ht="15.75" x14ac:dyDescent="0.25">
      <c r="A66" s="6">
        <v>2</v>
      </c>
      <c r="B66" s="21"/>
      <c r="C66" s="8"/>
      <c r="D66" s="8"/>
      <c r="E66" s="8"/>
      <c r="F66" s="8"/>
      <c r="G66" s="8"/>
      <c r="H66" s="8"/>
      <c r="I66" s="8"/>
      <c r="J66" s="8"/>
      <c r="K66" s="25"/>
      <c r="L66" s="30"/>
      <c r="M66" s="57"/>
      <c r="N66" s="26"/>
      <c r="O66" s="8"/>
      <c r="P66" s="8"/>
      <c r="Q66" s="8"/>
      <c r="R66" s="8"/>
      <c r="S66" s="8"/>
      <c r="T66" s="8"/>
      <c r="U66" s="8"/>
      <c r="V66" s="8"/>
      <c r="W66" s="9"/>
    </row>
    <row r="67" spans="1:23" ht="15.75" x14ac:dyDescent="0.25">
      <c r="A67" s="6">
        <v>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27"/>
      <c r="M67" s="27"/>
      <c r="N67" s="8"/>
      <c r="O67" s="8"/>
      <c r="P67" s="8"/>
      <c r="Q67" s="8"/>
      <c r="R67" s="8"/>
      <c r="S67" s="8"/>
      <c r="T67" s="8"/>
      <c r="U67" s="8"/>
      <c r="V67" s="8"/>
      <c r="W67" s="9"/>
    </row>
    <row r="68" spans="1:23" ht="15.75" x14ac:dyDescent="0.25">
      <c r="A68" s="5">
        <v>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</row>
    <row r="69" spans="1:23" ht="15.75" x14ac:dyDescent="0.25">
      <c r="A69" s="5">
        <v>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</row>
    <row r="70" spans="1:23" ht="16.5" thickBot="1" x14ac:dyDescent="0.3">
      <c r="A70" s="7">
        <v>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2" spans="1:23" ht="15.75" thickBot="1" x14ac:dyDescent="0.3"/>
    <row r="73" spans="1:23" ht="15.75" x14ac:dyDescent="0.25">
      <c r="A73" s="100" t="s">
        <v>260</v>
      </c>
      <c r="B73" s="101"/>
      <c r="C73" s="202" t="s">
        <v>454</v>
      </c>
      <c r="D73" s="203"/>
      <c r="E73" s="111" t="s">
        <v>458</v>
      </c>
      <c r="F73" s="112"/>
      <c r="G73" s="101" t="s">
        <v>4</v>
      </c>
      <c r="H73" s="101"/>
      <c r="I73" s="102" t="s">
        <v>366</v>
      </c>
      <c r="J73" s="102"/>
      <c r="K73" s="102"/>
      <c r="L73" s="102"/>
      <c r="M73" s="102"/>
      <c r="N73" s="102"/>
      <c r="O73" s="101" t="s">
        <v>6</v>
      </c>
      <c r="P73" s="101"/>
      <c r="Q73" s="103"/>
      <c r="R73" s="104"/>
      <c r="S73" s="104"/>
      <c r="T73" s="104"/>
      <c r="U73" s="104"/>
      <c r="V73" s="104"/>
      <c r="W73" s="105"/>
    </row>
    <row r="74" spans="1:23" ht="15.75" x14ac:dyDescent="0.25">
      <c r="A74" s="106" t="s">
        <v>7</v>
      </c>
      <c r="B74" s="107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7"/>
      <c r="R74" s="107"/>
      <c r="S74" s="107"/>
      <c r="T74" s="107"/>
      <c r="U74" s="107"/>
      <c r="V74" s="107"/>
      <c r="W74" s="110"/>
    </row>
    <row r="75" spans="1:23" x14ac:dyDescent="0.25">
      <c r="A75" s="113" t="s">
        <v>8</v>
      </c>
      <c r="B75" s="114" t="s">
        <v>9</v>
      </c>
      <c r="C75" s="114" t="s">
        <v>10</v>
      </c>
      <c r="D75" s="114" t="s">
        <v>11</v>
      </c>
      <c r="E75" s="114" t="s">
        <v>12</v>
      </c>
      <c r="F75" s="114" t="s">
        <v>13</v>
      </c>
      <c r="G75" s="114" t="s">
        <v>14</v>
      </c>
      <c r="H75" s="114"/>
      <c r="I75" s="114"/>
      <c r="J75" s="114"/>
      <c r="K75" s="114"/>
      <c r="L75" s="114"/>
      <c r="M75" s="114" t="s">
        <v>15</v>
      </c>
      <c r="N75" s="114" t="s">
        <v>16</v>
      </c>
      <c r="O75" s="114" t="s">
        <v>17</v>
      </c>
      <c r="P75" s="114" t="s">
        <v>18</v>
      </c>
      <c r="Q75" s="114" t="s">
        <v>19</v>
      </c>
      <c r="R75" s="114"/>
      <c r="S75" s="114"/>
      <c r="T75" s="114"/>
      <c r="U75" s="114"/>
      <c r="V75" s="114"/>
      <c r="W75" s="115" t="s">
        <v>20</v>
      </c>
    </row>
    <row r="76" spans="1:23" x14ac:dyDescent="0.25">
      <c r="A76" s="113"/>
      <c r="B76" s="114"/>
      <c r="C76" s="114"/>
      <c r="D76" s="114"/>
      <c r="E76" s="114"/>
      <c r="F76" s="114"/>
      <c r="G76" s="31" t="s">
        <v>21</v>
      </c>
      <c r="H76" s="31" t="s">
        <v>21</v>
      </c>
      <c r="I76" s="31" t="s">
        <v>21</v>
      </c>
      <c r="J76" s="31" t="s">
        <v>22</v>
      </c>
      <c r="K76" s="31" t="s">
        <v>22</v>
      </c>
      <c r="L76" s="32" t="s">
        <v>22</v>
      </c>
      <c r="M76" s="138"/>
      <c r="N76" s="114"/>
      <c r="O76" s="114"/>
      <c r="P76" s="114"/>
      <c r="Q76" s="31" t="s">
        <v>21</v>
      </c>
      <c r="R76" s="31" t="s">
        <v>21</v>
      </c>
      <c r="S76" s="31" t="s">
        <v>21</v>
      </c>
      <c r="T76" s="31" t="s">
        <v>22</v>
      </c>
      <c r="U76" s="31" t="s">
        <v>22</v>
      </c>
      <c r="V76" s="31" t="s">
        <v>22</v>
      </c>
      <c r="W76" s="115"/>
    </row>
    <row r="77" spans="1:23" ht="15.75" x14ac:dyDescent="0.25">
      <c r="A77" s="5">
        <v>1</v>
      </c>
      <c r="B77" s="21" t="s">
        <v>29</v>
      </c>
      <c r="C77" s="20">
        <v>46039</v>
      </c>
      <c r="D77" s="36">
        <v>46104</v>
      </c>
      <c r="E77" s="21">
        <v>3</v>
      </c>
      <c r="F77" s="21">
        <v>0</v>
      </c>
      <c r="G77" s="21">
        <v>89</v>
      </c>
      <c r="H77" s="21">
        <v>110</v>
      </c>
      <c r="I77" s="21"/>
      <c r="J77" s="21">
        <v>88</v>
      </c>
      <c r="K77" s="24"/>
      <c r="L77" s="29"/>
      <c r="M77" s="91">
        <f>AVERAGE(G77:L77)</f>
        <v>95.666666666666671</v>
      </c>
      <c r="N77" s="70">
        <v>46133</v>
      </c>
      <c r="O77" s="21">
        <v>3</v>
      </c>
      <c r="P77" s="21">
        <v>0</v>
      </c>
      <c r="Q77" s="21">
        <v>318</v>
      </c>
      <c r="R77" s="21">
        <v>321</v>
      </c>
      <c r="S77" s="21"/>
      <c r="T77" s="21">
        <v>443</v>
      </c>
      <c r="U77" s="21"/>
      <c r="V77" s="21"/>
      <c r="W77" s="68">
        <f>AVERAGE(Q77:V77)</f>
        <v>360.66666666666669</v>
      </c>
    </row>
    <row r="78" spans="1:23" ht="15.75" x14ac:dyDescent="0.25">
      <c r="A78" s="6">
        <v>2</v>
      </c>
      <c r="B78" s="21" t="s">
        <v>29</v>
      </c>
      <c r="C78" s="13">
        <v>46148</v>
      </c>
      <c r="D78" s="8"/>
      <c r="E78" s="8"/>
      <c r="F78" s="8"/>
      <c r="G78" s="8"/>
      <c r="H78" s="8"/>
      <c r="I78" s="8"/>
      <c r="J78" s="8"/>
      <c r="K78" s="25"/>
      <c r="L78" s="30"/>
      <c r="M78" s="57"/>
      <c r="N78" s="26"/>
      <c r="O78" s="8"/>
      <c r="P78" s="8"/>
      <c r="Q78" s="8"/>
      <c r="R78" s="8"/>
      <c r="S78" s="8"/>
      <c r="T78" s="8"/>
      <c r="U78" s="8"/>
      <c r="V78" s="8"/>
      <c r="W78" s="9"/>
    </row>
    <row r="79" spans="1:23" ht="15.75" x14ac:dyDescent="0.25">
      <c r="A79" s="6">
        <v>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27"/>
      <c r="M79" s="27"/>
      <c r="N79" s="8"/>
      <c r="O79" s="8"/>
      <c r="P79" s="8"/>
      <c r="Q79" s="8"/>
      <c r="R79" s="8"/>
      <c r="S79" s="8"/>
      <c r="T79" s="8"/>
      <c r="U79" s="8"/>
      <c r="V79" s="8"/>
      <c r="W79" s="9"/>
    </row>
    <row r="80" spans="1:23" ht="15.75" x14ac:dyDescent="0.25">
      <c r="A80" s="5">
        <v>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</row>
    <row r="81" spans="1:23" ht="15.75" x14ac:dyDescent="0.25">
      <c r="A81" s="5">
        <v>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3" ht="16.5" thickBot="1" x14ac:dyDescent="0.3">
      <c r="A82" s="7">
        <v>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4" spans="1:23" ht="15.75" thickBot="1" x14ac:dyDescent="0.3"/>
    <row r="85" spans="1:23" ht="15.75" x14ac:dyDescent="0.25">
      <c r="A85" s="100" t="s">
        <v>260</v>
      </c>
      <c r="B85" s="101"/>
      <c r="C85" s="111" t="s">
        <v>455</v>
      </c>
      <c r="D85" s="112"/>
      <c r="E85" s="111" t="s">
        <v>458</v>
      </c>
      <c r="F85" s="112"/>
      <c r="G85" s="101" t="s">
        <v>4</v>
      </c>
      <c r="H85" s="101"/>
      <c r="I85" s="102" t="s">
        <v>366</v>
      </c>
      <c r="J85" s="102"/>
      <c r="K85" s="102"/>
      <c r="L85" s="102"/>
      <c r="M85" s="102"/>
      <c r="N85" s="102"/>
      <c r="O85" s="101" t="s">
        <v>6</v>
      </c>
      <c r="P85" s="101"/>
      <c r="Q85" s="103"/>
      <c r="R85" s="104"/>
      <c r="S85" s="104"/>
      <c r="T85" s="104"/>
      <c r="U85" s="104"/>
      <c r="V85" s="104"/>
      <c r="W85" s="105"/>
    </row>
    <row r="86" spans="1:23" ht="15.75" x14ac:dyDescent="0.25">
      <c r="A86" s="106" t="s">
        <v>7</v>
      </c>
      <c r="B86" s="107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7"/>
      <c r="R86" s="107"/>
      <c r="S86" s="107"/>
      <c r="T86" s="107"/>
      <c r="U86" s="107"/>
      <c r="V86" s="107"/>
      <c r="W86" s="110"/>
    </row>
    <row r="87" spans="1:23" x14ac:dyDescent="0.25">
      <c r="A87" s="113" t="s">
        <v>8</v>
      </c>
      <c r="B87" s="114" t="s">
        <v>9</v>
      </c>
      <c r="C87" s="114" t="s">
        <v>10</v>
      </c>
      <c r="D87" s="114" t="s">
        <v>11</v>
      </c>
      <c r="E87" s="114" t="s">
        <v>12</v>
      </c>
      <c r="F87" s="114" t="s">
        <v>13</v>
      </c>
      <c r="G87" s="114" t="s">
        <v>14</v>
      </c>
      <c r="H87" s="114"/>
      <c r="I87" s="114"/>
      <c r="J87" s="114"/>
      <c r="K87" s="114"/>
      <c r="L87" s="114"/>
      <c r="M87" s="114" t="s">
        <v>15</v>
      </c>
      <c r="N87" s="114" t="s">
        <v>16</v>
      </c>
      <c r="O87" s="114" t="s">
        <v>17</v>
      </c>
      <c r="P87" s="114" t="s">
        <v>18</v>
      </c>
      <c r="Q87" s="114" t="s">
        <v>19</v>
      </c>
      <c r="R87" s="114"/>
      <c r="S87" s="114"/>
      <c r="T87" s="114"/>
      <c r="U87" s="114"/>
      <c r="V87" s="114"/>
      <c r="W87" s="115" t="s">
        <v>20</v>
      </c>
    </row>
    <row r="88" spans="1:23" x14ac:dyDescent="0.25">
      <c r="A88" s="113"/>
      <c r="B88" s="114"/>
      <c r="C88" s="114"/>
      <c r="D88" s="114"/>
      <c r="E88" s="114"/>
      <c r="F88" s="114"/>
      <c r="G88" s="31" t="s">
        <v>21</v>
      </c>
      <c r="H88" s="31" t="s">
        <v>21</v>
      </c>
      <c r="I88" s="31" t="s">
        <v>21</v>
      </c>
      <c r="J88" s="31" t="s">
        <v>22</v>
      </c>
      <c r="K88" s="31" t="s">
        <v>22</v>
      </c>
      <c r="L88" s="32" t="s">
        <v>22</v>
      </c>
      <c r="M88" s="138"/>
      <c r="N88" s="114"/>
      <c r="O88" s="114"/>
      <c r="P88" s="114"/>
      <c r="Q88" s="31" t="s">
        <v>21</v>
      </c>
      <c r="R88" s="31" t="s">
        <v>21</v>
      </c>
      <c r="S88" s="31" t="s">
        <v>21</v>
      </c>
      <c r="T88" s="31" t="s">
        <v>22</v>
      </c>
      <c r="U88" s="31" t="s">
        <v>22</v>
      </c>
      <c r="V88" s="31" t="s">
        <v>22</v>
      </c>
      <c r="W88" s="115"/>
    </row>
    <row r="89" spans="1:23" ht="15.75" x14ac:dyDescent="0.25">
      <c r="A89" s="5">
        <v>1</v>
      </c>
      <c r="B89" s="21" t="s">
        <v>29</v>
      </c>
      <c r="C89" s="20">
        <v>46039</v>
      </c>
      <c r="D89" s="36" t="s">
        <v>428</v>
      </c>
      <c r="E89" s="21"/>
      <c r="F89" s="21"/>
      <c r="G89" s="21"/>
      <c r="H89" s="21"/>
      <c r="I89" s="21"/>
      <c r="J89" s="21"/>
      <c r="K89" s="24"/>
      <c r="L89" s="29"/>
      <c r="M89" s="165"/>
      <c r="O89" s="21"/>
      <c r="P89" s="21"/>
      <c r="Q89" s="21"/>
      <c r="R89" s="21"/>
      <c r="S89" s="21"/>
      <c r="T89" s="21"/>
      <c r="U89" s="21"/>
      <c r="V89" s="21"/>
      <c r="W89" s="22"/>
    </row>
    <row r="90" spans="1:23" ht="15.75" x14ac:dyDescent="0.25">
      <c r="A90" s="6">
        <v>2</v>
      </c>
      <c r="B90" s="21" t="s">
        <v>497</v>
      </c>
      <c r="C90" s="13">
        <v>46148</v>
      </c>
      <c r="D90" s="8"/>
      <c r="E90" s="8"/>
      <c r="F90" s="8"/>
      <c r="G90" s="8"/>
      <c r="H90" s="8"/>
      <c r="I90" s="8"/>
      <c r="J90" s="8"/>
      <c r="K90" s="25"/>
      <c r="L90" s="30"/>
      <c r="M90" s="165"/>
      <c r="N90" s="26"/>
      <c r="O90" s="8"/>
      <c r="P90" s="8"/>
      <c r="Q90" s="8"/>
      <c r="R90" s="8"/>
      <c r="S90" s="8"/>
      <c r="T90" s="8"/>
      <c r="U90" s="8"/>
      <c r="V90" s="8"/>
      <c r="W90" s="9"/>
    </row>
    <row r="91" spans="1:23" ht="15.75" x14ac:dyDescent="0.25">
      <c r="A91" s="6">
        <v>3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27"/>
      <c r="M91" s="27"/>
      <c r="N91" s="8"/>
      <c r="O91" s="8"/>
      <c r="P91" s="8"/>
      <c r="Q91" s="8"/>
      <c r="R91" s="8"/>
      <c r="S91" s="8"/>
      <c r="T91" s="8"/>
      <c r="U91" s="8"/>
      <c r="V91" s="8"/>
      <c r="W91" s="9"/>
    </row>
    <row r="92" spans="1:23" ht="15.75" x14ac:dyDescent="0.25">
      <c r="A92" s="5">
        <v>4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</row>
    <row r="93" spans="1:23" ht="15.75" x14ac:dyDescent="0.25">
      <c r="A93" s="5">
        <v>5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6.5" thickBot="1" x14ac:dyDescent="0.3">
      <c r="A94" s="7">
        <v>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6" spans="1:23" ht="15.75" thickBot="1" x14ac:dyDescent="0.3"/>
    <row r="97" spans="1:23" ht="15.75" x14ac:dyDescent="0.25">
      <c r="A97" s="100" t="s">
        <v>260</v>
      </c>
      <c r="B97" s="101"/>
      <c r="C97" s="111" t="s">
        <v>456</v>
      </c>
      <c r="D97" s="112"/>
      <c r="E97" s="111" t="s">
        <v>458</v>
      </c>
      <c r="F97" s="112"/>
      <c r="G97" s="101" t="s">
        <v>4</v>
      </c>
      <c r="H97" s="101"/>
      <c r="I97" s="102" t="s">
        <v>366</v>
      </c>
      <c r="J97" s="102"/>
      <c r="K97" s="102"/>
      <c r="L97" s="102"/>
      <c r="M97" s="102"/>
      <c r="N97" s="102"/>
      <c r="O97" s="101" t="s">
        <v>6</v>
      </c>
      <c r="P97" s="101"/>
      <c r="Q97" s="103"/>
      <c r="R97" s="104"/>
      <c r="S97" s="104"/>
      <c r="T97" s="104"/>
      <c r="U97" s="104"/>
      <c r="V97" s="104"/>
      <c r="W97" s="105"/>
    </row>
    <row r="98" spans="1:23" ht="15.75" x14ac:dyDescent="0.25">
      <c r="A98" s="106" t="s">
        <v>7</v>
      </c>
      <c r="B98" s="107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7"/>
      <c r="R98" s="107"/>
      <c r="S98" s="107"/>
      <c r="T98" s="107"/>
      <c r="U98" s="107"/>
      <c r="V98" s="107"/>
      <c r="W98" s="110"/>
    </row>
    <row r="99" spans="1:23" x14ac:dyDescent="0.25">
      <c r="A99" s="113" t="s">
        <v>8</v>
      </c>
      <c r="B99" s="114" t="s">
        <v>9</v>
      </c>
      <c r="C99" s="114" t="s">
        <v>10</v>
      </c>
      <c r="D99" s="114" t="s">
        <v>11</v>
      </c>
      <c r="E99" s="114" t="s">
        <v>12</v>
      </c>
      <c r="F99" s="114" t="s">
        <v>13</v>
      </c>
      <c r="G99" s="114" t="s">
        <v>14</v>
      </c>
      <c r="H99" s="114"/>
      <c r="I99" s="114"/>
      <c r="J99" s="114"/>
      <c r="K99" s="114"/>
      <c r="L99" s="114"/>
      <c r="M99" s="114" t="s">
        <v>15</v>
      </c>
      <c r="N99" s="114" t="s">
        <v>16</v>
      </c>
      <c r="O99" s="114" t="s">
        <v>17</v>
      </c>
      <c r="P99" s="114" t="s">
        <v>18</v>
      </c>
      <c r="Q99" s="114" t="s">
        <v>19</v>
      </c>
      <c r="R99" s="114"/>
      <c r="S99" s="114"/>
      <c r="T99" s="114"/>
      <c r="U99" s="114"/>
      <c r="V99" s="114"/>
      <c r="W99" s="115" t="s">
        <v>20</v>
      </c>
    </row>
    <row r="100" spans="1:23" x14ac:dyDescent="0.25">
      <c r="A100" s="113"/>
      <c r="B100" s="114"/>
      <c r="C100" s="114"/>
      <c r="D100" s="114"/>
      <c r="E100" s="114"/>
      <c r="F100" s="114"/>
      <c r="G100" s="31" t="s">
        <v>21</v>
      </c>
      <c r="H100" s="31" t="s">
        <v>21</v>
      </c>
      <c r="I100" s="31" t="s">
        <v>21</v>
      </c>
      <c r="J100" s="31" t="s">
        <v>22</v>
      </c>
      <c r="K100" s="31" t="s">
        <v>22</v>
      </c>
      <c r="L100" s="32" t="s">
        <v>22</v>
      </c>
      <c r="M100" s="138"/>
      <c r="N100" s="114"/>
      <c r="O100" s="114"/>
      <c r="P100" s="114"/>
      <c r="Q100" s="31" t="s">
        <v>21</v>
      </c>
      <c r="R100" s="31" t="s">
        <v>21</v>
      </c>
      <c r="S100" s="31" t="s">
        <v>21</v>
      </c>
      <c r="T100" s="31" t="s">
        <v>22</v>
      </c>
      <c r="U100" s="31" t="s">
        <v>22</v>
      </c>
      <c r="V100" s="31" t="s">
        <v>22</v>
      </c>
      <c r="W100" s="115"/>
    </row>
    <row r="101" spans="1:23" ht="15.75" x14ac:dyDescent="0.25">
      <c r="A101" s="5">
        <v>1</v>
      </c>
      <c r="B101" s="21" t="s">
        <v>29</v>
      </c>
      <c r="C101" s="20">
        <v>46039</v>
      </c>
      <c r="D101" s="36">
        <v>46117</v>
      </c>
      <c r="E101" s="21">
        <v>1</v>
      </c>
      <c r="F101" s="21">
        <v>0</v>
      </c>
      <c r="G101" s="21"/>
      <c r="H101" s="21"/>
      <c r="I101" s="21"/>
      <c r="J101" s="21">
        <v>195</v>
      </c>
      <c r="K101" s="24"/>
      <c r="L101" s="29"/>
      <c r="M101" s="57">
        <v>195</v>
      </c>
      <c r="N101" s="70">
        <v>46139</v>
      </c>
      <c r="O101" s="21">
        <v>1</v>
      </c>
      <c r="P101" s="21">
        <v>0</v>
      </c>
      <c r="Q101" s="21"/>
      <c r="R101" s="21"/>
      <c r="S101" s="21"/>
      <c r="T101" s="21">
        <v>291</v>
      </c>
      <c r="U101" s="21"/>
      <c r="V101" s="21"/>
      <c r="W101" s="22">
        <v>291</v>
      </c>
    </row>
    <row r="102" spans="1:23" ht="15.75" x14ac:dyDescent="0.25">
      <c r="A102" s="6">
        <v>2</v>
      </c>
      <c r="B102" s="21" t="s">
        <v>29</v>
      </c>
      <c r="C102" s="13">
        <v>46148</v>
      </c>
      <c r="D102" s="8"/>
      <c r="E102" s="8"/>
      <c r="F102" s="8"/>
      <c r="G102" s="8"/>
      <c r="H102" s="8"/>
      <c r="I102" s="8"/>
      <c r="J102" s="8"/>
      <c r="K102" s="25"/>
      <c r="L102" s="30"/>
      <c r="M102" s="57"/>
      <c r="N102" s="26"/>
      <c r="O102" s="8"/>
      <c r="P102" s="8"/>
      <c r="Q102" s="8"/>
      <c r="R102" s="8"/>
      <c r="S102" s="8"/>
      <c r="T102" s="8"/>
      <c r="U102" s="8"/>
      <c r="V102" s="8"/>
      <c r="W102" s="9"/>
    </row>
    <row r="103" spans="1:23" ht="15.75" x14ac:dyDescent="0.25">
      <c r="A103" s="6">
        <v>3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27"/>
      <c r="M103" s="27"/>
      <c r="N103" s="8"/>
      <c r="O103" s="8"/>
      <c r="P103" s="8"/>
      <c r="Q103" s="8"/>
      <c r="R103" s="8"/>
      <c r="S103" s="8"/>
      <c r="T103" s="8"/>
      <c r="U103" s="8"/>
      <c r="V103" s="8"/>
      <c r="W103" s="9"/>
    </row>
    <row r="104" spans="1:23" ht="15.75" x14ac:dyDescent="0.25">
      <c r="A104" s="5">
        <v>4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</row>
    <row r="105" spans="1:23" ht="15.75" x14ac:dyDescent="0.25">
      <c r="A105" s="5">
        <v>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6.5" thickBot="1" x14ac:dyDescent="0.3">
      <c r="A106" s="7">
        <v>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8" spans="1:23" ht="15.75" thickBot="1" x14ac:dyDescent="0.3"/>
    <row r="109" spans="1:23" ht="15.75" x14ac:dyDescent="0.25">
      <c r="A109" s="100" t="s">
        <v>260</v>
      </c>
      <c r="B109" s="101"/>
      <c r="C109" s="111" t="s">
        <v>457</v>
      </c>
      <c r="D109" s="112"/>
      <c r="E109" s="111" t="s">
        <v>458</v>
      </c>
      <c r="F109" s="112"/>
      <c r="G109" s="101" t="s">
        <v>4</v>
      </c>
      <c r="H109" s="101"/>
      <c r="I109" s="102" t="s">
        <v>366</v>
      </c>
      <c r="J109" s="102"/>
      <c r="K109" s="102"/>
      <c r="L109" s="102"/>
      <c r="M109" s="102"/>
      <c r="N109" s="102"/>
      <c r="O109" s="101" t="s">
        <v>6</v>
      </c>
      <c r="P109" s="101"/>
      <c r="Q109" s="103"/>
      <c r="R109" s="104"/>
      <c r="S109" s="104"/>
      <c r="T109" s="104"/>
      <c r="U109" s="104"/>
      <c r="V109" s="104"/>
      <c r="W109" s="105"/>
    </row>
    <row r="110" spans="1:23" ht="15.75" x14ac:dyDescent="0.25">
      <c r="A110" s="106" t="s">
        <v>7</v>
      </c>
      <c r="B110" s="107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7"/>
      <c r="R110" s="107"/>
      <c r="S110" s="107"/>
      <c r="T110" s="107"/>
      <c r="U110" s="107"/>
      <c r="V110" s="107"/>
      <c r="W110" s="110"/>
    </row>
    <row r="111" spans="1:23" x14ac:dyDescent="0.25">
      <c r="A111" s="113" t="s">
        <v>8</v>
      </c>
      <c r="B111" s="114" t="s">
        <v>9</v>
      </c>
      <c r="C111" s="114" t="s">
        <v>10</v>
      </c>
      <c r="D111" s="114" t="s">
        <v>11</v>
      </c>
      <c r="E111" s="114" t="s">
        <v>12</v>
      </c>
      <c r="F111" s="114" t="s">
        <v>13</v>
      </c>
      <c r="G111" s="114" t="s">
        <v>14</v>
      </c>
      <c r="H111" s="114"/>
      <c r="I111" s="114"/>
      <c r="J111" s="114"/>
      <c r="K111" s="114"/>
      <c r="L111" s="114"/>
      <c r="M111" s="114" t="s">
        <v>15</v>
      </c>
      <c r="N111" s="114" t="s">
        <v>16</v>
      </c>
      <c r="O111" s="114" t="s">
        <v>17</v>
      </c>
      <c r="P111" s="114" t="s">
        <v>18</v>
      </c>
      <c r="Q111" s="114" t="s">
        <v>19</v>
      </c>
      <c r="R111" s="114"/>
      <c r="S111" s="114"/>
      <c r="T111" s="114"/>
      <c r="U111" s="114"/>
      <c r="V111" s="114"/>
      <c r="W111" s="115" t="s">
        <v>20</v>
      </c>
    </row>
    <row r="112" spans="1:23" x14ac:dyDescent="0.25">
      <c r="A112" s="113"/>
      <c r="B112" s="114"/>
      <c r="C112" s="114"/>
      <c r="D112" s="114"/>
      <c r="E112" s="114"/>
      <c r="F112" s="114"/>
      <c r="G112" s="31" t="s">
        <v>21</v>
      </c>
      <c r="H112" s="31" t="s">
        <v>21</v>
      </c>
      <c r="I112" s="31" t="s">
        <v>21</v>
      </c>
      <c r="J112" s="31" t="s">
        <v>22</v>
      </c>
      <c r="K112" s="31" t="s">
        <v>22</v>
      </c>
      <c r="L112" s="32" t="s">
        <v>22</v>
      </c>
      <c r="M112" s="138"/>
      <c r="N112" s="114"/>
      <c r="O112" s="114"/>
      <c r="P112" s="114"/>
      <c r="Q112" s="31" t="s">
        <v>21</v>
      </c>
      <c r="R112" s="31" t="s">
        <v>21</v>
      </c>
      <c r="S112" s="31" t="s">
        <v>21</v>
      </c>
      <c r="T112" s="31" t="s">
        <v>22</v>
      </c>
      <c r="U112" s="31" t="s">
        <v>22</v>
      </c>
      <c r="V112" s="31" t="s">
        <v>22</v>
      </c>
      <c r="W112" s="115"/>
    </row>
    <row r="113" spans="1:23" ht="15.75" x14ac:dyDescent="0.25">
      <c r="A113" s="5">
        <v>1</v>
      </c>
      <c r="B113" s="21" t="s">
        <v>29</v>
      </c>
      <c r="C113" s="20">
        <v>46039</v>
      </c>
      <c r="D113" s="36">
        <v>46108</v>
      </c>
      <c r="E113" s="21">
        <v>1</v>
      </c>
      <c r="F113" s="21">
        <v>0</v>
      </c>
      <c r="G113" s="21"/>
      <c r="H113" s="21"/>
      <c r="I113" s="21"/>
      <c r="J113" s="21">
        <v>134</v>
      </c>
      <c r="K113" s="24"/>
      <c r="L113" s="29"/>
      <c r="M113" s="57">
        <v>134</v>
      </c>
      <c r="N113" s="70">
        <v>46133</v>
      </c>
      <c r="O113" s="21">
        <v>1</v>
      </c>
      <c r="P113" s="21">
        <v>0</v>
      </c>
      <c r="Q113" s="21"/>
      <c r="R113" s="21"/>
      <c r="S113" s="21"/>
      <c r="T113" s="21">
        <v>441</v>
      </c>
      <c r="U113" s="21"/>
      <c r="V113" s="21"/>
      <c r="W113" s="22">
        <v>441</v>
      </c>
    </row>
    <row r="114" spans="1:23" ht="15.75" x14ac:dyDescent="0.25">
      <c r="A114" s="6">
        <v>2</v>
      </c>
      <c r="B114" s="21" t="s">
        <v>29</v>
      </c>
      <c r="C114" s="13">
        <v>46148</v>
      </c>
      <c r="D114" s="8"/>
      <c r="E114" s="8"/>
      <c r="F114" s="8"/>
      <c r="G114" s="8"/>
      <c r="H114" s="8"/>
      <c r="I114" s="8"/>
      <c r="J114" s="8"/>
      <c r="K114" s="25"/>
      <c r="L114" s="30"/>
      <c r="M114" s="57"/>
      <c r="N114" s="26"/>
      <c r="O114" s="8"/>
      <c r="P114" s="8"/>
      <c r="Q114" s="8"/>
      <c r="R114" s="8"/>
      <c r="S114" s="8"/>
      <c r="T114" s="8"/>
      <c r="U114" s="8"/>
      <c r="V114" s="8"/>
      <c r="W114" s="9"/>
    </row>
    <row r="115" spans="1:23" ht="15.75" x14ac:dyDescent="0.25">
      <c r="A115" s="6">
        <v>3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27"/>
      <c r="M115" s="27"/>
      <c r="N115" s="8"/>
      <c r="O115" s="8"/>
      <c r="P115" s="8"/>
      <c r="Q115" s="8"/>
      <c r="R115" s="8"/>
      <c r="S115" s="8"/>
      <c r="T115" s="8"/>
      <c r="U115" s="8"/>
      <c r="V115" s="8"/>
      <c r="W115" s="9"/>
    </row>
    <row r="116" spans="1:23" ht="15.75" x14ac:dyDescent="0.25">
      <c r="A116" s="5">
        <v>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5">
        <v>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6.5" thickBot="1" x14ac:dyDescent="0.3">
      <c r="A118" s="7">
        <v>6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20" spans="1:23" ht="15.75" thickBot="1" x14ac:dyDescent="0.3"/>
    <row r="121" spans="1:23" ht="15.75" x14ac:dyDescent="0.25">
      <c r="A121" s="100" t="s">
        <v>260</v>
      </c>
      <c r="B121" s="101"/>
      <c r="C121" s="111" t="s">
        <v>459</v>
      </c>
      <c r="D121" s="112"/>
      <c r="E121" s="111" t="s">
        <v>409</v>
      </c>
      <c r="F121" s="112"/>
      <c r="G121" s="101" t="s">
        <v>4</v>
      </c>
      <c r="H121" s="101"/>
      <c r="I121" s="102" t="s">
        <v>135</v>
      </c>
      <c r="J121" s="102"/>
      <c r="K121" s="102"/>
      <c r="L121" s="102"/>
      <c r="M121" s="102"/>
      <c r="N121" s="102"/>
      <c r="O121" s="101" t="s">
        <v>6</v>
      </c>
      <c r="P121" s="101"/>
      <c r="Q121" s="103"/>
      <c r="R121" s="104"/>
      <c r="S121" s="104"/>
      <c r="T121" s="104"/>
      <c r="U121" s="104"/>
      <c r="V121" s="104"/>
      <c r="W121" s="105"/>
    </row>
    <row r="122" spans="1:23" ht="15.75" x14ac:dyDescent="0.25">
      <c r="A122" s="106" t="s">
        <v>7</v>
      </c>
      <c r="B122" s="107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7"/>
      <c r="R122" s="107"/>
      <c r="S122" s="107"/>
      <c r="T122" s="107"/>
      <c r="U122" s="107"/>
      <c r="V122" s="107"/>
      <c r="W122" s="110"/>
    </row>
    <row r="123" spans="1:23" x14ac:dyDescent="0.25">
      <c r="A123" s="113" t="s">
        <v>8</v>
      </c>
      <c r="B123" s="114" t="s">
        <v>9</v>
      </c>
      <c r="C123" s="114" t="s">
        <v>10</v>
      </c>
      <c r="D123" s="114" t="s">
        <v>11</v>
      </c>
      <c r="E123" s="114" t="s">
        <v>12</v>
      </c>
      <c r="F123" s="114" t="s">
        <v>13</v>
      </c>
      <c r="G123" s="114" t="s">
        <v>14</v>
      </c>
      <c r="H123" s="114"/>
      <c r="I123" s="114"/>
      <c r="J123" s="114"/>
      <c r="K123" s="114"/>
      <c r="L123" s="114"/>
      <c r="M123" s="114" t="s">
        <v>15</v>
      </c>
      <c r="N123" s="114" t="s">
        <v>16</v>
      </c>
      <c r="O123" s="114" t="s">
        <v>17</v>
      </c>
      <c r="P123" s="114" t="s">
        <v>18</v>
      </c>
      <c r="Q123" s="114" t="s">
        <v>19</v>
      </c>
      <c r="R123" s="114"/>
      <c r="S123" s="114"/>
      <c r="T123" s="114"/>
      <c r="U123" s="114"/>
      <c r="V123" s="114"/>
      <c r="W123" s="115" t="s">
        <v>20</v>
      </c>
    </row>
    <row r="124" spans="1:23" x14ac:dyDescent="0.25">
      <c r="A124" s="113"/>
      <c r="B124" s="114"/>
      <c r="C124" s="114"/>
      <c r="D124" s="114"/>
      <c r="E124" s="114"/>
      <c r="F124" s="114"/>
      <c r="G124" s="31" t="s">
        <v>21</v>
      </c>
      <c r="H124" s="31" t="s">
        <v>21</v>
      </c>
      <c r="I124" s="31" t="s">
        <v>21</v>
      </c>
      <c r="J124" s="31" t="s">
        <v>22</v>
      </c>
      <c r="K124" s="31" t="s">
        <v>22</v>
      </c>
      <c r="L124" s="32" t="s">
        <v>22</v>
      </c>
      <c r="M124" s="138"/>
      <c r="N124" s="114"/>
      <c r="O124" s="114"/>
      <c r="P124" s="114"/>
      <c r="Q124" s="31" t="s">
        <v>21</v>
      </c>
      <c r="R124" s="31" t="s">
        <v>21</v>
      </c>
      <c r="S124" s="31" t="s">
        <v>21</v>
      </c>
      <c r="T124" s="31" t="s">
        <v>22</v>
      </c>
      <c r="U124" s="31" t="s">
        <v>22</v>
      </c>
      <c r="V124" s="31" t="s">
        <v>22</v>
      </c>
      <c r="W124" s="115"/>
    </row>
    <row r="125" spans="1:23" ht="15.75" x14ac:dyDescent="0.25">
      <c r="A125" s="5">
        <v>1</v>
      </c>
      <c r="B125" s="21" t="s">
        <v>235</v>
      </c>
      <c r="C125" s="20">
        <v>46039</v>
      </c>
      <c r="D125" s="36">
        <v>46111</v>
      </c>
      <c r="E125" s="21">
        <v>1</v>
      </c>
      <c r="F125" s="21">
        <v>0</v>
      </c>
      <c r="G125" s="21"/>
      <c r="H125" s="21"/>
      <c r="I125" s="21"/>
      <c r="J125" s="21">
        <v>137</v>
      </c>
      <c r="K125" s="24"/>
      <c r="L125" s="29"/>
      <c r="M125" s="57">
        <v>137</v>
      </c>
      <c r="N125" s="70">
        <v>46133</v>
      </c>
      <c r="O125" s="21">
        <v>1</v>
      </c>
      <c r="P125" s="21">
        <v>0</v>
      </c>
      <c r="Q125" s="21"/>
      <c r="R125" s="21"/>
      <c r="S125" s="21"/>
      <c r="T125" s="21">
        <v>260</v>
      </c>
      <c r="U125" s="21"/>
      <c r="V125" s="21"/>
      <c r="W125" s="22">
        <v>260</v>
      </c>
    </row>
    <row r="126" spans="1:23" ht="15.75" x14ac:dyDescent="0.25">
      <c r="A126" s="6">
        <v>2</v>
      </c>
      <c r="B126" s="21" t="s">
        <v>235</v>
      </c>
      <c r="C126" s="13">
        <v>46148</v>
      </c>
      <c r="D126" s="8"/>
      <c r="E126" s="8"/>
      <c r="F126" s="8"/>
      <c r="G126" s="8"/>
      <c r="H126" s="8"/>
      <c r="I126" s="8"/>
      <c r="J126" s="8"/>
      <c r="K126" s="25"/>
      <c r="L126" s="30"/>
      <c r="M126" s="57"/>
      <c r="N126" s="26"/>
      <c r="O126" s="8"/>
      <c r="P126" s="8"/>
      <c r="Q126" s="8"/>
      <c r="R126" s="8"/>
      <c r="S126" s="8"/>
      <c r="T126" s="8"/>
      <c r="U126" s="8"/>
      <c r="V126" s="8"/>
      <c r="W126" s="9"/>
    </row>
    <row r="127" spans="1:23" ht="15.75" x14ac:dyDescent="0.25">
      <c r="A127" s="6">
        <v>3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27"/>
      <c r="M127" s="27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spans="1:23" ht="15.75" x14ac:dyDescent="0.25">
      <c r="A128" s="5">
        <v>4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spans="1:23" ht="15.75" x14ac:dyDescent="0.25">
      <c r="A129" s="5">
        <v>5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</row>
    <row r="130" spans="1:23" ht="16.5" thickBot="1" x14ac:dyDescent="0.3">
      <c r="A130" s="7">
        <v>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</sheetData>
  <mergeCells count="268">
    <mergeCell ref="Q1:W1"/>
    <mergeCell ref="A2:B2"/>
    <mergeCell ref="C2:N2"/>
    <mergeCell ref="O2:P2"/>
    <mergeCell ref="Q2:W2"/>
    <mergeCell ref="A3:A4"/>
    <mergeCell ref="B3:B4"/>
    <mergeCell ref="C3:C4"/>
    <mergeCell ref="D3:D4"/>
    <mergeCell ref="E3:E4"/>
    <mergeCell ref="A1:B1"/>
    <mergeCell ref="C1:D1"/>
    <mergeCell ref="E1:F1"/>
    <mergeCell ref="G1:H1"/>
    <mergeCell ref="I1:N1"/>
    <mergeCell ref="O1:P1"/>
    <mergeCell ref="Q3:V3"/>
    <mergeCell ref="W3:W4"/>
    <mergeCell ref="A13:B13"/>
    <mergeCell ref="C13:D13"/>
    <mergeCell ref="E13:F13"/>
    <mergeCell ref="G13:H13"/>
    <mergeCell ref="I13:N13"/>
    <mergeCell ref="O13:P13"/>
    <mergeCell ref="Q13:W13"/>
    <mergeCell ref="F3:F4"/>
    <mergeCell ref="G3:L3"/>
    <mergeCell ref="M3:M4"/>
    <mergeCell ref="N3:N4"/>
    <mergeCell ref="O3:O4"/>
    <mergeCell ref="P3:P4"/>
    <mergeCell ref="A14:B14"/>
    <mergeCell ref="C14:N14"/>
    <mergeCell ref="O14:P14"/>
    <mergeCell ref="Q14:W14"/>
    <mergeCell ref="A15:A16"/>
    <mergeCell ref="B15:B16"/>
    <mergeCell ref="C15:C16"/>
    <mergeCell ref="D15:D16"/>
    <mergeCell ref="E15:E16"/>
    <mergeCell ref="F15:F16"/>
    <mergeCell ref="W15:W16"/>
    <mergeCell ref="A25:B25"/>
    <mergeCell ref="C25:D25"/>
    <mergeCell ref="E25:F25"/>
    <mergeCell ref="G25:H25"/>
    <mergeCell ref="I25:N25"/>
    <mergeCell ref="O25:P25"/>
    <mergeCell ref="Q25:W25"/>
    <mergeCell ref="G15:L15"/>
    <mergeCell ref="M15:M16"/>
    <mergeCell ref="N15:N16"/>
    <mergeCell ref="O15:O16"/>
    <mergeCell ref="P15:P16"/>
    <mergeCell ref="Q15:V15"/>
    <mergeCell ref="A26:B26"/>
    <mergeCell ref="C26:N26"/>
    <mergeCell ref="O26:P26"/>
    <mergeCell ref="Q26:W26"/>
    <mergeCell ref="A27:A28"/>
    <mergeCell ref="B27:B28"/>
    <mergeCell ref="C27:C28"/>
    <mergeCell ref="D27:D28"/>
    <mergeCell ref="E27:E28"/>
    <mergeCell ref="F27:F28"/>
    <mergeCell ref="W27:W28"/>
    <mergeCell ref="M29:M30"/>
    <mergeCell ref="A37:B37"/>
    <mergeCell ref="C37:D37"/>
    <mergeCell ref="E37:F37"/>
    <mergeCell ref="G37:H37"/>
    <mergeCell ref="I37:N37"/>
    <mergeCell ref="O37:P37"/>
    <mergeCell ref="Q37:W37"/>
    <mergeCell ref="G27:L27"/>
    <mergeCell ref="M27:M28"/>
    <mergeCell ref="N27:N28"/>
    <mergeCell ref="O27:O28"/>
    <mergeCell ref="P27:P28"/>
    <mergeCell ref="Q27:V27"/>
    <mergeCell ref="A38:B38"/>
    <mergeCell ref="C38:N38"/>
    <mergeCell ref="O38:P38"/>
    <mergeCell ref="Q38:W38"/>
    <mergeCell ref="A39:A40"/>
    <mergeCell ref="B39:B40"/>
    <mergeCell ref="C39:C40"/>
    <mergeCell ref="D39:D40"/>
    <mergeCell ref="E39:E40"/>
    <mergeCell ref="F39:F40"/>
    <mergeCell ref="W39:W40"/>
    <mergeCell ref="M41:M42"/>
    <mergeCell ref="A49:B49"/>
    <mergeCell ref="C49:D49"/>
    <mergeCell ref="E49:F49"/>
    <mergeCell ref="G49:H49"/>
    <mergeCell ref="I49:N49"/>
    <mergeCell ref="O49:P49"/>
    <mergeCell ref="Q49:W49"/>
    <mergeCell ref="G39:L39"/>
    <mergeCell ref="M39:M40"/>
    <mergeCell ref="N39:N40"/>
    <mergeCell ref="O39:O40"/>
    <mergeCell ref="P39:P40"/>
    <mergeCell ref="Q39:V39"/>
    <mergeCell ref="A50:B50"/>
    <mergeCell ref="C50:N50"/>
    <mergeCell ref="O50:P50"/>
    <mergeCell ref="Q50:W50"/>
    <mergeCell ref="A51:A52"/>
    <mergeCell ref="B51:B52"/>
    <mergeCell ref="C51:C52"/>
    <mergeCell ref="D51:D52"/>
    <mergeCell ref="E51:E52"/>
    <mergeCell ref="F51:F52"/>
    <mergeCell ref="W51:W52"/>
    <mergeCell ref="M53:M54"/>
    <mergeCell ref="A61:B61"/>
    <mergeCell ref="C61:D61"/>
    <mergeCell ref="E61:F61"/>
    <mergeCell ref="G61:H61"/>
    <mergeCell ref="I61:N61"/>
    <mergeCell ref="O61:P61"/>
    <mergeCell ref="Q61:W61"/>
    <mergeCell ref="G51:L51"/>
    <mergeCell ref="M51:M52"/>
    <mergeCell ref="N51:N52"/>
    <mergeCell ref="O51:O52"/>
    <mergeCell ref="P51:P52"/>
    <mergeCell ref="Q51:V51"/>
    <mergeCell ref="A62:B62"/>
    <mergeCell ref="C62:N62"/>
    <mergeCell ref="O62:P62"/>
    <mergeCell ref="Q62:W62"/>
    <mergeCell ref="A63:A64"/>
    <mergeCell ref="B63:B64"/>
    <mergeCell ref="C63:C64"/>
    <mergeCell ref="D63:D64"/>
    <mergeCell ref="E63:E64"/>
    <mergeCell ref="F63:F64"/>
    <mergeCell ref="W63:W64"/>
    <mergeCell ref="A73:B73"/>
    <mergeCell ref="C73:D73"/>
    <mergeCell ref="E73:F73"/>
    <mergeCell ref="G73:H73"/>
    <mergeCell ref="I73:N73"/>
    <mergeCell ref="O73:P73"/>
    <mergeCell ref="Q73:W73"/>
    <mergeCell ref="G63:L63"/>
    <mergeCell ref="M63:M64"/>
    <mergeCell ref="N63:N64"/>
    <mergeCell ref="O63:O64"/>
    <mergeCell ref="P63:P64"/>
    <mergeCell ref="Q63:V63"/>
    <mergeCell ref="A74:B74"/>
    <mergeCell ref="C74:N74"/>
    <mergeCell ref="O74:P74"/>
    <mergeCell ref="Q74:W74"/>
    <mergeCell ref="A75:A76"/>
    <mergeCell ref="B75:B76"/>
    <mergeCell ref="C75:C76"/>
    <mergeCell ref="D75:D76"/>
    <mergeCell ref="E75:E76"/>
    <mergeCell ref="F75:F76"/>
    <mergeCell ref="W75:W76"/>
    <mergeCell ref="A85:B85"/>
    <mergeCell ref="C85:D85"/>
    <mergeCell ref="E85:F85"/>
    <mergeCell ref="G85:H85"/>
    <mergeCell ref="I85:N85"/>
    <mergeCell ref="O85:P85"/>
    <mergeCell ref="Q85:W85"/>
    <mergeCell ref="G75:L75"/>
    <mergeCell ref="M75:M76"/>
    <mergeCell ref="N75:N76"/>
    <mergeCell ref="O75:O76"/>
    <mergeCell ref="P75:P76"/>
    <mergeCell ref="Q75:V75"/>
    <mergeCell ref="A86:B86"/>
    <mergeCell ref="C86:N86"/>
    <mergeCell ref="O86:P86"/>
    <mergeCell ref="Q86:W86"/>
    <mergeCell ref="A87:A88"/>
    <mergeCell ref="B87:B88"/>
    <mergeCell ref="C87:C88"/>
    <mergeCell ref="D87:D88"/>
    <mergeCell ref="E87:E88"/>
    <mergeCell ref="F87:F88"/>
    <mergeCell ref="W87:W88"/>
    <mergeCell ref="M89:M90"/>
    <mergeCell ref="A97:B97"/>
    <mergeCell ref="C97:D97"/>
    <mergeCell ref="E97:F97"/>
    <mergeCell ref="G97:H97"/>
    <mergeCell ref="I97:N97"/>
    <mergeCell ref="O97:P97"/>
    <mergeCell ref="Q97:W97"/>
    <mergeCell ref="G87:L87"/>
    <mergeCell ref="M87:M88"/>
    <mergeCell ref="N87:N88"/>
    <mergeCell ref="O87:O88"/>
    <mergeCell ref="P87:P88"/>
    <mergeCell ref="Q87:V87"/>
    <mergeCell ref="A98:B98"/>
    <mergeCell ref="C98:N98"/>
    <mergeCell ref="O98:P98"/>
    <mergeCell ref="Q98:W98"/>
    <mergeCell ref="A99:A100"/>
    <mergeCell ref="B99:B100"/>
    <mergeCell ref="C99:C100"/>
    <mergeCell ref="D99:D100"/>
    <mergeCell ref="E99:E100"/>
    <mergeCell ref="F99:F100"/>
    <mergeCell ref="W99:W100"/>
    <mergeCell ref="A109:B109"/>
    <mergeCell ref="C109:D109"/>
    <mergeCell ref="E109:F109"/>
    <mergeCell ref="G109:H109"/>
    <mergeCell ref="I109:N109"/>
    <mergeCell ref="O109:P109"/>
    <mergeCell ref="Q109:W109"/>
    <mergeCell ref="G99:L99"/>
    <mergeCell ref="M99:M100"/>
    <mergeCell ref="N99:N100"/>
    <mergeCell ref="O99:O100"/>
    <mergeCell ref="P99:P100"/>
    <mergeCell ref="Q99:V99"/>
    <mergeCell ref="A110:B110"/>
    <mergeCell ref="C110:N110"/>
    <mergeCell ref="O110:P110"/>
    <mergeCell ref="Q110:W110"/>
    <mergeCell ref="A111:A112"/>
    <mergeCell ref="B111:B112"/>
    <mergeCell ref="C111:C112"/>
    <mergeCell ref="D111:D112"/>
    <mergeCell ref="E111:E112"/>
    <mergeCell ref="F111:F112"/>
    <mergeCell ref="W111:W112"/>
    <mergeCell ref="A121:B121"/>
    <mergeCell ref="C121:D121"/>
    <mergeCell ref="E121:F121"/>
    <mergeCell ref="G121:H121"/>
    <mergeCell ref="I121:N121"/>
    <mergeCell ref="O121:P121"/>
    <mergeCell ref="Q121:W121"/>
    <mergeCell ref="G111:L111"/>
    <mergeCell ref="M111:M112"/>
    <mergeCell ref="N111:N112"/>
    <mergeCell ref="O111:O112"/>
    <mergeCell ref="P111:P112"/>
    <mergeCell ref="Q111:V111"/>
    <mergeCell ref="W123:W124"/>
    <mergeCell ref="G123:L123"/>
    <mergeCell ref="M123:M124"/>
    <mergeCell ref="N123:N124"/>
    <mergeCell ref="O123:O124"/>
    <mergeCell ref="P123:P124"/>
    <mergeCell ref="Q123:V123"/>
    <mergeCell ref="A122:B122"/>
    <mergeCell ref="C122:N122"/>
    <mergeCell ref="O122:P122"/>
    <mergeCell ref="Q122:W122"/>
    <mergeCell ref="A123:A124"/>
    <mergeCell ref="B123:B124"/>
    <mergeCell ref="C123:C124"/>
    <mergeCell ref="D123:D124"/>
    <mergeCell ref="E123:E124"/>
    <mergeCell ref="F123:F12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78B8-370C-4926-819A-851AFDEC8C44}">
  <dimension ref="A1:W118"/>
  <sheetViews>
    <sheetView topLeftCell="A99" workbookViewId="0">
      <selection activeCell="C97" sqref="C97:D97"/>
    </sheetView>
  </sheetViews>
  <sheetFormatPr baseColWidth="10" defaultRowHeight="15" x14ac:dyDescent="0.25"/>
  <cols>
    <col min="2" max="2" width="9.28515625" customWidth="1"/>
    <col min="3" max="3" width="13" customWidth="1"/>
    <col min="4" max="4" width="12.7109375" bestFit="1" customWidth="1"/>
    <col min="5" max="5" width="9" customWidth="1"/>
    <col min="7" max="7" width="5.85546875" customWidth="1"/>
    <col min="8" max="8" width="6" customWidth="1"/>
    <col min="9" max="9" width="5.5703125" customWidth="1"/>
    <col min="10" max="10" width="5.7109375" customWidth="1"/>
    <col min="11" max="11" width="6" customWidth="1"/>
    <col min="12" max="12" width="5.140625" customWidth="1"/>
    <col min="13" max="13" width="9.85546875" customWidth="1"/>
    <col min="15" max="15" width="9.85546875" customWidth="1"/>
    <col min="17" max="17" width="5.5703125" customWidth="1"/>
    <col min="18" max="18" width="5" customWidth="1"/>
    <col min="19" max="19" width="6" customWidth="1"/>
    <col min="20" max="20" width="5.140625" customWidth="1"/>
    <col min="21" max="22" width="6.28515625" customWidth="1"/>
  </cols>
  <sheetData>
    <row r="1" spans="1:23" ht="15.75" x14ac:dyDescent="0.25">
      <c r="A1" s="100" t="s">
        <v>260</v>
      </c>
      <c r="B1" s="101"/>
      <c r="C1" s="111" t="s">
        <v>460</v>
      </c>
      <c r="D1" s="112"/>
      <c r="E1" s="111" t="s">
        <v>409</v>
      </c>
      <c r="F1" s="112"/>
      <c r="G1" s="101" t="s">
        <v>4</v>
      </c>
      <c r="H1" s="101"/>
      <c r="I1" s="102" t="s">
        <v>135</v>
      </c>
      <c r="J1" s="102"/>
      <c r="K1" s="102"/>
      <c r="L1" s="102"/>
      <c r="M1" s="102"/>
      <c r="N1" s="102"/>
      <c r="O1" s="101" t="s">
        <v>6</v>
      </c>
      <c r="P1" s="101"/>
      <c r="Q1" s="103"/>
      <c r="R1" s="104"/>
      <c r="S1" s="104"/>
      <c r="T1" s="104"/>
      <c r="U1" s="104"/>
      <c r="V1" s="104"/>
      <c r="W1" s="105"/>
    </row>
    <row r="2" spans="1:23" ht="15.75" x14ac:dyDescent="0.25">
      <c r="A2" s="106" t="s">
        <v>7</v>
      </c>
      <c r="B2" s="107"/>
      <c r="C2" s="116" t="s">
        <v>44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09"/>
      <c r="P2" s="109"/>
      <c r="Q2" s="107"/>
      <c r="R2" s="107"/>
      <c r="S2" s="107"/>
      <c r="T2" s="107"/>
      <c r="U2" s="107"/>
      <c r="V2" s="107"/>
      <c r="W2" s="110"/>
    </row>
    <row r="3" spans="1:23" x14ac:dyDescent="0.25">
      <c r="A3" s="113" t="s">
        <v>8</v>
      </c>
      <c r="B3" s="114" t="s">
        <v>9</v>
      </c>
      <c r="C3" s="114" t="s">
        <v>10</v>
      </c>
      <c r="D3" s="114" t="s">
        <v>11</v>
      </c>
      <c r="E3" s="114" t="s">
        <v>12</v>
      </c>
      <c r="F3" s="114" t="s">
        <v>13</v>
      </c>
      <c r="G3" s="114" t="s">
        <v>14</v>
      </c>
      <c r="H3" s="114"/>
      <c r="I3" s="114"/>
      <c r="J3" s="114"/>
      <c r="K3" s="114"/>
      <c r="L3" s="114"/>
      <c r="M3" s="114" t="s">
        <v>15</v>
      </c>
      <c r="N3" s="114" t="s">
        <v>16</v>
      </c>
      <c r="O3" s="114" t="s">
        <v>17</v>
      </c>
      <c r="P3" s="114" t="s">
        <v>18</v>
      </c>
      <c r="Q3" s="114" t="s">
        <v>19</v>
      </c>
      <c r="R3" s="114"/>
      <c r="S3" s="114"/>
      <c r="T3" s="114"/>
      <c r="U3" s="114"/>
      <c r="V3" s="114"/>
      <c r="W3" s="115" t="s">
        <v>20</v>
      </c>
    </row>
    <row r="4" spans="1:23" x14ac:dyDescent="0.25">
      <c r="A4" s="113"/>
      <c r="B4" s="114"/>
      <c r="C4" s="114"/>
      <c r="D4" s="114"/>
      <c r="E4" s="114"/>
      <c r="F4" s="114"/>
      <c r="G4" s="31" t="s">
        <v>21</v>
      </c>
      <c r="H4" s="31" t="s">
        <v>21</v>
      </c>
      <c r="I4" s="31" t="s">
        <v>21</v>
      </c>
      <c r="J4" s="31" t="s">
        <v>22</v>
      </c>
      <c r="K4" s="31" t="s">
        <v>22</v>
      </c>
      <c r="L4" s="32" t="s">
        <v>22</v>
      </c>
      <c r="M4" s="138"/>
      <c r="N4" s="114"/>
      <c r="O4" s="114"/>
      <c r="P4" s="114"/>
      <c r="Q4" s="31" t="s">
        <v>21</v>
      </c>
      <c r="R4" s="31" t="s">
        <v>21</v>
      </c>
      <c r="S4" s="31" t="s">
        <v>21</v>
      </c>
      <c r="T4" s="31" t="s">
        <v>22</v>
      </c>
      <c r="U4" s="31" t="s">
        <v>22</v>
      </c>
      <c r="V4" s="31" t="s">
        <v>22</v>
      </c>
      <c r="W4" s="115"/>
    </row>
    <row r="5" spans="1:23" ht="15.75" x14ac:dyDescent="0.25">
      <c r="A5" s="5">
        <v>1</v>
      </c>
      <c r="B5" s="21" t="s">
        <v>235</v>
      </c>
      <c r="C5" s="20">
        <v>46039</v>
      </c>
      <c r="D5" s="36">
        <v>46122</v>
      </c>
      <c r="E5" s="21">
        <v>2</v>
      </c>
      <c r="F5" s="21">
        <v>0</v>
      </c>
      <c r="G5" s="21">
        <v>125</v>
      </c>
      <c r="H5" s="21">
        <v>128</v>
      </c>
      <c r="I5" s="21"/>
      <c r="J5" s="21"/>
      <c r="K5" s="24"/>
      <c r="L5" s="29"/>
      <c r="M5" s="57">
        <f>AVERAGE(G5:L5)</f>
        <v>126.5</v>
      </c>
      <c r="N5" s="70">
        <v>46139</v>
      </c>
      <c r="O5" s="21">
        <v>2</v>
      </c>
      <c r="P5" s="21">
        <v>0</v>
      </c>
      <c r="Q5" s="21">
        <v>205</v>
      </c>
      <c r="R5" s="21">
        <v>190</v>
      </c>
      <c r="S5" s="21"/>
      <c r="T5" s="21"/>
      <c r="U5" s="21"/>
      <c r="V5" s="21"/>
      <c r="W5" s="22">
        <f>AVERAGE(Q5:V5)</f>
        <v>197.5</v>
      </c>
    </row>
    <row r="6" spans="1:23" ht="15.75" x14ac:dyDescent="0.25">
      <c r="A6" s="6">
        <v>2</v>
      </c>
      <c r="B6" s="21" t="s">
        <v>235</v>
      </c>
      <c r="C6" s="13">
        <v>46148</v>
      </c>
      <c r="D6" s="8"/>
      <c r="E6" s="8"/>
      <c r="F6" s="8"/>
      <c r="G6" s="8"/>
      <c r="H6" s="8"/>
      <c r="I6" s="8"/>
      <c r="J6" s="8"/>
      <c r="K6" s="25"/>
      <c r="L6" s="30"/>
      <c r="M6" s="57"/>
      <c r="N6" s="26"/>
      <c r="O6" s="8"/>
      <c r="P6" s="8"/>
      <c r="Q6" s="8"/>
      <c r="R6" s="8"/>
      <c r="S6" s="8"/>
      <c r="T6" s="8"/>
      <c r="U6" s="8"/>
      <c r="V6" s="8"/>
      <c r="W6" s="9"/>
    </row>
    <row r="7" spans="1:23" ht="15.75" x14ac:dyDescent="0.25">
      <c r="A7" s="6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27"/>
      <c r="M7" s="27"/>
      <c r="N7" s="8"/>
      <c r="O7" s="8"/>
      <c r="P7" s="8"/>
      <c r="Q7" s="8"/>
      <c r="R7" s="8"/>
      <c r="S7" s="8"/>
      <c r="T7" s="8"/>
      <c r="U7" s="8"/>
      <c r="V7" s="8"/>
      <c r="W7" s="9"/>
    </row>
    <row r="8" spans="1:23" ht="15.75" x14ac:dyDescent="0.25">
      <c r="A8" s="5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/>
    </row>
    <row r="9" spans="1:23" ht="15.75" x14ac:dyDescent="0.25">
      <c r="A9" s="5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</row>
    <row r="10" spans="1:23" ht="16.5" thickBot="1" x14ac:dyDescent="0.3">
      <c r="A10" s="7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2" spans="1:23" ht="15.75" thickBot="1" x14ac:dyDescent="0.3"/>
    <row r="13" spans="1:23" ht="15.75" x14ac:dyDescent="0.25">
      <c r="A13" s="100" t="s">
        <v>260</v>
      </c>
      <c r="B13" s="101"/>
      <c r="C13" s="111" t="s">
        <v>461</v>
      </c>
      <c r="D13" s="112"/>
      <c r="E13" s="111" t="s">
        <v>409</v>
      </c>
      <c r="F13" s="112"/>
      <c r="G13" s="101" t="s">
        <v>4</v>
      </c>
      <c r="H13" s="101"/>
      <c r="I13" s="102" t="s">
        <v>135</v>
      </c>
      <c r="J13" s="102"/>
      <c r="K13" s="102"/>
      <c r="L13" s="102"/>
      <c r="M13" s="102"/>
      <c r="N13" s="102"/>
      <c r="O13" s="101" t="s">
        <v>6</v>
      </c>
      <c r="P13" s="101"/>
      <c r="Q13" s="103"/>
      <c r="R13" s="104"/>
      <c r="S13" s="104"/>
      <c r="T13" s="104"/>
      <c r="U13" s="104"/>
      <c r="V13" s="104"/>
      <c r="W13" s="105"/>
    </row>
    <row r="14" spans="1:23" ht="15.75" x14ac:dyDescent="0.25">
      <c r="A14" s="106" t="s">
        <v>7</v>
      </c>
      <c r="B14" s="107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7"/>
      <c r="R14" s="107"/>
      <c r="S14" s="107"/>
      <c r="T14" s="107"/>
      <c r="U14" s="107"/>
      <c r="V14" s="107"/>
      <c r="W14" s="110"/>
    </row>
    <row r="15" spans="1:23" x14ac:dyDescent="0.25">
      <c r="A15" s="113" t="s">
        <v>8</v>
      </c>
      <c r="B15" s="114" t="s">
        <v>9</v>
      </c>
      <c r="C15" s="114" t="s">
        <v>10</v>
      </c>
      <c r="D15" s="114" t="s">
        <v>11</v>
      </c>
      <c r="E15" s="114" t="s">
        <v>12</v>
      </c>
      <c r="F15" s="114" t="s">
        <v>13</v>
      </c>
      <c r="G15" s="114" t="s">
        <v>14</v>
      </c>
      <c r="H15" s="114"/>
      <c r="I15" s="114"/>
      <c r="J15" s="114"/>
      <c r="K15" s="114"/>
      <c r="L15" s="114"/>
      <c r="M15" s="114" t="s">
        <v>15</v>
      </c>
      <c r="N15" s="114" t="s">
        <v>16</v>
      </c>
      <c r="O15" s="114" t="s">
        <v>17</v>
      </c>
      <c r="P15" s="114" t="s">
        <v>18</v>
      </c>
      <c r="Q15" s="114" t="s">
        <v>19</v>
      </c>
      <c r="R15" s="114"/>
      <c r="S15" s="114"/>
      <c r="T15" s="114"/>
      <c r="U15" s="114"/>
      <c r="V15" s="114"/>
      <c r="W15" s="115" t="s">
        <v>20</v>
      </c>
    </row>
    <row r="16" spans="1:23" x14ac:dyDescent="0.25">
      <c r="A16" s="113"/>
      <c r="B16" s="114"/>
      <c r="C16" s="114"/>
      <c r="D16" s="114"/>
      <c r="E16" s="114"/>
      <c r="F16" s="114"/>
      <c r="G16" s="31" t="s">
        <v>21</v>
      </c>
      <c r="H16" s="31" t="s">
        <v>21</v>
      </c>
      <c r="I16" s="31" t="s">
        <v>21</v>
      </c>
      <c r="J16" s="31" t="s">
        <v>22</v>
      </c>
      <c r="K16" s="31" t="s">
        <v>22</v>
      </c>
      <c r="L16" s="32" t="s">
        <v>22</v>
      </c>
      <c r="M16" s="138"/>
      <c r="N16" s="114"/>
      <c r="O16" s="114"/>
      <c r="P16" s="114"/>
      <c r="Q16" s="31" t="s">
        <v>21</v>
      </c>
      <c r="R16" s="31" t="s">
        <v>21</v>
      </c>
      <c r="S16" s="31" t="s">
        <v>21</v>
      </c>
      <c r="T16" s="31" t="s">
        <v>22</v>
      </c>
      <c r="U16" s="31" t="s">
        <v>22</v>
      </c>
      <c r="V16" s="31" t="s">
        <v>22</v>
      </c>
      <c r="W16" s="115"/>
    </row>
    <row r="17" spans="1:23" ht="15.75" x14ac:dyDescent="0.25">
      <c r="A17" s="5">
        <v>1</v>
      </c>
      <c r="B17" s="21" t="s">
        <v>235</v>
      </c>
      <c r="C17" s="20">
        <v>46039</v>
      </c>
      <c r="D17" s="36">
        <v>46126</v>
      </c>
      <c r="E17" s="21">
        <v>3</v>
      </c>
      <c r="F17" s="21">
        <v>0</v>
      </c>
      <c r="G17" s="21">
        <v>122</v>
      </c>
      <c r="H17" s="21">
        <v>123</v>
      </c>
      <c r="I17" s="21"/>
      <c r="J17" s="21">
        <v>118</v>
      </c>
      <c r="K17" s="24"/>
      <c r="L17" s="29"/>
      <c r="M17" s="57">
        <f>AVERAGE(G17:L17)</f>
        <v>121</v>
      </c>
      <c r="N17" s="70">
        <v>46136</v>
      </c>
      <c r="O17" s="21">
        <v>3</v>
      </c>
      <c r="P17" s="21">
        <v>0</v>
      </c>
      <c r="Q17" s="21">
        <v>180</v>
      </c>
      <c r="R17" s="21">
        <v>150</v>
      </c>
      <c r="S17" s="21"/>
      <c r="T17" s="21">
        <v>195</v>
      </c>
      <c r="U17" s="21"/>
      <c r="V17" s="21"/>
      <c r="W17" s="22">
        <f>AVERAGE(Q17:V17)</f>
        <v>175</v>
      </c>
    </row>
    <row r="18" spans="1:23" ht="15.75" x14ac:dyDescent="0.25">
      <c r="A18" s="6">
        <v>2</v>
      </c>
      <c r="B18" s="21" t="s">
        <v>235</v>
      </c>
      <c r="C18" s="13">
        <v>46148</v>
      </c>
      <c r="D18" s="8"/>
      <c r="E18" s="8"/>
      <c r="F18" s="8"/>
      <c r="G18" s="8"/>
      <c r="H18" s="8"/>
      <c r="I18" s="8"/>
      <c r="J18" s="8"/>
      <c r="K18" s="25"/>
      <c r="L18" s="30"/>
      <c r="M18" s="57"/>
      <c r="N18" s="26"/>
      <c r="O18" s="8"/>
      <c r="P18" s="8"/>
      <c r="Q18" s="8"/>
      <c r="R18" s="8"/>
      <c r="S18" s="8"/>
      <c r="T18" s="8"/>
      <c r="U18" s="8"/>
      <c r="V18" s="8"/>
      <c r="W18" s="9"/>
    </row>
    <row r="19" spans="1:23" ht="15.75" x14ac:dyDescent="0.25">
      <c r="A19" s="6">
        <v>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27"/>
      <c r="M19" s="27"/>
      <c r="N19" s="8"/>
      <c r="O19" s="8"/>
      <c r="P19" s="8"/>
      <c r="Q19" s="8"/>
      <c r="R19" s="8"/>
      <c r="S19" s="8"/>
      <c r="T19" s="8"/>
      <c r="U19" s="8"/>
      <c r="V19" s="8"/>
      <c r="W19" s="9"/>
    </row>
    <row r="20" spans="1:23" ht="15.75" x14ac:dyDescent="0.25">
      <c r="A20" s="5">
        <v>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</row>
    <row r="21" spans="1:23" ht="15.75" x14ac:dyDescent="0.25">
      <c r="A21" s="5">
        <v>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ht="16.5" thickBot="1" x14ac:dyDescent="0.3">
      <c r="A22" s="7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4" spans="1:23" ht="15.75" thickBot="1" x14ac:dyDescent="0.3"/>
    <row r="25" spans="1:23" ht="15.75" x14ac:dyDescent="0.25">
      <c r="A25" s="100" t="s">
        <v>260</v>
      </c>
      <c r="B25" s="101"/>
      <c r="C25" s="111" t="s">
        <v>462</v>
      </c>
      <c r="D25" s="112"/>
      <c r="E25" s="111" t="s">
        <v>409</v>
      </c>
      <c r="F25" s="112"/>
      <c r="G25" s="101" t="s">
        <v>4</v>
      </c>
      <c r="H25" s="101"/>
      <c r="I25" s="102" t="s">
        <v>135</v>
      </c>
      <c r="J25" s="102"/>
      <c r="K25" s="102"/>
      <c r="L25" s="102"/>
      <c r="M25" s="102"/>
      <c r="N25" s="102"/>
      <c r="O25" s="101" t="s">
        <v>6</v>
      </c>
      <c r="P25" s="101"/>
      <c r="Q25" s="103"/>
      <c r="R25" s="104"/>
      <c r="S25" s="104"/>
      <c r="T25" s="104"/>
      <c r="U25" s="104"/>
      <c r="V25" s="104"/>
      <c r="W25" s="105"/>
    </row>
    <row r="26" spans="1:23" ht="15.75" x14ac:dyDescent="0.25">
      <c r="A26" s="106" t="s">
        <v>7</v>
      </c>
      <c r="B26" s="107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7"/>
      <c r="R26" s="107"/>
      <c r="S26" s="107"/>
      <c r="T26" s="107"/>
      <c r="U26" s="107"/>
      <c r="V26" s="107"/>
      <c r="W26" s="110"/>
    </row>
    <row r="27" spans="1:23" x14ac:dyDescent="0.25">
      <c r="A27" s="113" t="s">
        <v>8</v>
      </c>
      <c r="B27" s="114" t="s">
        <v>9</v>
      </c>
      <c r="C27" s="114" t="s">
        <v>10</v>
      </c>
      <c r="D27" s="114" t="s">
        <v>11</v>
      </c>
      <c r="E27" s="114" t="s">
        <v>12</v>
      </c>
      <c r="F27" s="114" t="s">
        <v>13</v>
      </c>
      <c r="G27" s="114" t="s">
        <v>14</v>
      </c>
      <c r="H27" s="114"/>
      <c r="I27" s="114"/>
      <c r="J27" s="114"/>
      <c r="K27" s="114"/>
      <c r="L27" s="114"/>
      <c r="M27" s="114" t="s">
        <v>15</v>
      </c>
      <c r="N27" s="114" t="s">
        <v>16</v>
      </c>
      <c r="O27" s="114" t="s">
        <v>17</v>
      </c>
      <c r="P27" s="114" t="s">
        <v>18</v>
      </c>
      <c r="Q27" s="114" t="s">
        <v>19</v>
      </c>
      <c r="R27" s="114"/>
      <c r="S27" s="114"/>
      <c r="T27" s="114"/>
      <c r="U27" s="114"/>
      <c r="V27" s="114"/>
      <c r="W27" s="115" t="s">
        <v>20</v>
      </c>
    </row>
    <row r="28" spans="1:23" x14ac:dyDescent="0.25">
      <c r="A28" s="113"/>
      <c r="B28" s="114"/>
      <c r="C28" s="114"/>
      <c r="D28" s="114"/>
      <c r="E28" s="114"/>
      <c r="F28" s="114"/>
      <c r="G28" s="31" t="s">
        <v>21</v>
      </c>
      <c r="H28" s="31" t="s">
        <v>21</v>
      </c>
      <c r="I28" s="31" t="s">
        <v>21</v>
      </c>
      <c r="J28" s="31" t="s">
        <v>22</v>
      </c>
      <c r="K28" s="31" t="s">
        <v>22</v>
      </c>
      <c r="L28" s="32" t="s">
        <v>22</v>
      </c>
      <c r="M28" s="138"/>
      <c r="N28" s="114"/>
      <c r="O28" s="114"/>
      <c r="P28" s="114"/>
      <c r="Q28" s="31" t="s">
        <v>21</v>
      </c>
      <c r="R28" s="31" t="s">
        <v>21</v>
      </c>
      <c r="S28" s="31" t="s">
        <v>21</v>
      </c>
      <c r="T28" s="31" t="s">
        <v>22</v>
      </c>
      <c r="U28" s="31" t="s">
        <v>22</v>
      </c>
      <c r="V28" s="31" t="s">
        <v>22</v>
      </c>
      <c r="W28" s="115"/>
    </row>
    <row r="29" spans="1:23" ht="15.75" x14ac:dyDescent="0.25">
      <c r="A29" s="5">
        <v>1</v>
      </c>
      <c r="B29" s="21" t="s">
        <v>235</v>
      </c>
      <c r="C29" s="20">
        <v>46039</v>
      </c>
      <c r="D29" s="36" t="s">
        <v>428</v>
      </c>
      <c r="E29" s="21"/>
      <c r="F29" s="21"/>
      <c r="G29" s="21"/>
      <c r="H29" s="21"/>
      <c r="I29" s="21"/>
      <c r="J29" s="21"/>
      <c r="K29" s="24"/>
      <c r="L29" s="29"/>
      <c r="M29" s="57"/>
      <c r="O29" s="21"/>
      <c r="P29" s="21"/>
      <c r="Q29" s="21"/>
      <c r="R29" s="21"/>
      <c r="S29" s="21"/>
      <c r="T29" s="21"/>
      <c r="U29" s="21"/>
      <c r="V29" s="21"/>
      <c r="W29" s="22"/>
    </row>
    <row r="30" spans="1:23" ht="15.75" x14ac:dyDescent="0.25">
      <c r="A30" s="6">
        <v>2</v>
      </c>
      <c r="B30" s="21" t="s">
        <v>235</v>
      </c>
      <c r="C30" s="13">
        <v>46148</v>
      </c>
      <c r="D30" s="8"/>
      <c r="E30" s="8"/>
      <c r="F30" s="8"/>
      <c r="G30" s="8"/>
      <c r="H30" s="8"/>
      <c r="I30" s="8"/>
      <c r="J30" s="8"/>
      <c r="K30" s="25"/>
      <c r="L30" s="30"/>
      <c r="M30" s="57"/>
      <c r="N30" s="26"/>
      <c r="O30" s="8"/>
      <c r="P30" s="8"/>
      <c r="Q30" s="8"/>
      <c r="R30" s="8"/>
      <c r="S30" s="8"/>
      <c r="T30" s="8"/>
      <c r="U30" s="8"/>
      <c r="V30" s="8"/>
      <c r="W30" s="9"/>
    </row>
    <row r="31" spans="1:23" ht="15.75" x14ac:dyDescent="0.25">
      <c r="A31" s="6">
        <v>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27"/>
      <c r="M31" s="27"/>
      <c r="N31" s="8"/>
      <c r="O31" s="8"/>
      <c r="P31" s="8"/>
      <c r="Q31" s="8"/>
      <c r="R31" s="8"/>
      <c r="S31" s="8"/>
      <c r="T31" s="8"/>
      <c r="U31" s="8"/>
      <c r="V31" s="8"/>
      <c r="W31" s="9"/>
    </row>
    <row r="32" spans="1:23" ht="15.75" x14ac:dyDescent="0.25">
      <c r="A32" s="5">
        <v>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</row>
    <row r="33" spans="1:23" ht="15.75" x14ac:dyDescent="0.25">
      <c r="A33" s="5">
        <v>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</row>
    <row r="34" spans="1:23" ht="16.5" thickBot="1" x14ac:dyDescent="0.3">
      <c r="A34" s="7">
        <v>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6" spans="1:23" ht="15.75" thickBot="1" x14ac:dyDescent="0.3"/>
    <row r="37" spans="1:23" ht="15.75" x14ac:dyDescent="0.25">
      <c r="A37" s="100" t="s">
        <v>260</v>
      </c>
      <c r="B37" s="101"/>
      <c r="C37" s="111" t="s">
        <v>463</v>
      </c>
      <c r="D37" s="112"/>
      <c r="E37" s="111" t="s">
        <v>409</v>
      </c>
      <c r="F37" s="112"/>
      <c r="G37" s="101" t="s">
        <v>4</v>
      </c>
      <c r="H37" s="101"/>
      <c r="I37" s="102" t="s">
        <v>135</v>
      </c>
      <c r="J37" s="102"/>
      <c r="K37" s="102"/>
      <c r="L37" s="102"/>
      <c r="M37" s="102"/>
      <c r="N37" s="102"/>
      <c r="O37" s="101" t="s">
        <v>6</v>
      </c>
      <c r="P37" s="101"/>
      <c r="Q37" s="103"/>
      <c r="R37" s="104"/>
      <c r="S37" s="104"/>
      <c r="T37" s="104"/>
      <c r="U37" s="104"/>
      <c r="V37" s="104"/>
      <c r="W37" s="105"/>
    </row>
    <row r="38" spans="1:23" ht="15.75" x14ac:dyDescent="0.25">
      <c r="A38" s="106" t="s">
        <v>7</v>
      </c>
      <c r="B38" s="107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7"/>
      <c r="R38" s="107"/>
      <c r="S38" s="107"/>
      <c r="T38" s="107"/>
      <c r="U38" s="107"/>
      <c r="V38" s="107"/>
      <c r="W38" s="110"/>
    </row>
    <row r="39" spans="1:23" x14ac:dyDescent="0.25">
      <c r="A39" s="113" t="s">
        <v>8</v>
      </c>
      <c r="B39" s="114" t="s">
        <v>9</v>
      </c>
      <c r="C39" s="114" t="s">
        <v>10</v>
      </c>
      <c r="D39" s="114" t="s">
        <v>11</v>
      </c>
      <c r="E39" s="114" t="s">
        <v>12</v>
      </c>
      <c r="F39" s="114" t="s">
        <v>13</v>
      </c>
      <c r="G39" s="114" t="s">
        <v>14</v>
      </c>
      <c r="H39" s="114"/>
      <c r="I39" s="114"/>
      <c r="J39" s="114"/>
      <c r="K39" s="114"/>
      <c r="L39" s="114"/>
      <c r="M39" s="114" t="s">
        <v>15</v>
      </c>
      <c r="N39" s="114" t="s">
        <v>16</v>
      </c>
      <c r="O39" s="114" t="s">
        <v>17</v>
      </c>
      <c r="P39" s="114" t="s">
        <v>18</v>
      </c>
      <c r="Q39" s="114" t="s">
        <v>19</v>
      </c>
      <c r="R39" s="114"/>
      <c r="S39" s="114"/>
      <c r="T39" s="114"/>
      <c r="U39" s="114"/>
      <c r="V39" s="114"/>
      <c r="W39" s="115" t="s">
        <v>20</v>
      </c>
    </row>
    <row r="40" spans="1:23" x14ac:dyDescent="0.25">
      <c r="A40" s="113"/>
      <c r="B40" s="114"/>
      <c r="C40" s="114"/>
      <c r="D40" s="114"/>
      <c r="E40" s="114"/>
      <c r="F40" s="114"/>
      <c r="G40" s="31" t="s">
        <v>21</v>
      </c>
      <c r="H40" s="31" t="s">
        <v>21</v>
      </c>
      <c r="I40" s="31" t="s">
        <v>21</v>
      </c>
      <c r="J40" s="31" t="s">
        <v>22</v>
      </c>
      <c r="K40" s="31" t="s">
        <v>22</v>
      </c>
      <c r="L40" s="32" t="s">
        <v>22</v>
      </c>
      <c r="M40" s="138"/>
      <c r="N40" s="114"/>
      <c r="O40" s="114"/>
      <c r="P40" s="114"/>
      <c r="Q40" s="31" t="s">
        <v>21</v>
      </c>
      <c r="R40" s="31" t="s">
        <v>21</v>
      </c>
      <c r="S40" s="31" t="s">
        <v>21</v>
      </c>
      <c r="T40" s="31" t="s">
        <v>22</v>
      </c>
      <c r="U40" s="31" t="s">
        <v>22</v>
      </c>
      <c r="V40" s="31" t="s">
        <v>22</v>
      </c>
      <c r="W40" s="115"/>
    </row>
    <row r="41" spans="1:23" ht="15.75" x14ac:dyDescent="0.25">
      <c r="A41" s="5">
        <v>1</v>
      </c>
      <c r="B41" s="21" t="s">
        <v>235</v>
      </c>
      <c r="C41" s="20">
        <v>46039</v>
      </c>
      <c r="D41" s="36">
        <v>46110</v>
      </c>
      <c r="E41" s="21">
        <v>1</v>
      </c>
      <c r="F41" s="21">
        <v>0</v>
      </c>
      <c r="G41" s="21">
        <v>139</v>
      </c>
      <c r="H41" s="21"/>
      <c r="I41" s="21"/>
      <c r="J41" s="21"/>
      <c r="K41" s="24"/>
      <c r="L41" s="29"/>
      <c r="M41" s="57">
        <v>139</v>
      </c>
      <c r="O41" s="21">
        <v>0</v>
      </c>
      <c r="P41" s="21">
        <v>1</v>
      </c>
      <c r="Q41" s="21"/>
      <c r="R41" s="21"/>
      <c r="S41" s="21"/>
      <c r="T41" s="21"/>
      <c r="U41" s="21"/>
      <c r="V41" s="21"/>
      <c r="W41" s="22"/>
    </row>
    <row r="42" spans="1:23" ht="15.75" x14ac:dyDescent="0.25">
      <c r="A42" s="6">
        <v>2</v>
      </c>
      <c r="B42" s="21" t="s">
        <v>235</v>
      </c>
      <c r="C42" s="13">
        <v>46148</v>
      </c>
      <c r="D42" s="8"/>
      <c r="E42" s="8"/>
      <c r="F42" s="8"/>
      <c r="G42" s="8"/>
      <c r="H42" s="8"/>
      <c r="I42" s="8"/>
      <c r="J42" s="8"/>
      <c r="K42" s="25"/>
      <c r="L42" s="30"/>
      <c r="M42" s="57"/>
      <c r="N42" s="26"/>
      <c r="O42" s="8"/>
      <c r="P42" s="8"/>
      <c r="Q42" s="8"/>
      <c r="R42" s="8"/>
      <c r="S42" s="8"/>
      <c r="T42" s="8"/>
      <c r="U42" s="8"/>
      <c r="V42" s="8"/>
      <c r="W42" s="9"/>
    </row>
    <row r="43" spans="1:23" ht="15.75" x14ac:dyDescent="0.25">
      <c r="A43" s="6">
        <v>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27"/>
      <c r="M43" s="27"/>
      <c r="N43" s="8"/>
      <c r="O43" s="8"/>
      <c r="P43" s="8"/>
      <c r="Q43" s="8"/>
      <c r="R43" s="8"/>
      <c r="S43" s="8"/>
      <c r="T43" s="8"/>
      <c r="U43" s="8"/>
      <c r="V43" s="8"/>
      <c r="W43" s="9"/>
    </row>
    <row r="44" spans="1:23" ht="15.75" x14ac:dyDescent="0.25">
      <c r="A44" s="5">
        <v>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9"/>
    </row>
    <row r="45" spans="1:23" ht="15.75" x14ac:dyDescent="0.25">
      <c r="A45" s="5">
        <v>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</row>
    <row r="46" spans="1:23" ht="16.5" thickBot="1" x14ac:dyDescent="0.3">
      <c r="A46" s="7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8" spans="1:23" ht="15.75" thickBot="1" x14ac:dyDescent="0.3"/>
    <row r="49" spans="1:23" ht="15.75" x14ac:dyDescent="0.25">
      <c r="A49" s="100" t="s">
        <v>260</v>
      </c>
      <c r="B49" s="101"/>
      <c r="C49" s="111" t="s">
        <v>464</v>
      </c>
      <c r="D49" s="112"/>
      <c r="E49" s="111" t="s">
        <v>409</v>
      </c>
      <c r="F49" s="112"/>
      <c r="G49" s="101" t="s">
        <v>4</v>
      </c>
      <c r="H49" s="101"/>
      <c r="I49" s="102" t="s">
        <v>135</v>
      </c>
      <c r="J49" s="102"/>
      <c r="K49" s="102"/>
      <c r="L49" s="102"/>
      <c r="M49" s="102"/>
      <c r="N49" s="102"/>
      <c r="O49" s="101" t="s">
        <v>6</v>
      </c>
      <c r="P49" s="101"/>
      <c r="Q49" s="103"/>
      <c r="R49" s="104"/>
      <c r="S49" s="104"/>
      <c r="T49" s="104"/>
      <c r="U49" s="104"/>
      <c r="V49" s="104"/>
      <c r="W49" s="105"/>
    </row>
    <row r="50" spans="1:23" ht="15.75" x14ac:dyDescent="0.25">
      <c r="A50" s="106" t="s">
        <v>7</v>
      </c>
      <c r="B50" s="107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7"/>
      <c r="R50" s="107"/>
      <c r="S50" s="107"/>
      <c r="T50" s="107"/>
      <c r="U50" s="107"/>
      <c r="V50" s="107"/>
      <c r="W50" s="110"/>
    </row>
    <row r="51" spans="1:23" x14ac:dyDescent="0.25">
      <c r="A51" s="113" t="s">
        <v>8</v>
      </c>
      <c r="B51" s="114" t="s">
        <v>9</v>
      </c>
      <c r="C51" s="114" t="s">
        <v>10</v>
      </c>
      <c r="D51" s="114" t="s">
        <v>11</v>
      </c>
      <c r="E51" s="114" t="s">
        <v>12</v>
      </c>
      <c r="F51" s="114" t="s">
        <v>13</v>
      </c>
      <c r="G51" s="114" t="s">
        <v>14</v>
      </c>
      <c r="H51" s="114"/>
      <c r="I51" s="114"/>
      <c r="J51" s="114"/>
      <c r="K51" s="114"/>
      <c r="L51" s="114"/>
      <c r="M51" s="114" t="s">
        <v>15</v>
      </c>
      <c r="N51" s="114" t="s">
        <v>16</v>
      </c>
      <c r="O51" s="114" t="s">
        <v>17</v>
      </c>
      <c r="P51" s="114" t="s">
        <v>18</v>
      </c>
      <c r="Q51" s="114" t="s">
        <v>19</v>
      </c>
      <c r="R51" s="114"/>
      <c r="S51" s="114"/>
      <c r="T51" s="114"/>
      <c r="U51" s="114"/>
      <c r="V51" s="114"/>
      <c r="W51" s="115" t="s">
        <v>20</v>
      </c>
    </row>
    <row r="52" spans="1:23" x14ac:dyDescent="0.25">
      <c r="A52" s="113"/>
      <c r="B52" s="114"/>
      <c r="C52" s="114"/>
      <c r="D52" s="114"/>
      <c r="E52" s="114"/>
      <c r="F52" s="114"/>
      <c r="G52" s="31" t="s">
        <v>21</v>
      </c>
      <c r="H52" s="31" t="s">
        <v>21</v>
      </c>
      <c r="I52" s="31" t="s">
        <v>21</v>
      </c>
      <c r="J52" s="31" t="s">
        <v>22</v>
      </c>
      <c r="K52" s="31" t="s">
        <v>22</v>
      </c>
      <c r="L52" s="32" t="s">
        <v>22</v>
      </c>
      <c r="M52" s="138"/>
      <c r="N52" s="114"/>
      <c r="O52" s="114"/>
      <c r="P52" s="114"/>
      <c r="Q52" s="31" t="s">
        <v>21</v>
      </c>
      <c r="R52" s="31" t="s">
        <v>21</v>
      </c>
      <c r="S52" s="31" t="s">
        <v>21</v>
      </c>
      <c r="T52" s="31" t="s">
        <v>22</v>
      </c>
      <c r="U52" s="31" t="s">
        <v>22</v>
      </c>
      <c r="V52" s="31" t="s">
        <v>22</v>
      </c>
      <c r="W52" s="115"/>
    </row>
    <row r="53" spans="1:23" ht="15.75" x14ac:dyDescent="0.25">
      <c r="A53" s="5">
        <v>1</v>
      </c>
      <c r="B53" s="21" t="s">
        <v>235</v>
      </c>
      <c r="C53" s="20">
        <v>46039</v>
      </c>
      <c r="D53" s="36">
        <v>46121</v>
      </c>
      <c r="E53" s="21">
        <v>4</v>
      </c>
      <c r="F53" s="21">
        <v>0</v>
      </c>
      <c r="G53" s="21">
        <v>117</v>
      </c>
      <c r="H53" s="21">
        <v>115</v>
      </c>
      <c r="I53" s="21">
        <v>107</v>
      </c>
      <c r="J53" s="21">
        <v>125</v>
      </c>
      <c r="K53" s="24"/>
      <c r="L53" s="29"/>
      <c r="M53" s="57">
        <f>AVERAGE(G53:L53)</f>
        <v>116</v>
      </c>
      <c r="N53" s="70">
        <v>46139</v>
      </c>
      <c r="O53" s="21">
        <v>4</v>
      </c>
      <c r="P53" s="21">
        <v>0</v>
      </c>
      <c r="Q53" s="21">
        <v>261</v>
      </c>
      <c r="R53" s="21">
        <v>191</v>
      </c>
      <c r="S53" s="21">
        <v>180</v>
      </c>
      <c r="T53" s="21">
        <v>248</v>
      </c>
      <c r="U53" s="21"/>
      <c r="V53" s="21"/>
      <c r="W53" s="22">
        <f>AVERAGE(Q53:V53)</f>
        <v>220</v>
      </c>
    </row>
    <row r="54" spans="1:23" ht="15.75" x14ac:dyDescent="0.25">
      <c r="A54" s="6">
        <v>2</v>
      </c>
      <c r="B54" s="21" t="s">
        <v>235</v>
      </c>
      <c r="C54" s="13">
        <v>46148</v>
      </c>
      <c r="D54" s="8"/>
      <c r="E54" s="8"/>
      <c r="F54" s="8"/>
      <c r="G54" s="8"/>
      <c r="H54" s="8"/>
      <c r="I54" s="8"/>
      <c r="J54" s="8"/>
      <c r="K54" s="25"/>
      <c r="L54" s="30"/>
      <c r="M54" s="57"/>
      <c r="N54" s="26"/>
      <c r="O54" s="8"/>
      <c r="P54" s="8"/>
      <c r="Q54" s="8"/>
      <c r="R54" s="8"/>
      <c r="S54" s="8"/>
      <c r="T54" s="8"/>
      <c r="U54" s="8"/>
      <c r="V54" s="8"/>
      <c r="W54" s="9"/>
    </row>
    <row r="55" spans="1:23" ht="15.75" x14ac:dyDescent="0.25">
      <c r="A55" s="6">
        <v>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27"/>
      <c r="M55" s="27"/>
      <c r="N55" s="8"/>
      <c r="O55" s="8"/>
      <c r="P55" s="8"/>
      <c r="Q55" s="8"/>
      <c r="R55" s="8"/>
      <c r="S55" s="8"/>
      <c r="T55" s="8"/>
      <c r="U55" s="8"/>
      <c r="V55" s="8"/>
      <c r="W55" s="9"/>
    </row>
    <row r="56" spans="1:23" ht="15.75" x14ac:dyDescent="0.25">
      <c r="A56" s="5">
        <v>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</row>
    <row r="57" spans="1:23" ht="15.75" x14ac:dyDescent="0.25">
      <c r="A57" s="5">
        <v>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</row>
    <row r="58" spans="1:23" ht="16.5" thickBot="1" x14ac:dyDescent="0.3">
      <c r="A58" s="7">
        <v>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60" spans="1:23" ht="15.75" thickBot="1" x14ac:dyDescent="0.3"/>
    <row r="61" spans="1:23" ht="15.75" x14ac:dyDescent="0.25">
      <c r="A61" s="100" t="s">
        <v>260</v>
      </c>
      <c r="B61" s="101"/>
      <c r="C61" s="111" t="s">
        <v>465</v>
      </c>
      <c r="D61" s="112"/>
      <c r="E61" s="111" t="s">
        <v>409</v>
      </c>
      <c r="F61" s="112"/>
      <c r="G61" s="101" t="s">
        <v>4</v>
      </c>
      <c r="H61" s="101"/>
      <c r="I61" s="102" t="s">
        <v>135</v>
      </c>
      <c r="J61" s="102"/>
      <c r="K61" s="102"/>
      <c r="L61" s="102"/>
      <c r="M61" s="102"/>
      <c r="N61" s="102"/>
      <c r="O61" s="101" t="s">
        <v>6</v>
      </c>
      <c r="P61" s="101"/>
      <c r="Q61" s="103"/>
      <c r="R61" s="104"/>
      <c r="S61" s="104"/>
      <c r="T61" s="104"/>
      <c r="U61" s="104"/>
      <c r="V61" s="104"/>
      <c r="W61" s="105"/>
    </row>
    <row r="62" spans="1:23" ht="15.75" x14ac:dyDescent="0.25">
      <c r="A62" s="106" t="s">
        <v>7</v>
      </c>
      <c r="B62" s="107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7"/>
      <c r="R62" s="107"/>
      <c r="S62" s="107"/>
      <c r="T62" s="107"/>
      <c r="U62" s="107"/>
      <c r="V62" s="107"/>
      <c r="W62" s="110"/>
    </row>
    <row r="63" spans="1:23" x14ac:dyDescent="0.25">
      <c r="A63" s="113" t="s">
        <v>8</v>
      </c>
      <c r="B63" s="114" t="s">
        <v>9</v>
      </c>
      <c r="C63" s="114" t="s">
        <v>10</v>
      </c>
      <c r="D63" s="114" t="s">
        <v>11</v>
      </c>
      <c r="E63" s="114" t="s">
        <v>12</v>
      </c>
      <c r="F63" s="114" t="s">
        <v>13</v>
      </c>
      <c r="G63" s="114" t="s">
        <v>14</v>
      </c>
      <c r="H63" s="114"/>
      <c r="I63" s="114"/>
      <c r="J63" s="114"/>
      <c r="K63" s="114"/>
      <c r="L63" s="114"/>
      <c r="M63" s="114" t="s">
        <v>15</v>
      </c>
      <c r="N63" s="114" t="s">
        <v>16</v>
      </c>
      <c r="O63" s="114" t="s">
        <v>17</v>
      </c>
      <c r="P63" s="114" t="s">
        <v>18</v>
      </c>
      <c r="Q63" s="114" t="s">
        <v>19</v>
      </c>
      <c r="R63" s="114"/>
      <c r="S63" s="114"/>
      <c r="T63" s="114"/>
      <c r="U63" s="114"/>
      <c r="V63" s="114"/>
      <c r="W63" s="115" t="s">
        <v>20</v>
      </c>
    </row>
    <row r="64" spans="1:23" x14ac:dyDescent="0.25">
      <c r="A64" s="113"/>
      <c r="B64" s="114"/>
      <c r="C64" s="114"/>
      <c r="D64" s="114"/>
      <c r="E64" s="114"/>
      <c r="F64" s="114"/>
      <c r="G64" s="31" t="s">
        <v>21</v>
      </c>
      <c r="H64" s="31" t="s">
        <v>21</v>
      </c>
      <c r="I64" s="31" t="s">
        <v>21</v>
      </c>
      <c r="J64" s="31" t="s">
        <v>22</v>
      </c>
      <c r="K64" s="31" t="s">
        <v>22</v>
      </c>
      <c r="L64" s="32" t="s">
        <v>22</v>
      </c>
      <c r="M64" s="138"/>
      <c r="N64" s="114"/>
      <c r="O64" s="114"/>
      <c r="P64" s="114"/>
      <c r="Q64" s="31" t="s">
        <v>21</v>
      </c>
      <c r="R64" s="31" t="s">
        <v>21</v>
      </c>
      <c r="S64" s="31" t="s">
        <v>21</v>
      </c>
      <c r="T64" s="31" t="s">
        <v>22</v>
      </c>
      <c r="U64" s="31" t="s">
        <v>22</v>
      </c>
      <c r="V64" s="31" t="s">
        <v>22</v>
      </c>
      <c r="W64" s="115"/>
    </row>
    <row r="65" spans="1:23" ht="15.75" x14ac:dyDescent="0.25">
      <c r="A65" s="5">
        <v>1</v>
      </c>
      <c r="B65" s="21" t="s">
        <v>235</v>
      </c>
      <c r="C65" s="20">
        <v>46039</v>
      </c>
      <c r="D65" s="36">
        <v>46137</v>
      </c>
      <c r="E65" s="21">
        <v>3</v>
      </c>
      <c r="F65" s="21">
        <v>0</v>
      </c>
      <c r="G65" s="21">
        <v>79</v>
      </c>
      <c r="H65" s="21">
        <v>75</v>
      </c>
      <c r="I65" s="21"/>
      <c r="J65" s="21">
        <v>87</v>
      </c>
      <c r="K65" s="24"/>
      <c r="L65" s="29"/>
      <c r="M65" s="72">
        <f>AVERAGE(G65:L65)</f>
        <v>80.333333333333329</v>
      </c>
      <c r="N65" s="70">
        <v>46133</v>
      </c>
      <c r="O65" s="21">
        <v>3</v>
      </c>
      <c r="P65" s="21">
        <v>0</v>
      </c>
      <c r="Q65" s="21">
        <v>333</v>
      </c>
      <c r="R65" s="21">
        <v>222</v>
      </c>
      <c r="S65" s="21"/>
      <c r="T65" s="21">
        <v>289</v>
      </c>
      <c r="U65" s="21"/>
      <c r="V65" s="21"/>
      <c r="W65" s="40">
        <f>AVERAGE(Q65:V65)</f>
        <v>281.33333333333331</v>
      </c>
    </row>
    <row r="66" spans="1:23" ht="15.75" x14ac:dyDescent="0.25">
      <c r="A66" s="6">
        <v>2</v>
      </c>
      <c r="B66" s="21" t="s">
        <v>235</v>
      </c>
      <c r="C66" s="13">
        <v>46148</v>
      </c>
      <c r="D66" s="8"/>
      <c r="E66" s="8"/>
      <c r="F66" s="8"/>
      <c r="G66" s="8"/>
      <c r="H66" s="8"/>
      <c r="I66" s="8"/>
      <c r="J66" s="8"/>
      <c r="K66" s="25"/>
      <c r="L66" s="30"/>
      <c r="M66" s="57"/>
      <c r="N66" s="26"/>
      <c r="O66" s="8"/>
      <c r="P66" s="8"/>
      <c r="Q66" s="8"/>
      <c r="R66" s="8"/>
      <c r="S66" s="8"/>
      <c r="T66" s="8"/>
      <c r="U66" s="8"/>
      <c r="V66" s="8"/>
      <c r="W66" s="9"/>
    </row>
    <row r="67" spans="1:23" ht="15.75" x14ac:dyDescent="0.25">
      <c r="A67" s="6">
        <v>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27"/>
      <c r="M67" s="27"/>
      <c r="N67" s="8"/>
      <c r="O67" s="8"/>
      <c r="P67" s="8"/>
      <c r="Q67" s="8"/>
      <c r="R67" s="8"/>
      <c r="S67" s="8"/>
      <c r="T67" s="8"/>
      <c r="U67" s="8"/>
      <c r="V67" s="8"/>
      <c r="W67" s="9"/>
    </row>
    <row r="68" spans="1:23" ht="15.75" x14ac:dyDescent="0.25">
      <c r="A68" s="5">
        <v>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</row>
    <row r="69" spans="1:23" ht="15.75" x14ac:dyDescent="0.25">
      <c r="A69" s="5">
        <v>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</row>
    <row r="70" spans="1:23" ht="16.5" thickBot="1" x14ac:dyDescent="0.3">
      <c r="A70" s="7">
        <v>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2" spans="1:23" ht="15.75" thickBot="1" x14ac:dyDescent="0.3"/>
    <row r="73" spans="1:23" ht="15.75" x14ac:dyDescent="0.25">
      <c r="A73" s="100" t="s">
        <v>260</v>
      </c>
      <c r="B73" s="101"/>
      <c r="C73" s="111" t="s">
        <v>466</v>
      </c>
      <c r="D73" s="112"/>
      <c r="E73" s="111" t="s">
        <v>467</v>
      </c>
      <c r="F73" s="112"/>
      <c r="G73" s="101" t="s">
        <v>4</v>
      </c>
      <c r="H73" s="101"/>
      <c r="I73" s="102" t="s">
        <v>139</v>
      </c>
      <c r="J73" s="102"/>
      <c r="K73" s="102"/>
      <c r="L73" s="102"/>
      <c r="M73" s="102"/>
      <c r="N73" s="102"/>
      <c r="O73" s="101" t="s">
        <v>6</v>
      </c>
      <c r="P73" s="101"/>
      <c r="Q73" s="103"/>
      <c r="R73" s="104"/>
      <c r="S73" s="104"/>
      <c r="T73" s="104"/>
      <c r="U73" s="104"/>
      <c r="V73" s="104"/>
      <c r="W73" s="105"/>
    </row>
    <row r="74" spans="1:23" ht="15.75" x14ac:dyDescent="0.25">
      <c r="A74" s="106" t="s">
        <v>7</v>
      </c>
      <c r="B74" s="107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7"/>
      <c r="R74" s="107"/>
      <c r="S74" s="107"/>
      <c r="T74" s="107"/>
      <c r="U74" s="107"/>
      <c r="V74" s="107"/>
      <c r="W74" s="110"/>
    </row>
    <row r="75" spans="1:23" x14ac:dyDescent="0.25">
      <c r="A75" s="113" t="s">
        <v>8</v>
      </c>
      <c r="B75" s="114" t="s">
        <v>9</v>
      </c>
      <c r="C75" s="114" t="s">
        <v>10</v>
      </c>
      <c r="D75" s="114" t="s">
        <v>11</v>
      </c>
      <c r="E75" s="114" t="s">
        <v>12</v>
      </c>
      <c r="F75" s="114" t="s">
        <v>13</v>
      </c>
      <c r="G75" s="114" t="s">
        <v>14</v>
      </c>
      <c r="H75" s="114"/>
      <c r="I75" s="114"/>
      <c r="J75" s="114"/>
      <c r="K75" s="114"/>
      <c r="L75" s="114"/>
      <c r="M75" s="114" t="s">
        <v>15</v>
      </c>
      <c r="N75" s="114" t="s">
        <v>16</v>
      </c>
      <c r="O75" s="114" t="s">
        <v>17</v>
      </c>
      <c r="P75" s="114" t="s">
        <v>18</v>
      </c>
      <c r="Q75" s="114" t="s">
        <v>19</v>
      </c>
      <c r="R75" s="114"/>
      <c r="S75" s="114"/>
      <c r="T75" s="114"/>
      <c r="U75" s="114"/>
      <c r="V75" s="114"/>
      <c r="W75" s="115" t="s">
        <v>20</v>
      </c>
    </row>
    <row r="76" spans="1:23" x14ac:dyDescent="0.25">
      <c r="A76" s="113"/>
      <c r="B76" s="114"/>
      <c r="C76" s="114"/>
      <c r="D76" s="114"/>
      <c r="E76" s="114"/>
      <c r="F76" s="114"/>
      <c r="G76" s="31" t="s">
        <v>21</v>
      </c>
      <c r="H76" s="31" t="s">
        <v>21</v>
      </c>
      <c r="I76" s="31" t="s">
        <v>21</v>
      </c>
      <c r="J76" s="31" t="s">
        <v>22</v>
      </c>
      <c r="K76" s="31" t="s">
        <v>22</v>
      </c>
      <c r="L76" s="32" t="s">
        <v>22</v>
      </c>
      <c r="M76" s="138"/>
      <c r="N76" s="114"/>
      <c r="O76" s="114"/>
      <c r="P76" s="114"/>
      <c r="Q76" s="31" t="s">
        <v>21</v>
      </c>
      <c r="R76" s="31" t="s">
        <v>21</v>
      </c>
      <c r="S76" s="31" t="s">
        <v>21</v>
      </c>
      <c r="T76" s="31" t="s">
        <v>22</v>
      </c>
      <c r="U76" s="31" t="s">
        <v>22</v>
      </c>
      <c r="V76" s="31" t="s">
        <v>22</v>
      </c>
      <c r="W76" s="115"/>
    </row>
    <row r="77" spans="1:23" ht="15.75" x14ac:dyDescent="0.25">
      <c r="A77" s="5">
        <v>1</v>
      </c>
      <c r="B77" s="21" t="s">
        <v>448</v>
      </c>
      <c r="C77" s="20">
        <v>46039</v>
      </c>
      <c r="D77" s="36">
        <v>46113</v>
      </c>
      <c r="E77" s="21">
        <v>2</v>
      </c>
      <c r="F77" s="21">
        <v>0</v>
      </c>
      <c r="G77" s="21"/>
      <c r="H77" s="21"/>
      <c r="I77" s="21"/>
      <c r="J77" s="21">
        <v>143</v>
      </c>
      <c r="K77" s="24">
        <v>112</v>
      </c>
      <c r="L77" s="29"/>
      <c r="M77" s="57">
        <f>AVERAGE(G77:L77)</f>
        <v>127.5</v>
      </c>
      <c r="N77" s="70">
        <v>46139</v>
      </c>
      <c r="O77" s="21">
        <v>2</v>
      </c>
      <c r="P77" s="21">
        <v>0</v>
      </c>
      <c r="Q77" s="21">
        <v>200</v>
      </c>
      <c r="R77" s="21">
        <v>173</v>
      </c>
      <c r="S77" s="21"/>
      <c r="T77" s="21"/>
      <c r="U77" s="21"/>
      <c r="V77" s="21"/>
      <c r="W77" s="22">
        <f>AVERAGE(Q77:V77)</f>
        <v>186.5</v>
      </c>
    </row>
    <row r="78" spans="1:23" ht="15.75" x14ac:dyDescent="0.25">
      <c r="A78" s="6">
        <v>2</v>
      </c>
      <c r="B78" s="21"/>
      <c r="C78" s="8"/>
      <c r="D78" s="8"/>
      <c r="E78" s="8"/>
      <c r="F78" s="8"/>
      <c r="G78" s="8"/>
      <c r="H78" s="8"/>
      <c r="I78" s="8"/>
      <c r="J78" s="8"/>
      <c r="K78" s="25"/>
      <c r="L78" s="30"/>
      <c r="M78" s="57"/>
      <c r="N78" s="26"/>
      <c r="O78" s="8"/>
      <c r="P78" s="8"/>
      <c r="Q78" s="8"/>
      <c r="R78" s="8"/>
      <c r="S78" s="8"/>
      <c r="T78" s="8"/>
      <c r="U78" s="8"/>
      <c r="V78" s="8"/>
      <c r="W78" s="9"/>
    </row>
    <row r="79" spans="1:23" ht="15.75" x14ac:dyDescent="0.25">
      <c r="A79" s="6">
        <v>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27"/>
      <c r="M79" s="27"/>
      <c r="N79" s="8"/>
      <c r="O79" s="8"/>
      <c r="P79" s="8"/>
      <c r="Q79" s="8"/>
      <c r="R79" s="8"/>
      <c r="S79" s="8"/>
      <c r="T79" s="8"/>
      <c r="U79" s="8"/>
      <c r="V79" s="8"/>
      <c r="W79" s="9"/>
    </row>
    <row r="80" spans="1:23" ht="15.75" x14ac:dyDescent="0.25">
      <c r="A80" s="5">
        <v>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</row>
    <row r="81" spans="1:23" ht="15.75" x14ac:dyDescent="0.25">
      <c r="A81" s="5">
        <v>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3" ht="16.5" thickBot="1" x14ac:dyDescent="0.3">
      <c r="A82" s="7">
        <v>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4" spans="1:23" ht="15.75" thickBot="1" x14ac:dyDescent="0.3"/>
    <row r="85" spans="1:23" ht="15.75" x14ac:dyDescent="0.25">
      <c r="A85" s="100" t="s">
        <v>260</v>
      </c>
      <c r="B85" s="101"/>
      <c r="C85" s="111" t="s">
        <v>468</v>
      </c>
      <c r="D85" s="112"/>
      <c r="E85" s="111" t="s">
        <v>467</v>
      </c>
      <c r="F85" s="112"/>
      <c r="G85" s="101" t="s">
        <v>4</v>
      </c>
      <c r="H85" s="101"/>
      <c r="I85" s="102" t="s">
        <v>139</v>
      </c>
      <c r="J85" s="102"/>
      <c r="K85" s="102"/>
      <c r="L85" s="102"/>
      <c r="M85" s="102"/>
      <c r="N85" s="102"/>
      <c r="O85" s="101" t="s">
        <v>6</v>
      </c>
      <c r="P85" s="101"/>
      <c r="Q85" s="103"/>
      <c r="R85" s="104"/>
      <c r="S85" s="104"/>
      <c r="T85" s="104"/>
      <c r="U85" s="104"/>
      <c r="V85" s="104"/>
      <c r="W85" s="105"/>
    </row>
    <row r="86" spans="1:23" ht="15.75" x14ac:dyDescent="0.25">
      <c r="A86" s="106" t="s">
        <v>7</v>
      </c>
      <c r="B86" s="107"/>
      <c r="C86" s="116" t="s">
        <v>44</v>
      </c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09"/>
      <c r="P86" s="109"/>
      <c r="Q86" s="107"/>
      <c r="R86" s="107"/>
      <c r="S86" s="107"/>
      <c r="T86" s="107"/>
      <c r="U86" s="107"/>
      <c r="V86" s="107"/>
      <c r="W86" s="110"/>
    </row>
    <row r="87" spans="1:23" x14ac:dyDescent="0.25">
      <c r="A87" s="113" t="s">
        <v>8</v>
      </c>
      <c r="B87" s="114" t="s">
        <v>9</v>
      </c>
      <c r="C87" s="114" t="s">
        <v>10</v>
      </c>
      <c r="D87" s="114" t="s">
        <v>11</v>
      </c>
      <c r="E87" s="114" t="s">
        <v>12</v>
      </c>
      <c r="F87" s="114" t="s">
        <v>13</v>
      </c>
      <c r="G87" s="114" t="s">
        <v>14</v>
      </c>
      <c r="H87" s="114"/>
      <c r="I87" s="114"/>
      <c r="J87" s="114"/>
      <c r="K87" s="114"/>
      <c r="L87" s="114"/>
      <c r="M87" s="114" t="s">
        <v>15</v>
      </c>
      <c r="N87" s="114" t="s">
        <v>16</v>
      </c>
      <c r="O87" s="114" t="s">
        <v>17</v>
      </c>
      <c r="P87" s="114" t="s">
        <v>18</v>
      </c>
      <c r="Q87" s="114" t="s">
        <v>19</v>
      </c>
      <c r="R87" s="114"/>
      <c r="S87" s="114"/>
      <c r="T87" s="114"/>
      <c r="U87" s="114"/>
      <c r="V87" s="114"/>
      <c r="W87" s="115" t="s">
        <v>20</v>
      </c>
    </row>
    <row r="88" spans="1:23" x14ac:dyDescent="0.25">
      <c r="A88" s="113"/>
      <c r="B88" s="114"/>
      <c r="C88" s="114"/>
      <c r="D88" s="114"/>
      <c r="E88" s="114"/>
      <c r="F88" s="114"/>
      <c r="G88" s="31" t="s">
        <v>21</v>
      </c>
      <c r="H88" s="31" t="s">
        <v>21</v>
      </c>
      <c r="I88" s="31" t="s">
        <v>21</v>
      </c>
      <c r="J88" s="31" t="s">
        <v>22</v>
      </c>
      <c r="K88" s="31" t="s">
        <v>22</v>
      </c>
      <c r="L88" s="32" t="s">
        <v>22</v>
      </c>
      <c r="M88" s="138"/>
      <c r="N88" s="114"/>
      <c r="O88" s="114"/>
      <c r="P88" s="114"/>
      <c r="Q88" s="31" t="s">
        <v>21</v>
      </c>
      <c r="R88" s="31" t="s">
        <v>21</v>
      </c>
      <c r="S88" s="31" t="s">
        <v>21</v>
      </c>
      <c r="T88" s="31" t="s">
        <v>22</v>
      </c>
      <c r="U88" s="31" t="s">
        <v>22</v>
      </c>
      <c r="V88" s="31" t="s">
        <v>22</v>
      </c>
      <c r="W88" s="115"/>
    </row>
    <row r="89" spans="1:23" ht="15.75" x14ac:dyDescent="0.25">
      <c r="A89" s="5">
        <v>1</v>
      </c>
      <c r="B89" s="21" t="s">
        <v>448</v>
      </c>
      <c r="C89" s="20">
        <v>46039</v>
      </c>
      <c r="D89" s="36">
        <v>46110</v>
      </c>
      <c r="E89" s="21">
        <v>1</v>
      </c>
      <c r="F89" s="21">
        <v>0</v>
      </c>
      <c r="G89" s="21"/>
      <c r="H89" s="21"/>
      <c r="I89" s="21"/>
      <c r="J89" s="21">
        <v>155</v>
      </c>
      <c r="K89" s="24"/>
      <c r="L89" s="29"/>
      <c r="M89" s="57">
        <v>155</v>
      </c>
      <c r="N89" s="70">
        <v>46133</v>
      </c>
      <c r="O89" s="21">
        <v>1</v>
      </c>
      <c r="P89" s="21">
        <v>0</v>
      </c>
      <c r="Q89" s="21"/>
      <c r="R89" s="21"/>
      <c r="S89" s="21"/>
      <c r="T89" s="21">
        <v>330</v>
      </c>
      <c r="U89" s="21"/>
      <c r="V89" s="21"/>
      <c r="W89" s="22">
        <v>330</v>
      </c>
    </row>
    <row r="90" spans="1:23" ht="15.75" x14ac:dyDescent="0.25">
      <c r="A90" s="6">
        <v>2</v>
      </c>
      <c r="B90" s="21"/>
      <c r="C90" s="8"/>
      <c r="D90" s="8"/>
      <c r="E90" s="8"/>
      <c r="F90" s="8"/>
      <c r="G90" s="8"/>
      <c r="H90" s="8"/>
      <c r="I90" s="8"/>
      <c r="J90" s="8"/>
      <c r="K90" s="25"/>
      <c r="L90" s="30"/>
      <c r="M90" s="57"/>
      <c r="N90" s="26"/>
      <c r="O90" s="8"/>
      <c r="P90" s="8"/>
      <c r="Q90" s="8"/>
      <c r="R90" s="8"/>
      <c r="S90" s="8"/>
      <c r="T90" s="8"/>
      <c r="U90" s="8"/>
      <c r="V90" s="8"/>
      <c r="W90" s="9"/>
    </row>
    <row r="91" spans="1:23" ht="15.75" x14ac:dyDescent="0.25">
      <c r="A91" s="6">
        <v>3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27"/>
      <c r="M91" s="27"/>
      <c r="N91" s="8"/>
      <c r="O91" s="8"/>
      <c r="P91" s="8"/>
      <c r="Q91" s="8"/>
      <c r="R91" s="8"/>
      <c r="S91" s="8"/>
      <c r="T91" s="8"/>
      <c r="U91" s="8"/>
      <c r="V91" s="8"/>
      <c r="W91" s="9"/>
    </row>
    <row r="92" spans="1:23" ht="15.75" x14ac:dyDescent="0.25">
      <c r="A92" s="5">
        <v>4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</row>
    <row r="93" spans="1:23" ht="15.75" x14ac:dyDescent="0.25">
      <c r="A93" s="5">
        <v>5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6.5" thickBot="1" x14ac:dyDescent="0.3">
      <c r="A94" s="7">
        <v>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6" spans="1:23" ht="15.75" thickBot="1" x14ac:dyDescent="0.3"/>
    <row r="97" spans="1:23" ht="15.75" x14ac:dyDescent="0.25">
      <c r="A97" s="100" t="s">
        <v>260</v>
      </c>
      <c r="B97" s="101"/>
      <c r="C97" s="202" t="s">
        <v>469</v>
      </c>
      <c r="D97" s="203"/>
      <c r="E97" s="111" t="s">
        <v>467</v>
      </c>
      <c r="F97" s="112"/>
      <c r="G97" s="101" t="s">
        <v>4</v>
      </c>
      <c r="H97" s="101"/>
      <c r="I97" s="102" t="s">
        <v>139</v>
      </c>
      <c r="J97" s="102"/>
      <c r="K97" s="102"/>
      <c r="L97" s="102"/>
      <c r="M97" s="102"/>
      <c r="N97" s="102"/>
      <c r="O97" s="101" t="s">
        <v>6</v>
      </c>
      <c r="P97" s="101"/>
      <c r="Q97" s="103"/>
      <c r="R97" s="104"/>
      <c r="S97" s="104"/>
      <c r="T97" s="104"/>
      <c r="U97" s="104"/>
      <c r="V97" s="104"/>
      <c r="W97" s="105"/>
    </row>
    <row r="98" spans="1:23" ht="15.75" x14ac:dyDescent="0.25">
      <c r="A98" s="106" t="s">
        <v>7</v>
      </c>
      <c r="B98" s="107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7"/>
      <c r="R98" s="107"/>
      <c r="S98" s="107"/>
      <c r="T98" s="107"/>
      <c r="U98" s="107"/>
      <c r="V98" s="107"/>
      <c r="W98" s="110"/>
    </row>
    <row r="99" spans="1:23" x14ac:dyDescent="0.25">
      <c r="A99" s="113" t="s">
        <v>8</v>
      </c>
      <c r="B99" s="114" t="s">
        <v>9</v>
      </c>
      <c r="C99" s="114" t="s">
        <v>10</v>
      </c>
      <c r="D99" s="114" t="s">
        <v>11</v>
      </c>
      <c r="E99" s="114" t="s">
        <v>12</v>
      </c>
      <c r="F99" s="114" t="s">
        <v>13</v>
      </c>
      <c r="G99" s="114" t="s">
        <v>14</v>
      </c>
      <c r="H99" s="114"/>
      <c r="I99" s="114"/>
      <c r="J99" s="114"/>
      <c r="K99" s="114"/>
      <c r="L99" s="114"/>
      <c r="M99" s="114" t="s">
        <v>15</v>
      </c>
      <c r="N99" s="114" t="s">
        <v>16</v>
      </c>
      <c r="O99" s="114" t="s">
        <v>17</v>
      </c>
      <c r="P99" s="114" t="s">
        <v>18</v>
      </c>
      <c r="Q99" s="114" t="s">
        <v>19</v>
      </c>
      <c r="R99" s="114"/>
      <c r="S99" s="114"/>
      <c r="T99" s="114"/>
      <c r="U99" s="114"/>
      <c r="V99" s="114"/>
      <c r="W99" s="115" t="s">
        <v>20</v>
      </c>
    </row>
    <row r="100" spans="1:23" x14ac:dyDescent="0.25">
      <c r="A100" s="113"/>
      <c r="B100" s="114"/>
      <c r="C100" s="114"/>
      <c r="D100" s="114"/>
      <c r="E100" s="114"/>
      <c r="F100" s="114"/>
      <c r="G100" s="31" t="s">
        <v>21</v>
      </c>
      <c r="H100" s="31" t="s">
        <v>21</v>
      </c>
      <c r="I100" s="31" t="s">
        <v>21</v>
      </c>
      <c r="J100" s="31" t="s">
        <v>22</v>
      </c>
      <c r="K100" s="31" t="s">
        <v>22</v>
      </c>
      <c r="L100" s="32" t="s">
        <v>22</v>
      </c>
      <c r="M100" s="138"/>
      <c r="N100" s="114"/>
      <c r="O100" s="114"/>
      <c r="P100" s="114"/>
      <c r="Q100" s="31" t="s">
        <v>21</v>
      </c>
      <c r="R100" s="31" t="s">
        <v>21</v>
      </c>
      <c r="S100" s="31" t="s">
        <v>21</v>
      </c>
      <c r="T100" s="31" t="s">
        <v>22</v>
      </c>
      <c r="U100" s="31" t="s">
        <v>22</v>
      </c>
      <c r="V100" s="31" t="s">
        <v>22</v>
      </c>
      <c r="W100" s="115"/>
    </row>
    <row r="101" spans="1:23" ht="15.75" x14ac:dyDescent="0.25">
      <c r="A101" s="5">
        <v>1</v>
      </c>
      <c r="B101" s="21" t="s">
        <v>448</v>
      </c>
      <c r="C101" s="20">
        <v>46039</v>
      </c>
      <c r="D101" s="36">
        <v>46113</v>
      </c>
      <c r="E101" s="21">
        <v>3</v>
      </c>
      <c r="F101" s="21">
        <v>0</v>
      </c>
      <c r="G101" s="21">
        <v>98</v>
      </c>
      <c r="H101" s="21">
        <v>147</v>
      </c>
      <c r="I101" s="21"/>
      <c r="J101" s="21">
        <v>128</v>
      </c>
      <c r="K101" s="24"/>
      <c r="L101" s="29"/>
      <c r="M101" s="91">
        <f>AVERAGE(G101:L101)</f>
        <v>124.33333333333333</v>
      </c>
      <c r="N101" s="70">
        <v>46139</v>
      </c>
      <c r="O101" s="21">
        <v>3</v>
      </c>
      <c r="P101" s="21">
        <v>0</v>
      </c>
      <c r="Q101" s="21">
        <v>215</v>
      </c>
      <c r="R101" s="21">
        <v>312</v>
      </c>
      <c r="S101" s="21"/>
      <c r="T101" s="21">
        <v>204</v>
      </c>
      <c r="U101" s="21"/>
      <c r="V101" s="21"/>
      <c r="W101" s="68">
        <f>AVERAGE(Q101:V101)</f>
        <v>243.66666666666666</v>
      </c>
    </row>
    <row r="102" spans="1:23" ht="15.75" x14ac:dyDescent="0.25">
      <c r="A102" s="6">
        <v>2</v>
      </c>
      <c r="B102" s="21"/>
      <c r="C102" s="8"/>
      <c r="D102" s="8"/>
      <c r="E102" s="8"/>
      <c r="F102" s="8"/>
      <c r="G102" s="8"/>
      <c r="H102" s="8"/>
      <c r="I102" s="8"/>
      <c r="J102" s="8"/>
      <c r="K102" s="25"/>
      <c r="L102" s="30"/>
      <c r="M102" s="57"/>
      <c r="N102" s="26"/>
      <c r="O102" s="8"/>
      <c r="P102" s="8"/>
      <c r="Q102" s="8"/>
      <c r="R102" s="8"/>
      <c r="S102" s="8"/>
      <c r="T102" s="8"/>
      <c r="U102" s="8"/>
      <c r="V102" s="8"/>
      <c r="W102" s="9"/>
    </row>
    <row r="103" spans="1:23" ht="15.75" x14ac:dyDescent="0.25">
      <c r="A103" s="6">
        <v>3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27"/>
      <c r="M103" s="27"/>
      <c r="N103" s="8"/>
      <c r="O103" s="8"/>
      <c r="P103" s="8"/>
      <c r="Q103" s="8"/>
      <c r="R103" s="8"/>
      <c r="S103" s="8"/>
      <c r="T103" s="8"/>
      <c r="U103" s="8"/>
      <c r="V103" s="8"/>
      <c r="W103" s="9"/>
    </row>
    <row r="104" spans="1:23" ht="15.75" x14ac:dyDescent="0.25">
      <c r="A104" s="5">
        <v>4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</row>
    <row r="105" spans="1:23" ht="15.75" x14ac:dyDescent="0.25">
      <c r="A105" s="5">
        <v>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6.5" thickBot="1" x14ac:dyDescent="0.3">
      <c r="A106" s="7">
        <v>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8" spans="1:23" ht="15.75" thickBot="1" x14ac:dyDescent="0.3"/>
    <row r="109" spans="1:23" ht="15.75" x14ac:dyDescent="0.25">
      <c r="A109" s="100" t="s">
        <v>260</v>
      </c>
      <c r="B109" s="101"/>
      <c r="C109" s="202" t="s">
        <v>470</v>
      </c>
      <c r="D109" s="203"/>
      <c r="E109" s="111" t="s">
        <v>467</v>
      </c>
      <c r="F109" s="112"/>
      <c r="G109" s="101" t="s">
        <v>4</v>
      </c>
      <c r="H109" s="101"/>
      <c r="I109" s="102" t="s">
        <v>139</v>
      </c>
      <c r="J109" s="102"/>
      <c r="K109" s="102"/>
      <c r="L109" s="102"/>
      <c r="M109" s="102"/>
      <c r="N109" s="102"/>
      <c r="O109" s="101" t="s">
        <v>6</v>
      </c>
      <c r="P109" s="101"/>
      <c r="Q109" s="103"/>
      <c r="R109" s="104"/>
      <c r="S109" s="104"/>
      <c r="T109" s="104"/>
      <c r="U109" s="104"/>
      <c r="V109" s="104"/>
      <c r="W109" s="105"/>
    </row>
    <row r="110" spans="1:23" ht="15.75" x14ac:dyDescent="0.25">
      <c r="A110" s="106" t="s">
        <v>7</v>
      </c>
      <c r="B110" s="107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7"/>
      <c r="R110" s="107"/>
      <c r="S110" s="107"/>
      <c r="T110" s="107"/>
      <c r="U110" s="107"/>
      <c r="V110" s="107"/>
      <c r="W110" s="110"/>
    </row>
    <row r="111" spans="1:23" x14ac:dyDescent="0.25">
      <c r="A111" s="113" t="s">
        <v>8</v>
      </c>
      <c r="B111" s="114" t="s">
        <v>9</v>
      </c>
      <c r="C111" s="114" t="s">
        <v>10</v>
      </c>
      <c r="D111" s="114" t="s">
        <v>11</v>
      </c>
      <c r="E111" s="114" t="s">
        <v>12</v>
      </c>
      <c r="F111" s="114" t="s">
        <v>13</v>
      </c>
      <c r="G111" s="114" t="s">
        <v>14</v>
      </c>
      <c r="H111" s="114"/>
      <c r="I111" s="114"/>
      <c r="J111" s="114"/>
      <c r="K111" s="114"/>
      <c r="L111" s="114"/>
      <c r="M111" s="114" t="s">
        <v>15</v>
      </c>
      <c r="N111" s="114" t="s">
        <v>16</v>
      </c>
      <c r="O111" s="114" t="s">
        <v>17</v>
      </c>
      <c r="P111" s="114" t="s">
        <v>18</v>
      </c>
      <c r="Q111" s="114" t="s">
        <v>19</v>
      </c>
      <c r="R111" s="114"/>
      <c r="S111" s="114"/>
      <c r="T111" s="114"/>
      <c r="U111" s="114"/>
      <c r="V111" s="114"/>
      <c r="W111" s="115" t="s">
        <v>20</v>
      </c>
    </row>
    <row r="112" spans="1:23" x14ac:dyDescent="0.25">
      <c r="A112" s="113"/>
      <c r="B112" s="114"/>
      <c r="C112" s="114"/>
      <c r="D112" s="114"/>
      <c r="E112" s="114"/>
      <c r="F112" s="114"/>
      <c r="G112" s="31" t="s">
        <v>21</v>
      </c>
      <c r="H112" s="31" t="s">
        <v>21</v>
      </c>
      <c r="I112" s="31" t="s">
        <v>21</v>
      </c>
      <c r="J112" s="31" t="s">
        <v>22</v>
      </c>
      <c r="K112" s="31" t="s">
        <v>22</v>
      </c>
      <c r="L112" s="32" t="s">
        <v>22</v>
      </c>
      <c r="M112" s="138"/>
      <c r="N112" s="114"/>
      <c r="O112" s="114"/>
      <c r="P112" s="114"/>
      <c r="Q112" s="31" t="s">
        <v>21</v>
      </c>
      <c r="R112" s="31" t="s">
        <v>21</v>
      </c>
      <c r="S112" s="31" t="s">
        <v>21</v>
      </c>
      <c r="T112" s="31" t="s">
        <v>22</v>
      </c>
      <c r="U112" s="31" t="s">
        <v>22</v>
      </c>
      <c r="V112" s="31" t="s">
        <v>22</v>
      </c>
      <c r="W112" s="115"/>
    </row>
    <row r="113" spans="1:23" ht="15.75" x14ac:dyDescent="0.25">
      <c r="A113" s="5">
        <v>1</v>
      </c>
      <c r="B113" s="21" t="s">
        <v>448</v>
      </c>
      <c r="C113" s="20">
        <v>46039</v>
      </c>
      <c r="D113" s="36">
        <v>46116</v>
      </c>
      <c r="E113" s="21">
        <v>3</v>
      </c>
      <c r="F113" s="21">
        <v>0</v>
      </c>
      <c r="G113" s="21"/>
      <c r="H113" s="21"/>
      <c r="I113" s="21"/>
      <c r="J113" s="21">
        <v>143</v>
      </c>
      <c r="K113" s="24">
        <v>137</v>
      </c>
      <c r="L113" s="29">
        <v>118</v>
      </c>
      <c r="M113" s="91">
        <f>AVERAGE(G113:L113)</f>
        <v>132.66666666666666</v>
      </c>
      <c r="N113" s="70">
        <v>46139</v>
      </c>
      <c r="O113" s="21">
        <v>2</v>
      </c>
      <c r="P113" s="21">
        <v>1</v>
      </c>
      <c r="Q113" s="21"/>
      <c r="R113" s="21"/>
      <c r="S113" s="21"/>
      <c r="T113" s="21">
        <v>256</v>
      </c>
      <c r="U113" s="21">
        <v>264</v>
      </c>
      <c r="V113" s="21"/>
      <c r="W113" s="22">
        <f>AVERAGE(Q113:V113)</f>
        <v>260</v>
      </c>
    </row>
    <row r="114" spans="1:23" ht="15.75" x14ac:dyDescent="0.25">
      <c r="A114" s="6">
        <v>2</v>
      </c>
      <c r="B114" s="21"/>
      <c r="C114" s="8"/>
      <c r="D114" s="8"/>
      <c r="E114" s="8"/>
      <c r="F114" s="8"/>
      <c r="G114" s="8"/>
      <c r="H114" s="8"/>
      <c r="I114" s="8"/>
      <c r="J114" s="8"/>
      <c r="K114" s="25"/>
      <c r="L114" s="30"/>
      <c r="M114" s="57"/>
      <c r="N114" s="26"/>
      <c r="O114" s="8"/>
      <c r="P114" s="8"/>
      <c r="Q114" s="8"/>
      <c r="R114" s="8"/>
      <c r="S114" s="8"/>
      <c r="T114" s="8"/>
      <c r="U114" s="8"/>
      <c r="V114" s="8"/>
      <c r="W114" s="9"/>
    </row>
    <row r="115" spans="1:23" ht="15.75" x14ac:dyDescent="0.25">
      <c r="A115" s="6">
        <v>3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27"/>
      <c r="M115" s="27"/>
      <c r="N115" s="8"/>
      <c r="O115" s="8"/>
      <c r="P115" s="8"/>
      <c r="Q115" s="8"/>
      <c r="R115" s="8"/>
      <c r="S115" s="8"/>
      <c r="T115" s="8"/>
      <c r="U115" s="8"/>
      <c r="V115" s="8"/>
      <c r="W115" s="9"/>
    </row>
    <row r="116" spans="1:23" ht="15.75" x14ac:dyDescent="0.25">
      <c r="A116" s="5">
        <v>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5">
        <v>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6.5" thickBot="1" x14ac:dyDescent="0.3">
      <c r="A118" s="7">
        <v>6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</sheetData>
  <mergeCells count="240">
    <mergeCell ref="Q1:W1"/>
    <mergeCell ref="A2:B2"/>
    <mergeCell ref="C2:N2"/>
    <mergeCell ref="O2:P2"/>
    <mergeCell ref="Q2:W2"/>
    <mergeCell ref="A3:A4"/>
    <mergeCell ref="B3:B4"/>
    <mergeCell ref="C3:C4"/>
    <mergeCell ref="D3:D4"/>
    <mergeCell ref="E3:E4"/>
    <mergeCell ref="A1:B1"/>
    <mergeCell ref="C1:D1"/>
    <mergeCell ref="E1:F1"/>
    <mergeCell ref="G1:H1"/>
    <mergeCell ref="I1:N1"/>
    <mergeCell ref="O1:P1"/>
    <mergeCell ref="Q3:V3"/>
    <mergeCell ref="W3:W4"/>
    <mergeCell ref="A13:B13"/>
    <mergeCell ref="C13:D13"/>
    <mergeCell ref="E13:F13"/>
    <mergeCell ref="G13:H13"/>
    <mergeCell ref="I13:N13"/>
    <mergeCell ref="O13:P13"/>
    <mergeCell ref="Q13:W13"/>
    <mergeCell ref="F3:F4"/>
    <mergeCell ref="G3:L3"/>
    <mergeCell ref="M3:M4"/>
    <mergeCell ref="N3:N4"/>
    <mergeCell ref="O3:O4"/>
    <mergeCell ref="P3:P4"/>
    <mergeCell ref="A14:B14"/>
    <mergeCell ref="C14:N14"/>
    <mergeCell ref="O14:P14"/>
    <mergeCell ref="Q14:W14"/>
    <mergeCell ref="A15:A16"/>
    <mergeCell ref="B15:B16"/>
    <mergeCell ref="C15:C16"/>
    <mergeCell ref="D15:D16"/>
    <mergeCell ref="E15:E16"/>
    <mergeCell ref="F15:F16"/>
    <mergeCell ref="W15:W16"/>
    <mergeCell ref="A25:B25"/>
    <mergeCell ref="C25:D25"/>
    <mergeCell ref="E25:F25"/>
    <mergeCell ref="G25:H25"/>
    <mergeCell ref="I25:N25"/>
    <mergeCell ref="O25:P25"/>
    <mergeCell ref="Q25:W25"/>
    <mergeCell ref="G15:L15"/>
    <mergeCell ref="M15:M16"/>
    <mergeCell ref="N15:N16"/>
    <mergeCell ref="O15:O16"/>
    <mergeCell ref="P15:P16"/>
    <mergeCell ref="Q15:V15"/>
    <mergeCell ref="A26:B26"/>
    <mergeCell ref="C26:N26"/>
    <mergeCell ref="O26:P26"/>
    <mergeCell ref="Q26:W26"/>
    <mergeCell ref="A27:A28"/>
    <mergeCell ref="B27:B28"/>
    <mergeCell ref="C27:C28"/>
    <mergeCell ref="D27:D28"/>
    <mergeCell ref="E27:E28"/>
    <mergeCell ref="F27:F28"/>
    <mergeCell ref="W27:W28"/>
    <mergeCell ref="A37:B37"/>
    <mergeCell ref="C37:D37"/>
    <mergeCell ref="E37:F37"/>
    <mergeCell ref="G37:H37"/>
    <mergeCell ref="I37:N37"/>
    <mergeCell ref="O37:P37"/>
    <mergeCell ref="Q37:W37"/>
    <mergeCell ref="G27:L27"/>
    <mergeCell ref="M27:M28"/>
    <mergeCell ref="N27:N28"/>
    <mergeCell ref="O27:O28"/>
    <mergeCell ref="P27:P28"/>
    <mergeCell ref="Q27:V27"/>
    <mergeCell ref="A38:B38"/>
    <mergeCell ref="C38:N38"/>
    <mergeCell ref="O38:P38"/>
    <mergeCell ref="Q38:W38"/>
    <mergeCell ref="A39:A40"/>
    <mergeCell ref="B39:B40"/>
    <mergeCell ref="C39:C40"/>
    <mergeCell ref="D39:D40"/>
    <mergeCell ref="E39:E40"/>
    <mergeCell ref="F39:F40"/>
    <mergeCell ref="W39:W40"/>
    <mergeCell ref="A49:B49"/>
    <mergeCell ref="C49:D49"/>
    <mergeCell ref="E49:F49"/>
    <mergeCell ref="G49:H49"/>
    <mergeCell ref="I49:N49"/>
    <mergeCell ref="O49:P49"/>
    <mergeCell ref="Q49:W49"/>
    <mergeCell ref="G39:L39"/>
    <mergeCell ref="M39:M40"/>
    <mergeCell ref="N39:N40"/>
    <mergeCell ref="O39:O40"/>
    <mergeCell ref="P39:P40"/>
    <mergeCell ref="Q39:V39"/>
    <mergeCell ref="A50:B50"/>
    <mergeCell ref="C50:N50"/>
    <mergeCell ref="O50:P50"/>
    <mergeCell ref="Q50:W50"/>
    <mergeCell ref="A51:A52"/>
    <mergeCell ref="B51:B52"/>
    <mergeCell ref="C51:C52"/>
    <mergeCell ref="D51:D52"/>
    <mergeCell ref="E51:E52"/>
    <mergeCell ref="F51:F52"/>
    <mergeCell ref="W51:W52"/>
    <mergeCell ref="A61:B61"/>
    <mergeCell ref="C61:D61"/>
    <mergeCell ref="E61:F61"/>
    <mergeCell ref="G61:H61"/>
    <mergeCell ref="I61:N61"/>
    <mergeCell ref="O61:P61"/>
    <mergeCell ref="Q61:W61"/>
    <mergeCell ref="G51:L51"/>
    <mergeCell ref="M51:M52"/>
    <mergeCell ref="N51:N52"/>
    <mergeCell ref="O51:O52"/>
    <mergeCell ref="P51:P52"/>
    <mergeCell ref="Q51:V51"/>
    <mergeCell ref="A62:B62"/>
    <mergeCell ref="C62:N62"/>
    <mergeCell ref="O62:P62"/>
    <mergeCell ref="Q62:W62"/>
    <mergeCell ref="A63:A64"/>
    <mergeCell ref="B63:B64"/>
    <mergeCell ref="C63:C64"/>
    <mergeCell ref="D63:D64"/>
    <mergeCell ref="E63:E64"/>
    <mergeCell ref="F63:F64"/>
    <mergeCell ref="W63:W64"/>
    <mergeCell ref="A73:B73"/>
    <mergeCell ref="C73:D73"/>
    <mergeCell ref="E73:F73"/>
    <mergeCell ref="G73:H73"/>
    <mergeCell ref="I73:N73"/>
    <mergeCell ref="O73:P73"/>
    <mergeCell ref="Q73:W73"/>
    <mergeCell ref="G63:L63"/>
    <mergeCell ref="M63:M64"/>
    <mergeCell ref="N63:N64"/>
    <mergeCell ref="O63:O64"/>
    <mergeCell ref="P63:P64"/>
    <mergeCell ref="Q63:V63"/>
    <mergeCell ref="A74:B74"/>
    <mergeCell ref="C74:N74"/>
    <mergeCell ref="O74:P74"/>
    <mergeCell ref="Q74:W74"/>
    <mergeCell ref="A75:A76"/>
    <mergeCell ref="B75:B76"/>
    <mergeCell ref="C75:C76"/>
    <mergeCell ref="D75:D76"/>
    <mergeCell ref="E75:E76"/>
    <mergeCell ref="F75:F76"/>
    <mergeCell ref="W75:W76"/>
    <mergeCell ref="A85:B85"/>
    <mergeCell ref="C85:D85"/>
    <mergeCell ref="E85:F85"/>
    <mergeCell ref="G85:H85"/>
    <mergeCell ref="I85:N85"/>
    <mergeCell ref="O85:P85"/>
    <mergeCell ref="Q85:W85"/>
    <mergeCell ref="G75:L75"/>
    <mergeCell ref="M75:M76"/>
    <mergeCell ref="N75:N76"/>
    <mergeCell ref="O75:O76"/>
    <mergeCell ref="P75:P76"/>
    <mergeCell ref="Q75:V75"/>
    <mergeCell ref="A86:B86"/>
    <mergeCell ref="C86:N86"/>
    <mergeCell ref="O86:P86"/>
    <mergeCell ref="Q86:W86"/>
    <mergeCell ref="A87:A88"/>
    <mergeCell ref="B87:B88"/>
    <mergeCell ref="C87:C88"/>
    <mergeCell ref="D87:D88"/>
    <mergeCell ref="E87:E88"/>
    <mergeCell ref="F87:F88"/>
    <mergeCell ref="W87:W88"/>
    <mergeCell ref="A97:B97"/>
    <mergeCell ref="C97:D97"/>
    <mergeCell ref="E97:F97"/>
    <mergeCell ref="G97:H97"/>
    <mergeCell ref="I97:N97"/>
    <mergeCell ref="O97:P97"/>
    <mergeCell ref="Q97:W97"/>
    <mergeCell ref="G87:L87"/>
    <mergeCell ref="M87:M88"/>
    <mergeCell ref="N87:N88"/>
    <mergeCell ref="O87:O88"/>
    <mergeCell ref="P87:P88"/>
    <mergeCell ref="Q87:V87"/>
    <mergeCell ref="A98:B98"/>
    <mergeCell ref="C98:N98"/>
    <mergeCell ref="O98:P98"/>
    <mergeCell ref="Q98:W98"/>
    <mergeCell ref="A99:A100"/>
    <mergeCell ref="B99:B100"/>
    <mergeCell ref="C99:C100"/>
    <mergeCell ref="D99:D100"/>
    <mergeCell ref="E99:E100"/>
    <mergeCell ref="F99:F100"/>
    <mergeCell ref="W99:W100"/>
    <mergeCell ref="A109:B109"/>
    <mergeCell ref="C109:D109"/>
    <mergeCell ref="E109:F109"/>
    <mergeCell ref="G109:H109"/>
    <mergeCell ref="I109:N109"/>
    <mergeCell ref="O109:P109"/>
    <mergeCell ref="Q109:W109"/>
    <mergeCell ref="G99:L99"/>
    <mergeCell ref="M99:M100"/>
    <mergeCell ref="N99:N100"/>
    <mergeCell ref="O99:O100"/>
    <mergeCell ref="P99:P100"/>
    <mergeCell ref="Q99:V99"/>
    <mergeCell ref="W111:W112"/>
    <mergeCell ref="G111:L111"/>
    <mergeCell ref="M111:M112"/>
    <mergeCell ref="N111:N112"/>
    <mergeCell ref="O111:O112"/>
    <mergeCell ref="P111:P112"/>
    <mergeCell ref="Q111:V111"/>
    <mergeCell ref="A110:B110"/>
    <mergeCell ref="C110:N110"/>
    <mergeCell ref="O110:P110"/>
    <mergeCell ref="Q110:W110"/>
    <mergeCell ref="A111:A112"/>
    <mergeCell ref="B111:B112"/>
    <mergeCell ref="C111:C112"/>
    <mergeCell ref="D111:D112"/>
    <mergeCell ref="E111:E112"/>
    <mergeCell ref="F111:F1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FC9B-876E-4FC3-B285-4CE05827DBF6}">
  <dimension ref="A1:W238"/>
  <sheetViews>
    <sheetView topLeftCell="B219" workbookViewId="0">
      <selection activeCell="C217" sqref="C217:D217"/>
    </sheetView>
  </sheetViews>
  <sheetFormatPr baseColWidth="10" defaultRowHeight="15" x14ac:dyDescent="0.25"/>
  <cols>
    <col min="1" max="1" width="10.140625" customWidth="1"/>
    <col min="2" max="2" width="8.140625" customWidth="1"/>
    <col min="3" max="3" width="13.28515625" customWidth="1"/>
    <col min="4" max="4" width="12.7109375" bestFit="1" customWidth="1"/>
    <col min="5" max="5" width="13.42578125" customWidth="1"/>
    <col min="7" max="7" width="5.140625" customWidth="1"/>
    <col min="8" max="8" width="5.85546875" customWidth="1"/>
    <col min="9" max="9" width="5.7109375" customWidth="1"/>
    <col min="10" max="10" width="5.28515625" customWidth="1"/>
    <col min="11" max="11" width="6" customWidth="1"/>
    <col min="12" max="12" width="5.5703125" customWidth="1"/>
    <col min="13" max="13" width="9.42578125" customWidth="1"/>
    <col min="14" max="14" width="9.140625" customWidth="1"/>
    <col min="15" max="15" width="10.140625" customWidth="1"/>
    <col min="17" max="17" width="6.85546875" customWidth="1"/>
    <col min="18" max="18" width="6.28515625" customWidth="1"/>
    <col min="19" max="19" width="5.42578125" customWidth="1"/>
    <col min="20" max="21" width="6.140625" customWidth="1"/>
    <col min="22" max="22" width="5.5703125" customWidth="1"/>
  </cols>
  <sheetData>
    <row r="1" spans="1:23" ht="15.75" x14ac:dyDescent="0.25">
      <c r="A1" s="100" t="s">
        <v>260</v>
      </c>
      <c r="B1" s="101"/>
      <c r="C1" s="111" t="s">
        <v>471</v>
      </c>
      <c r="D1" s="112"/>
      <c r="E1" s="111" t="s">
        <v>467</v>
      </c>
      <c r="F1" s="112"/>
      <c r="G1" s="101" t="s">
        <v>4</v>
      </c>
      <c r="H1" s="101"/>
      <c r="I1" s="102" t="s">
        <v>139</v>
      </c>
      <c r="J1" s="102"/>
      <c r="K1" s="102"/>
      <c r="L1" s="102"/>
      <c r="M1" s="102"/>
      <c r="N1" s="102"/>
      <c r="O1" s="101" t="s">
        <v>6</v>
      </c>
      <c r="P1" s="101"/>
      <c r="Q1" s="103"/>
      <c r="R1" s="104"/>
      <c r="S1" s="104"/>
      <c r="T1" s="104"/>
      <c r="U1" s="104"/>
      <c r="V1" s="104"/>
      <c r="W1" s="105"/>
    </row>
    <row r="2" spans="1:23" ht="15.75" x14ac:dyDescent="0.25">
      <c r="A2" s="106" t="s">
        <v>7</v>
      </c>
      <c r="B2" s="107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7"/>
      <c r="R2" s="107"/>
      <c r="S2" s="107"/>
      <c r="T2" s="107"/>
      <c r="U2" s="107"/>
      <c r="V2" s="107"/>
      <c r="W2" s="110"/>
    </row>
    <row r="3" spans="1:23" x14ac:dyDescent="0.25">
      <c r="A3" s="113" t="s">
        <v>8</v>
      </c>
      <c r="B3" s="114" t="s">
        <v>9</v>
      </c>
      <c r="C3" s="114" t="s">
        <v>10</v>
      </c>
      <c r="D3" s="114" t="s">
        <v>11</v>
      </c>
      <c r="E3" s="114" t="s">
        <v>12</v>
      </c>
      <c r="F3" s="114" t="s">
        <v>13</v>
      </c>
      <c r="G3" s="114" t="s">
        <v>14</v>
      </c>
      <c r="H3" s="114"/>
      <c r="I3" s="114"/>
      <c r="J3" s="114"/>
      <c r="K3" s="114"/>
      <c r="L3" s="114"/>
      <c r="M3" s="114" t="s">
        <v>15</v>
      </c>
      <c r="N3" s="114" t="s">
        <v>16</v>
      </c>
      <c r="O3" s="114" t="s">
        <v>17</v>
      </c>
      <c r="P3" s="114" t="s">
        <v>18</v>
      </c>
      <c r="Q3" s="114" t="s">
        <v>19</v>
      </c>
      <c r="R3" s="114"/>
      <c r="S3" s="114"/>
      <c r="T3" s="114"/>
      <c r="U3" s="114"/>
      <c r="V3" s="114"/>
      <c r="W3" s="115" t="s">
        <v>20</v>
      </c>
    </row>
    <row r="4" spans="1:23" x14ac:dyDescent="0.25">
      <c r="A4" s="113"/>
      <c r="B4" s="114"/>
      <c r="C4" s="114"/>
      <c r="D4" s="114"/>
      <c r="E4" s="114"/>
      <c r="F4" s="114"/>
      <c r="G4" s="31" t="s">
        <v>21</v>
      </c>
      <c r="H4" s="31" t="s">
        <v>21</v>
      </c>
      <c r="I4" s="31" t="s">
        <v>21</v>
      </c>
      <c r="J4" s="31" t="s">
        <v>22</v>
      </c>
      <c r="K4" s="31" t="s">
        <v>22</v>
      </c>
      <c r="L4" s="32" t="s">
        <v>22</v>
      </c>
      <c r="M4" s="138"/>
      <c r="N4" s="114"/>
      <c r="O4" s="114"/>
      <c r="P4" s="114"/>
      <c r="Q4" s="31" t="s">
        <v>21</v>
      </c>
      <c r="R4" s="31" t="s">
        <v>21</v>
      </c>
      <c r="S4" s="31" t="s">
        <v>21</v>
      </c>
      <c r="T4" s="31" t="s">
        <v>22</v>
      </c>
      <c r="U4" s="31" t="s">
        <v>22</v>
      </c>
      <c r="V4" s="31" t="s">
        <v>22</v>
      </c>
      <c r="W4" s="115"/>
    </row>
    <row r="5" spans="1:23" ht="15.75" x14ac:dyDescent="0.25">
      <c r="A5" s="5">
        <v>1</v>
      </c>
      <c r="B5" s="21" t="s">
        <v>448</v>
      </c>
      <c r="C5" s="20">
        <v>46039</v>
      </c>
      <c r="D5" s="36">
        <v>46118</v>
      </c>
      <c r="E5" s="21">
        <v>2</v>
      </c>
      <c r="F5" s="21">
        <v>0</v>
      </c>
      <c r="G5" s="21">
        <v>120</v>
      </c>
      <c r="H5" s="21">
        <v>125</v>
      </c>
      <c r="I5" s="21"/>
      <c r="J5" s="21"/>
      <c r="K5" s="24"/>
      <c r="L5" s="29"/>
      <c r="M5" s="57"/>
      <c r="N5" s="70">
        <v>46139</v>
      </c>
      <c r="O5" s="21">
        <v>2</v>
      </c>
      <c r="P5" s="21">
        <v>0</v>
      </c>
      <c r="Q5" s="21">
        <v>205</v>
      </c>
      <c r="R5" s="21">
        <v>218</v>
      </c>
      <c r="S5" s="21"/>
      <c r="T5" s="21"/>
      <c r="U5" s="21"/>
      <c r="V5" s="21"/>
      <c r="W5" s="22">
        <f>AVERAGE(Q5:V5)</f>
        <v>211.5</v>
      </c>
    </row>
    <row r="6" spans="1:23" ht="15.75" x14ac:dyDescent="0.25">
      <c r="A6" s="6">
        <v>2</v>
      </c>
      <c r="B6" s="21"/>
      <c r="C6" s="8"/>
      <c r="D6" s="8"/>
      <c r="E6" s="8"/>
      <c r="F6" s="8"/>
      <c r="G6" s="8"/>
      <c r="H6" s="8"/>
      <c r="I6" s="8"/>
      <c r="J6" s="8"/>
      <c r="K6" s="25"/>
      <c r="L6" s="30"/>
      <c r="M6" s="57"/>
      <c r="N6" s="26"/>
      <c r="O6" s="8"/>
      <c r="P6" s="8"/>
      <c r="Q6" s="8"/>
      <c r="R6" s="8"/>
      <c r="S6" s="8"/>
      <c r="T6" s="8"/>
      <c r="U6" s="8"/>
      <c r="V6" s="8"/>
      <c r="W6" s="9"/>
    </row>
    <row r="7" spans="1:23" ht="15.75" x14ac:dyDescent="0.25">
      <c r="A7" s="6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27"/>
      <c r="M7" s="27"/>
      <c r="N7" s="8"/>
      <c r="O7" s="8"/>
      <c r="P7" s="8"/>
      <c r="Q7" s="8"/>
      <c r="R7" s="8"/>
      <c r="S7" s="8"/>
      <c r="T7" s="8"/>
      <c r="U7" s="8"/>
      <c r="V7" s="8"/>
      <c r="W7" s="9"/>
    </row>
    <row r="8" spans="1:23" ht="15.75" x14ac:dyDescent="0.25">
      <c r="A8" s="5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/>
    </row>
    <row r="9" spans="1:23" ht="15.75" x14ac:dyDescent="0.25">
      <c r="A9" s="5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</row>
    <row r="10" spans="1:23" ht="16.5" thickBot="1" x14ac:dyDescent="0.3">
      <c r="A10" s="7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2" spans="1:23" ht="15.75" thickBot="1" x14ac:dyDescent="0.3"/>
    <row r="13" spans="1:23" ht="15.75" x14ac:dyDescent="0.25">
      <c r="A13" s="100" t="s">
        <v>260</v>
      </c>
      <c r="B13" s="101"/>
      <c r="C13" s="202" t="s">
        <v>472</v>
      </c>
      <c r="D13" s="203"/>
      <c r="E13" s="111" t="s">
        <v>467</v>
      </c>
      <c r="F13" s="112"/>
      <c r="G13" s="101" t="s">
        <v>4</v>
      </c>
      <c r="H13" s="101"/>
      <c r="I13" s="102" t="s">
        <v>139</v>
      </c>
      <c r="J13" s="102"/>
      <c r="K13" s="102"/>
      <c r="L13" s="102"/>
      <c r="M13" s="102"/>
      <c r="N13" s="102"/>
      <c r="O13" s="101" t="s">
        <v>6</v>
      </c>
      <c r="P13" s="101"/>
      <c r="Q13" s="103"/>
      <c r="R13" s="104"/>
      <c r="S13" s="104"/>
      <c r="T13" s="104"/>
      <c r="U13" s="104"/>
      <c r="V13" s="104"/>
      <c r="W13" s="105"/>
    </row>
    <row r="14" spans="1:23" ht="15.75" x14ac:dyDescent="0.25">
      <c r="A14" s="106" t="s">
        <v>7</v>
      </c>
      <c r="B14" s="107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7"/>
      <c r="R14" s="107"/>
      <c r="S14" s="107"/>
      <c r="T14" s="107"/>
      <c r="U14" s="107"/>
      <c r="V14" s="107"/>
      <c r="W14" s="110"/>
    </row>
    <row r="15" spans="1:23" x14ac:dyDescent="0.25">
      <c r="A15" s="113" t="s">
        <v>8</v>
      </c>
      <c r="B15" s="114" t="s">
        <v>9</v>
      </c>
      <c r="C15" s="114" t="s">
        <v>10</v>
      </c>
      <c r="D15" s="114" t="s">
        <v>11</v>
      </c>
      <c r="E15" s="114" t="s">
        <v>12</v>
      </c>
      <c r="F15" s="114" t="s">
        <v>13</v>
      </c>
      <c r="G15" s="114" t="s">
        <v>14</v>
      </c>
      <c r="H15" s="114"/>
      <c r="I15" s="114"/>
      <c r="J15" s="114"/>
      <c r="K15" s="114"/>
      <c r="L15" s="114"/>
      <c r="M15" s="114" t="s">
        <v>15</v>
      </c>
      <c r="N15" s="114" t="s">
        <v>16</v>
      </c>
      <c r="O15" s="114" t="s">
        <v>17</v>
      </c>
      <c r="P15" s="114" t="s">
        <v>18</v>
      </c>
      <c r="Q15" s="114" t="s">
        <v>19</v>
      </c>
      <c r="R15" s="114"/>
      <c r="S15" s="114"/>
      <c r="T15" s="114"/>
      <c r="U15" s="114"/>
      <c r="V15" s="114"/>
      <c r="W15" s="115" t="s">
        <v>20</v>
      </c>
    </row>
    <row r="16" spans="1:23" x14ac:dyDescent="0.25">
      <c r="A16" s="113"/>
      <c r="B16" s="114"/>
      <c r="C16" s="114"/>
      <c r="D16" s="114"/>
      <c r="E16" s="114"/>
      <c r="F16" s="114"/>
      <c r="G16" s="31" t="s">
        <v>21</v>
      </c>
      <c r="H16" s="31" t="s">
        <v>21</v>
      </c>
      <c r="I16" s="31" t="s">
        <v>21</v>
      </c>
      <c r="J16" s="31" t="s">
        <v>22</v>
      </c>
      <c r="K16" s="31" t="s">
        <v>22</v>
      </c>
      <c r="L16" s="32" t="s">
        <v>22</v>
      </c>
      <c r="M16" s="138"/>
      <c r="N16" s="114"/>
      <c r="O16" s="114"/>
      <c r="P16" s="114"/>
      <c r="Q16" s="31" t="s">
        <v>21</v>
      </c>
      <c r="R16" s="31" t="s">
        <v>21</v>
      </c>
      <c r="S16" s="31" t="s">
        <v>21</v>
      </c>
      <c r="T16" s="31" t="s">
        <v>22</v>
      </c>
      <c r="U16" s="31" t="s">
        <v>22</v>
      </c>
      <c r="V16" s="31" t="s">
        <v>22</v>
      </c>
      <c r="W16" s="115"/>
    </row>
    <row r="17" spans="1:23" ht="15.75" x14ac:dyDescent="0.25">
      <c r="A17" s="5">
        <v>1</v>
      </c>
      <c r="B17" s="21" t="s">
        <v>448</v>
      </c>
      <c r="C17" s="20">
        <v>46039</v>
      </c>
      <c r="D17" s="36">
        <v>46135</v>
      </c>
      <c r="E17" s="21">
        <v>3</v>
      </c>
      <c r="F17" s="21">
        <v>0</v>
      </c>
      <c r="G17" s="21">
        <v>131</v>
      </c>
      <c r="H17" s="21"/>
      <c r="I17" s="21"/>
      <c r="J17" s="21">
        <v>139</v>
      </c>
      <c r="K17" s="24">
        <v>141</v>
      </c>
      <c r="L17" s="29"/>
      <c r="M17" s="57">
        <f>AVERAGE(G17:L17)</f>
        <v>137</v>
      </c>
      <c r="N17" s="70">
        <v>46176</v>
      </c>
      <c r="O17" s="21">
        <v>2</v>
      </c>
      <c r="P17" s="21">
        <v>1</v>
      </c>
      <c r="Q17" s="21">
        <v>280</v>
      </c>
      <c r="R17" s="21"/>
      <c r="S17" s="21"/>
      <c r="T17" s="21">
        <v>282</v>
      </c>
      <c r="U17" s="21"/>
      <c r="V17" s="21"/>
      <c r="W17" s="22">
        <f>AVERAGE(Q17:V17)</f>
        <v>281</v>
      </c>
    </row>
    <row r="18" spans="1:23" ht="15.75" x14ac:dyDescent="0.25">
      <c r="A18" s="6">
        <v>2</v>
      </c>
      <c r="B18" s="21"/>
      <c r="C18" s="8"/>
      <c r="D18" s="8"/>
      <c r="E18" s="8"/>
      <c r="F18" s="8"/>
      <c r="G18" s="8"/>
      <c r="H18" s="8"/>
      <c r="I18" s="8"/>
      <c r="J18" s="8"/>
      <c r="K18" s="25"/>
      <c r="L18" s="30"/>
      <c r="M18" s="57"/>
      <c r="N18" s="26"/>
      <c r="O18" s="8"/>
      <c r="P18" s="8"/>
      <c r="Q18" s="8"/>
      <c r="R18" s="8"/>
      <c r="S18" s="8"/>
      <c r="T18" s="8"/>
      <c r="U18" s="8"/>
      <c r="V18" s="8"/>
      <c r="W18" s="9"/>
    </row>
    <row r="19" spans="1:23" ht="15.75" x14ac:dyDescent="0.25">
      <c r="A19" s="6">
        <v>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27"/>
      <c r="M19" s="27"/>
      <c r="N19" s="8"/>
      <c r="O19" s="8"/>
      <c r="P19" s="8"/>
      <c r="Q19" s="8"/>
      <c r="R19" s="8"/>
      <c r="S19" s="8"/>
      <c r="T19" s="8"/>
      <c r="U19" s="8"/>
      <c r="V19" s="8"/>
      <c r="W19" s="9"/>
    </row>
    <row r="20" spans="1:23" ht="15.75" x14ac:dyDescent="0.25">
      <c r="A20" s="5">
        <v>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</row>
    <row r="21" spans="1:23" ht="15.75" x14ac:dyDescent="0.25">
      <c r="A21" s="5">
        <v>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ht="16.5" thickBot="1" x14ac:dyDescent="0.3">
      <c r="A22" s="7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4" spans="1:23" ht="15.75" thickBot="1" x14ac:dyDescent="0.3"/>
    <row r="25" spans="1:23" ht="15.75" x14ac:dyDescent="0.25">
      <c r="A25" s="100" t="s">
        <v>260</v>
      </c>
      <c r="B25" s="101"/>
      <c r="C25" s="111" t="s">
        <v>473</v>
      </c>
      <c r="D25" s="112"/>
      <c r="E25" s="111" t="s">
        <v>474</v>
      </c>
      <c r="F25" s="112"/>
      <c r="G25" s="101" t="s">
        <v>4</v>
      </c>
      <c r="H25" s="101"/>
      <c r="I25" s="102" t="s">
        <v>139</v>
      </c>
      <c r="J25" s="102"/>
      <c r="K25" s="102"/>
      <c r="L25" s="102"/>
      <c r="M25" s="102"/>
      <c r="N25" s="102"/>
      <c r="O25" s="101" t="s">
        <v>6</v>
      </c>
      <c r="P25" s="101"/>
      <c r="Q25" s="103"/>
      <c r="R25" s="104"/>
      <c r="S25" s="104"/>
      <c r="T25" s="104"/>
      <c r="U25" s="104"/>
      <c r="V25" s="104"/>
      <c r="W25" s="105"/>
    </row>
    <row r="26" spans="1:23" ht="15.75" x14ac:dyDescent="0.25">
      <c r="A26" s="106" t="s">
        <v>7</v>
      </c>
      <c r="B26" s="107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7"/>
      <c r="R26" s="107"/>
      <c r="S26" s="107"/>
      <c r="T26" s="107"/>
      <c r="U26" s="107"/>
      <c r="V26" s="107"/>
      <c r="W26" s="110"/>
    </row>
    <row r="27" spans="1:23" x14ac:dyDescent="0.25">
      <c r="A27" s="113" t="s">
        <v>8</v>
      </c>
      <c r="B27" s="114" t="s">
        <v>9</v>
      </c>
      <c r="C27" s="114" t="s">
        <v>10</v>
      </c>
      <c r="D27" s="114" t="s">
        <v>11</v>
      </c>
      <c r="E27" s="114" t="s">
        <v>12</v>
      </c>
      <c r="F27" s="114" t="s">
        <v>13</v>
      </c>
      <c r="G27" s="114" t="s">
        <v>14</v>
      </c>
      <c r="H27" s="114"/>
      <c r="I27" s="114"/>
      <c r="J27" s="114"/>
      <c r="K27" s="114"/>
      <c r="L27" s="114"/>
      <c r="M27" s="114" t="s">
        <v>15</v>
      </c>
      <c r="N27" s="114" t="s">
        <v>16</v>
      </c>
      <c r="O27" s="114" t="s">
        <v>17</v>
      </c>
      <c r="P27" s="114" t="s">
        <v>18</v>
      </c>
      <c r="Q27" s="114" t="s">
        <v>19</v>
      </c>
      <c r="R27" s="114"/>
      <c r="S27" s="114"/>
      <c r="T27" s="114"/>
      <c r="U27" s="114"/>
      <c r="V27" s="114"/>
      <c r="W27" s="115" t="s">
        <v>20</v>
      </c>
    </row>
    <row r="28" spans="1:23" x14ac:dyDescent="0.25">
      <c r="A28" s="113"/>
      <c r="B28" s="114"/>
      <c r="C28" s="114"/>
      <c r="D28" s="114"/>
      <c r="E28" s="114"/>
      <c r="F28" s="114"/>
      <c r="G28" s="31" t="s">
        <v>21</v>
      </c>
      <c r="H28" s="31" t="s">
        <v>21</v>
      </c>
      <c r="I28" s="31" t="s">
        <v>21</v>
      </c>
      <c r="J28" s="31" t="s">
        <v>22</v>
      </c>
      <c r="K28" s="31" t="s">
        <v>22</v>
      </c>
      <c r="L28" s="32" t="s">
        <v>22</v>
      </c>
      <c r="M28" s="138"/>
      <c r="N28" s="114"/>
      <c r="O28" s="114"/>
      <c r="P28" s="114"/>
      <c r="Q28" s="31" t="s">
        <v>21</v>
      </c>
      <c r="R28" s="31" t="s">
        <v>21</v>
      </c>
      <c r="S28" s="31" t="s">
        <v>21</v>
      </c>
      <c r="T28" s="31" t="s">
        <v>22</v>
      </c>
      <c r="U28" s="31" t="s">
        <v>22</v>
      </c>
      <c r="V28" s="31" t="s">
        <v>22</v>
      </c>
      <c r="W28" s="115"/>
    </row>
    <row r="29" spans="1:23" ht="15.75" x14ac:dyDescent="0.25">
      <c r="A29" s="5">
        <v>1</v>
      </c>
      <c r="B29" s="21" t="s">
        <v>159</v>
      </c>
      <c r="C29" s="20">
        <v>46039</v>
      </c>
      <c r="D29" s="36" t="s">
        <v>428</v>
      </c>
      <c r="E29" s="21"/>
      <c r="F29" s="21"/>
      <c r="G29" s="21"/>
      <c r="H29" s="21"/>
      <c r="I29" s="21"/>
      <c r="J29" s="21"/>
      <c r="K29" s="24"/>
      <c r="L29" s="29"/>
      <c r="M29" s="57"/>
      <c r="O29" s="21"/>
      <c r="P29" s="21"/>
      <c r="Q29" s="21"/>
      <c r="R29" s="21"/>
      <c r="S29" s="21"/>
      <c r="T29" s="21"/>
      <c r="U29" s="21"/>
      <c r="V29" s="21"/>
      <c r="W29" s="22"/>
    </row>
    <row r="30" spans="1:23" ht="15.75" x14ac:dyDescent="0.25">
      <c r="A30" s="6">
        <v>2</v>
      </c>
      <c r="B30" s="21"/>
      <c r="C30" s="8"/>
      <c r="D30" s="8"/>
      <c r="E30" s="8"/>
      <c r="F30" s="8"/>
      <c r="G30" s="8"/>
      <c r="H30" s="8"/>
      <c r="I30" s="8"/>
      <c r="J30" s="8"/>
      <c r="K30" s="25"/>
      <c r="L30" s="30"/>
      <c r="M30" s="57"/>
      <c r="N30" s="26"/>
      <c r="O30" s="8"/>
      <c r="P30" s="8"/>
      <c r="Q30" s="8"/>
      <c r="R30" s="8"/>
      <c r="S30" s="8"/>
      <c r="T30" s="8"/>
      <c r="U30" s="8"/>
      <c r="V30" s="8"/>
      <c r="W30" s="9"/>
    </row>
    <row r="31" spans="1:23" ht="15.75" x14ac:dyDescent="0.25">
      <c r="A31" s="6">
        <v>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27"/>
      <c r="M31" s="27"/>
      <c r="N31" s="8"/>
      <c r="O31" s="8"/>
      <c r="P31" s="8"/>
      <c r="Q31" s="8"/>
      <c r="R31" s="8"/>
      <c r="S31" s="8"/>
      <c r="T31" s="8"/>
      <c r="U31" s="8"/>
      <c r="V31" s="8"/>
      <c r="W31" s="9"/>
    </row>
    <row r="32" spans="1:23" ht="15.75" x14ac:dyDescent="0.25">
      <c r="A32" s="5">
        <v>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</row>
    <row r="33" spans="1:23" ht="15.75" x14ac:dyDescent="0.25">
      <c r="A33" s="5">
        <v>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</row>
    <row r="34" spans="1:23" ht="16.5" thickBot="1" x14ac:dyDescent="0.3">
      <c r="A34" s="7">
        <v>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6" spans="1:23" ht="15.75" thickBot="1" x14ac:dyDescent="0.3"/>
    <row r="37" spans="1:23" ht="15.75" x14ac:dyDescent="0.25">
      <c r="A37" s="100" t="s">
        <v>260</v>
      </c>
      <c r="B37" s="101"/>
      <c r="C37" s="111" t="s">
        <v>475</v>
      </c>
      <c r="D37" s="112"/>
      <c r="E37" s="111" t="s">
        <v>474</v>
      </c>
      <c r="F37" s="112"/>
      <c r="G37" s="101" t="s">
        <v>4</v>
      </c>
      <c r="H37" s="101"/>
      <c r="I37" s="102" t="s">
        <v>139</v>
      </c>
      <c r="J37" s="102"/>
      <c r="K37" s="102"/>
      <c r="L37" s="102"/>
      <c r="M37" s="102"/>
      <c r="N37" s="102"/>
      <c r="O37" s="101" t="s">
        <v>6</v>
      </c>
      <c r="P37" s="101"/>
      <c r="Q37" s="103"/>
      <c r="R37" s="104"/>
      <c r="S37" s="104"/>
      <c r="T37" s="104"/>
      <c r="U37" s="104"/>
      <c r="V37" s="104"/>
      <c r="W37" s="105"/>
    </row>
    <row r="38" spans="1:23" ht="15.75" x14ac:dyDescent="0.25">
      <c r="A38" s="106" t="s">
        <v>7</v>
      </c>
      <c r="B38" s="107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7"/>
      <c r="R38" s="107"/>
      <c r="S38" s="107"/>
      <c r="T38" s="107"/>
      <c r="U38" s="107"/>
      <c r="V38" s="107"/>
      <c r="W38" s="110"/>
    </row>
    <row r="39" spans="1:23" x14ac:dyDescent="0.25">
      <c r="A39" s="113" t="s">
        <v>8</v>
      </c>
      <c r="B39" s="114" t="s">
        <v>9</v>
      </c>
      <c r="C39" s="114" t="s">
        <v>10</v>
      </c>
      <c r="D39" s="114" t="s">
        <v>11</v>
      </c>
      <c r="E39" s="114" t="s">
        <v>12</v>
      </c>
      <c r="F39" s="114" t="s">
        <v>13</v>
      </c>
      <c r="G39" s="114" t="s">
        <v>14</v>
      </c>
      <c r="H39" s="114"/>
      <c r="I39" s="114"/>
      <c r="J39" s="114"/>
      <c r="K39" s="114"/>
      <c r="L39" s="114"/>
      <c r="M39" s="114" t="s">
        <v>15</v>
      </c>
      <c r="N39" s="114" t="s">
        <v>16</v>
      </c>
      <c r="O39" s="114" t="s">
        <v>17</v>
      </c>
      <c r="P39" s="114" t="s">
        <v>18</v>
      </c>
      <c r="Q39" s="114" t="s">
        <v>19</v>
      </c>
      <c r="R39" s="114"/>
      <c r="S39" s="114"/>
      <c r="T39" s="114"/>
      <c r="U39" s="114"/>
      <c r="V39" s="114"/>
      <c r="W39" s="115" t="s">
        <v>20</v>
      </c>
    </row>
    <row r="40" spans="1:23" x14ac:dyDescent="0.25">
      <c r="A40" s="113"/>
      <c r="B40" s="114"/>
      <c r="C40" s="114"/>
      <c r="D40" s="114"/>
      <c r="E40" s="114"/>
      <c r="F40" s="114"/>
      <c r="G40" s="31" t="s">
        <v>21</v>
      </c>
      <c r="H40" s="31" t="s">
        <v>21</v>
      </c>
      <c r="I40" s="31" t="s">
        <v>21</v>
      </c>
      <c r="J40" s="31" t="s">
        <v>22</v>
      </c>
      <c r="K40" s="31" t="s">
        <v>22</v>
      </c>
      <c r="L40" s="32" t="s">
        <v>22</v>
      </c>
      <c r="M40" s="138"/>
      <c r="N40" s="114"/>
      <c r="O40" s="114"/>
      <c r="P40" s="114"/>
      <c r="Q40" s="31" t="s">
        <v>21</v>
      </c>
      <c r="R40" s="31" t="s">
        <v>21</v>
      </c>
      <c r="S40" s="31" t="s">
        <v>21</v>
      </c>
      <c r="T40" s="31" t="s">
        <v>22</v>
      </c>
      <c r="U40" s="31" t="s">
        <v>22</v>
      </c>
      <c r="V40" s="31" t="s">
        <v>22</v>
      </c>
      <c r="W40" s="115"/>
    </row>
    <row r="41" spans="1:23" ht="15.75" x14ac:dyDescent="0.25">
      <c r="A41" s="5">
        <v>1</v>
      </c>
      <c r="B41" s="21" t="s">
        <v>159</v>
      </c>
      <c r="C41" s="20">
        <v>46039</v>
      </c>
      <c r="D41" s="36">
        <v>46122</v>
      </c>
      <c r="E41" s="21" t="s">
        <v>490</v>
      </c>
      <c r="F41" s="21"/>
      <c r="G41" s="21"/>
      <c r="H41" s="21"/>
      <c r="I41" s="21"/>
      <c r="J41" s="21"/>
      <c r="K41" s="24"/>
      <c r="L41" s="29"/>
      <c r="M41" s="57"/>
      <c r="O41" s="21"/>
      <c r="P41" s="21"/>
      <c r="Q41" s="21"/>
      <c r="R41" s="21"/>
      <c r="S41" s="21"/>
      <c r="T41" s="21"/>
      <c r="U41" s="21"/>
      <c r="V41" s="21"/>
      <c r="W41" s="22"/>
    </row>
    <row r="42" spans="1:23" ht="15.75" x14ac:dyDescent="0.25">
      <c r="A42" s="6">
        <v>2</v>
      </c>
      <c r="B42" s="21"/>
      <c r="C42" s="8"/>
      <c r="D42" s="8"/>
      <c r="E42" s="8"/>
      <c r="F42" s="8"/>
      <c r="G42" s="8"/>
      <c r="H42" s="8"/>
      <c r="I42" s="8"/>
      <c r="J42" s="8"/>
      <c r="K42" s="25"/>
      <c r="L42" s="30"/>
      <c r="M42" s="57"/>
      <c r="N42" s="26"/>
      <c r="O42" s="8"/>
      <c r="P42" s="8"/>
      <c r="Q42" s="8"/>
      <c r="R42" s="8"/>
      <c r="S42" s="8"/>
      <c r="T42" s="8"/>
      <c r="U42" s="8"/>
      <c r="V42" s="8"/>
      <c r="W42" s="9"/>
    </row>
    <row r="43" spans="1:23" ht="15.75" x14ac:dyDescent="0.25">
      <c r="A43" s="6">
        <v>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27"/>
      <c r="M43" s="27"/>
      <c r="N43" s="8"/>
      <c r="O43" s="8"/>
      <c r="P43" s="8"/>
      <c r="Q43" s="8"/>
      <c r="R43" s="8"/>
      <c r="S43" s="8"/>
      <c r="T43" s="8"/>
      <c r="U43" s="8"/>
      <c r="V43" s="8"/>
      <c r="W43" s="9"/>
    </row>
    <row r="44" spans="1:23" ht="15.75" x14ac:dyDescent="0.25">
      <c r="A44" s="5">
        <v>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9"/>
    </row>
    <row r="45" spans="1:23" ht="15.75" x14ac:dyDescent="0.25">
      <c r="A45" s="5">
        <v>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</row>
    <row r="46" spans="1:23" ht="16.5" thickBot="1" x14ac:dyDescent="0.3">
      <c r="A46" s="7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8" spans="1:23" ht="15.75" thickBot="1" x14ac:dyDescent="0.3"/>
    <row r="49" spans="1:23" ht="15.75" x14ac:dyDescent="0.25">
      <c r="A49" s="100" t="s">
        <v>260</v>
      </c>
      <c r="B49" s="101"/>
      <c r="C49" s="111" t="s">
        <v>476</v>
      </c>
      <c r="D49" s="112"/>
      <c r="E49" s="111" t="s">
        <v>474</v>
      </c>
      <c r="F49" s="112"/>
      <c r="G49" s="101" t="s">
        <v>4</v>
      </c>
      <c r="H49" s="101"/>
      <c r="I49" s="102" t="s">
        <v>139</v>
      </c>
      <c r="J49" s="102"/>
      <c r="K49" s="102"/>
      <c r="L49" s="102"/>
      <c r="M49" s="102"/>
      <c r="N49" s="102"/>
      <c r="O49" s="101" t="s">
        <v>6</v>
      </c>
      <c r="P49" s="101"/>
      <c r="Q49" s="103"/>
      <c r="R49" s="104"/>
      <c r="S49" s="104"/>
      <c r="T49" s="104"/>
      <c r="U49" s="104"/>
      <c r="V49" s="104"/>
      <c r="W49" s="105"/>
    </row>
    <row r="50" spans="1:23" ht="15.75" x14ac:dyDescent="0.25">
      <c r="A50" s="106" t="s">
        <v>7</v>
      </c>
      <c r="B50" s="107"/>
      <c r="C50" s="116" t="s">
        <v>44</v>
      </c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09"/>
      <c r="P50" s="109"/>
      <c r="Q50" s="107"/>
      <c r="R50" s="107"/>
      <c r="S50" s="107"/>
      <c r="T50" s="107"/>
      <c r="U50" s="107"/>
      <c r="V50" s="107"/>
      <c r="W50" s="110"/>
    </row>
    <row r="51" spans="1:23" x14ac:dyDescent="0.25">
      <c r="A51" s="113" t="s">
        <v>8</v>
      </c>
      <c r="B51" s="114" t="s">
        <v>9</v>
      </c>
      <c r="C51" s="114" t="s">
        <v>10</v>
      </c>
      <c r="D51" s="114" t="s">
        <v>11</v>
      </c>
      <c r="E51" s="114" t="s">
        <v>12</v>
      </c>
      <c r="F51" s="114" t="s">
        <v>13</v>
      </c>
      <c r="G51" s="114" t="s">
        <v>14</v>
      </c>
      <c r="H51" s="114"/>
      <c r="I51" s="114"/>
      <c r="J51" s="114"/>
      <c r="K51" s="114"/>
      <c r="L51" s="114"/>
      <c r="M51" s="114" t="s">
        <v>15</v>
      </c>
      <c r="N51" s="114" t="s">
        <v>16</v>
      </c>
      <c r="O51" s="114" t="s">
        <v>17</v>
      </c>
      <c r="P51" s="114" t="s">
        <v>18</v>
      </c>
      <c r="Q51" s="114" t="s">
        <v>19</v>
      </c>
      <c r="R51" s="114"/>
      <c r="S51" s="114"/>
      <c r="T51" s="114"/>
      <c r="U51" s="114"/>
      <c r="V51" s="114"/>
      <c r="W51" s="115" t="s">
        <v>20</v>
      </c>
    </row>
    <row r="52" spans="1:23" x14ac:dyDescent="0.25">
      <c r="A52" s="113"/>
      <c r="B52" s="114"/>
      <c r="C52" s="114"/>
      <c r="D52" s="114"/>
      <c r="E52" s="114"/>
      <c r="F52" s="114"/>
      <c r="G52" s="31" t="s">
        <v>21</v>
      </c>
      <c r="H52" s="31" t="s">
        <v>21</v>
      </c>
      <c r="I52" s="31" t="s">
        <v>21</v>
      </c>
      <c r="J52" s="31" t="s">
        <v>22</v>
      </c>
      <c r="K52" s="31" t="s">
        <v>22</v>
      </c>
      <c r="L52" s="32" t="s">
        <v>22</v>
      </c>
      <c r="M52" s="138"/>
      <c r="N52" s="114"/>
      <c r="O52" s="114"/>
      <c r="P52" s="114"/>
      <c r="Q52" s="31" t="s">
        <v>21</v>
      </c>
      <c r="R52" s="31" t="s">
        <v>21</v>
      </c>
      <c r="S52" s="31" t="s">
        <v>21</v>
      </c>
      <c r="T52" s="31" t="s">
        <v>22</v>
      </c>
      <c r="U52" s="31" t="s">
        <v>22</v>
      </c>
      <c r="V52" s="31" t="s">
        <v>22</v>
      </c>
      <c r="W52" s="115"/>
    </row>
    <row r="53" spans="1:23" ht="15.75" x14ac:dyDescent="0.25">
      <c r="A53" s="5">
        <v>1</v>
      </c>
      <c r="B53" s="21" t="s">
        <v>159</v>
      </c>
      <c r="C53" s="20">
        <v>46039</v>
      </c>
      <c r="D53" s="36" t="s">
        <v>428</v>
      </c>
      <c r="E53" s="21"/>
      <c r="F53" s="21"/>
      <c r="G53" s="21"/>
      <c r="H53" s="21"/>
      <c r="I53" s="21"/>
      <c r="J53" s="21"/>
      <c r="K53" s="24"/>
      <c r="L53" s="29"/>
      <c r="M53" s="57"/>
      <c r="O53" s="21"/>
      <c r="P53" s="21"/>
      <c r="Q53" s="21"/>
      <c r="R53" s="21"/>
      <c r="S53" s="21"/>
      <c r="T53" s="21"/>
      <c r="U53" s="21"/>
      <c r="V53" s="21"/>
      <c r="W53" s="22"/>
    </row>
    <row r="54" spans="1:23" ht="15.75" x14ac:dyDescent="0.25">
      <c r="A54" s="6">
        <v>2</v>
      </c>
      <c r="B54" s="21"/>
      <c r="C54" s="8"/>
      <c r="D54" s="8"/>
      <c r="E54" s="8"/>
      <c r="F54" s="8"/>
      <c r="G54" s="8"/>
      <c r="H54" s="8"/>
      <c r="I54" s="8"/>
      <c r="J54" s="8"/>
      <c r="K54" s="25"/>
      <c r="L54" s="30"/>
      <c r="M54" s="57"/>
      <c r="N54" s="26"/>
      <c r="O54" s="8"/>
      <c r="P54" s="8"/>
      <c r="Q54" s="8"/>
      <c r="R54" s="8"/>
      <c r="S54" s="8"/>
      <c r="T54" s="8"/>
      <c r="U54" s="8"/>
      <c r="V54" s="8"/>
      <c r="W54" s="9"/>
    </row>
    <row r="55" spans="1:23" ht="15.75" x14ac:dyDescent="0.25">
      <c r="A55" s="6">
        <v>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27"/>
      <c r="M55" s="27"/>
      <c r="N55" s="8"/>
      <c r="O55" s="8"/>
      <c r="P55" s="8"/>
      <c r="Q55" s="8"/>
      <c r="R55" s="8"/>
      <c r="S55" s="8"/>
      <c r="T55" s="8"/>
      <c r="U55" s="8"/>
      <c r="V55" s="8"/>
      <c r="W55" s="9"/>
    </row>
    <row r="56" spans="1:23" ht="15.75" x14ac:dyDescent="0.25">
      <c r="A56" s="5">
        <v>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</row>
    <row r="57" spans="1:23" ht="15.75" x14ac:dyDescent="0.25">
      <c r="A57" s="5">
        <v>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</row>
    <row r="58" spans="1:23" ht="16.5" thickBot="1" x14ac:dyDescent="0.3">
      <c r="A58" s="7">
        <v>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60" spans="1:23" ht="15.75" thickBot="1" x14ac:dyDescent="0.3"/>
    <row r="61" spans="1:23" ht="15.75" x14ac:dyDescent="0.25">
      <c r="A61" s="100" t="s">
        <v>260</v>
      </c>
      <c r="B61" s="101"/>
      <c r="C61" s="111" t="s">
        <v>477</v>
      </c>
      <c r="D61" s="112"/>
      <c r="E61" s="111" t="s">
        <v>474</v>
      </c>
      <c r="F61" s="112"/>
      <c r="G61" s="101" t="s">
        <v>4</v>
      </c>
      <c r="H61" s="101"/>
      <c r="I61" s="102" t="s">
        <v>139</v>
      </c>
      <c r="J61" s="102"/>
      <c r="K61" s="102"/>
      <c r="L61" s="102"/>
      <c r="M61" s="102"/>
      <c r="N61" s="102"/>
      <c r="O61" s="101" t="s">
        <v>6</v>
      </c>
      <c r="P61" s="101"/>
      <c r="Q61" s="103"/>
      <c r="R61" s="104"/>
      <c r="S61" s="104"/>
      <c r="T61" s="104"/>
      <c r="U61" s="104"/>
      <c r="V61" s="104"/>
      <c r="W61" s="105"/>
    </row>
    <row r="62" spans="1:23" ht="15.75" x14ac:dyDescent="0.25">
      <c r="A62" s="106" t="s">
        <v>7</v>
      </c>
      <c r="B62" s="107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7"/>
      <c r="R62" s="107"/>
      <c r="S62" s="107"/>
      <c r="T62" s="107"/>
      <c r="U62" s="107"/>
      <c r="V62" s="107"/>
      <c r="W62" s="110"/>
    </row>
    <row r="63" spans="1:23" x14ac:dyDescent="0.25">
      <c r="A63" s="113" t="s">
        <v>8</v>
      </c>
      <c r="B63" s="114" t="s">
        <v>9</v>
      </c>
      <c r="C63" s="114" t="s">
        <v>10</v>
      </c>
      <c r="D63" s="114" t="s">
        <v>11</v>
      </c>
      <c r="E63" s="114" t="s">
        <v>12</v>
      </c>
      <c r="F63" s="114" t="s">
        <v>13</v>
      </c>
      <c r="G63" s="114" t="s">
        <v>14</v>
      </c>
      <c r="H63" s="114"/>
      <c r="I63" s="114"/>
      <c r="J63" s="114"/>
      <c r="K63" s="114"/>
      <c r="L63" s="114"/>
      <c r="M63" s="114" t="s">
        <v>15</v>
      </c>
      <c r="N63" s="114" t="s">
        <v>16</v>
      </c>
      <c r="O63" s="114" t="s">
        <v>17</v>
      </c>
      <c r="P63" s="114" t="s">
        <v>18</v>
      </c>
      <c r="Q63" s="114" t="s">
        <v>19</v>
      </c>
      <c r="R63" s="114"/>
      <c r="S63" s="114"/>
      <c r="T63" s="114"/>
      <c r="U63" s="114"/>
      <c r="V63" s="114"/>
      <c r="W63" s="115" t="s">
        <v>20</v>
      </c>
    </row>
    <row r="64" spans="1:23" x14ac:dyDescent="0.25">
      <c r="A64" s="113"/>
      <c r="B64" s="114"/>
      <c r="C64" s="114"/>
      <c r="D64" s="114"/>
      <c r="E64" s="114"/>
      <c r="F64" s="114"/>
      <c r="G64" s="31" t="s">
        <v>21</v>
      </c>
      <c r="H64" s="31" t="s">
        <v>21</v>
      </c>
      <c r="I64" s="31" t="s">
        <v>21</v>
      </c>
      <c r="J64" s="31" t="s">
        <v>22</v>
      </c>
      <c r="K64" s="31" t="s">
        <v>22</v>
      </c>
      <c r="L64" s="32" t="s">
        <v>22</v>
      </c>
      <c r="M64" s="138"/>
      <c r="N64" s="114"/>
      <c r="O64" s="114"/>
      <c r="P64" s="114"/>
      <c r="Q64" s="31" t="s">
        <v>21</v>
      </c>
      <c r="R64" s="31" t="s">
        <v>21</v>
      </c>
      <c r="S64" s="31" t="s">
        <v>21</v>
      </c>
      <c r="T64" s="31" t="s">
        <v>22</v>
      </c>
      <c r="U64" s="31" t="s">
        <v>22</v>
      </c>
      <c r="V64" s="31" t="s">
        <v>22</v>
      </c>
      <c r="W64" s="115"/>
    </row>
    <row r="65" spans="1:23" ht="15.75" x14ac:dyDescent="0.25">
      <c r="A65" s="5">
        <v>1</v>
      </c>
      <c r="B65" s="21" t="s">
        <v>159</v>
      </c>
      <c r="C65" s="20">
        <v>46039</v>
      </c>
      <c r="D65" s="36" t="s">
        <v>428</v>
      </c>
      <c r="E65" s="21"/>
      <c r="F65" s="21"/>
      <c r="G65" s="21"/>
      <c r="H65" s="21"/>
      <c r="I65" s="21"/>
      <c r="J65" s="21"/>
      <c r="K65" s="24"/>
      <c r="L65" s="29"/>
      <c r="M65" s="57"/>
      <c r="O65" s="21"/>
      <c r="P65" s="21"/>
      <c r="Q65" s="21"/>
      <c r="R65" s="21"/>
      <c r="S65" s="21"/>
      <c r="T65" s="21"/>
      <c r="U65" s="21"/>
      <c r="V65" s="21"/>
      <c r="W65" s="22"/>
    </row>
    <row r="66" spans="1:23" ht="15.75" x14ac:dyDescent="0.25">
      <c r="A66" s="6">
        <v>2</v>
      </c>
      <c r="B66" s="21"/>
      <c r="C66" s="8"/>
      <c r="D66" s="8"/>
      <c r="E66" s="8"/>
      <c r="F66" s="8"/>
      <c r="G66" s="8"/>
      <c r="H66" s="8"/>
      <c r="I66" s="8"/>
      <c r="J66" s="8"/>
      <c r="K66" s="25"/>
      <c r="L66" s="30"/>
      <c r="M66" s="57"/>
      <c r="N66" s="26"/>
      <c r="O66" s="8"/>
      <c r="P66" s="8"/>
      <c r="Q66" s="8"/>
      <c r="R66" s="8"/>
      <c r="S66" s="8"/>
      <c r="T66" s="8"/>
      <c r="U66" s="8"/>
      <c r="V66" s="8"/>
      <c r="W66" s="9"/>
    </row>
    <row r="67" spans="1:23" ht="15.75" x14ac:dyDescent="0.25">
      <c r="A67" s="6">
        <v>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27"/>
      <c r="M67" s="27"/>
      <c r="N67" s="8"/>
      <c r="O67" s="8"/>
      <c r="P67" s="8"/>
      <c r="Q67" s="8"/>
      <c r="R67" s="8"/>
      <c r="S67" s="8"/>
      <c r="T67" s="8"/>
      <c r="U67" s="8"/>
      <c r="V67" s="8"/>
      <c r="W67" s="9"/>
    </row>
    <row r="68" spans="1:23" ht="15.75" x14ac:dyDescent="0.25">
      <c r="A68" s="5">
        <v>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</row>
    <row r="69" spans="1:23" ht="15.75" x14ac:dyDescent="0.25">
      <c r="A69" s="5">
        <v>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</row>
    <row r="70" spans="1:23" ht="16.5" thickBot="1" x14ac:dyDescent="0.3">
      <c r="A70" s="7">
        <v>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2" spans="1:23" ht="15.75" thickBot="1" x14ac:dyDescent="0.3"/>
    <row r="73" spans="1:23" ht="15.75" x14ac:dyDescent="0.25">
      <c r="A73" s="100" t="s">
        <v>260</v>
      </c>
      <c r="B73" s="101"/>
      <c r="C73" s="111" t="s">
        <v>478</v>
      </c>
      <c r="D73" s="112"/>
      <c r="E73" s="111" t="s">
        <v>474</v>
      </c>
      <c r="F73" s="112"/>
      <c r="G73" s="101" t="s">
        <v>4</v>
      </c>
      <c r="H73" s="101"/>
      <c r="I73" s="102" t="s">
        <v>139</v>
      </c>
      <c r="J73" s="102"/>
      <c r="K73" s="102"/>
      <c r="L73" s="102"/>
      <c r="M73" s="102"/>
      <c r="N73" s="102"/>
      <c r="O73" s="101" t="s">
        <v>6</v>
      </c>
      <c r="P73" s="101"/>
      <c r="Q73" s="103"/>
      <c r="R73" s="104"/>
      <c r="S73" s="104"/>
      <c r="T73" s="104"/>
      <c r="U73" s="104"/>
      <c r="V73" s="104"/>
      <c r="W73" s="105"/>
    </row>
    <row r="74" spans="1:23" ht="15.75" x14ac:dyDescent="0.25">
      <c r="A74" s="106" t="s">
        <v>7</v>
      </c>
      <c r="B74" s="107"/>
      <c r="C74" s="116" t="s">
        <v>44</v>
      </c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09"/>
      <c r="P74" s="109"/>
      <c r="Q74" s="107"/>
      <c r="R74" s="107"/>
      <c r="S74" s="107"/>
      <c r="T74" s="107"/>
      <c r="U74" s="107"/>
      <c r="V74" s="107"/>
      <c r="W74" s="110"/>
    </row>
    <row r="75" spans="1:23" x14ac:dyDescent="0.25">
      <c r="A75" s="113" t="s">
        <v>8</v>
      </c>
      <c r="B75" s="114" t="s">
        <v>9</v>
      </c>
      <c r="C75" s="114" t="s">
        <v>10</v>
      </c>
      <c r="D75" s="114" t="s">
        <v>11</v>
      </c>
      <c r="E75" s="114" t="s">
        <v>12</v>
      </c>
      <c r="F75" s="114" t="s">
        <v>13</v>
      </c>
      <c r="G75" s="114" t="s">
        <v>14</v>
      </c>
      <c r="H75" s="114"/>
      <c r="I75" s="114"/>
      <c r="J75" s="114"/>
      <c r="K75" s="114"/>
      <c r="L75" s="114"/>
      <c r="M75" s="114" t="s">
        <v>15</v>
      </c>
      <c r="N75" s="114" t="s">
        <v>16</v>
      </c>
      <c r="O75" s="114" t="s">
        <v>17</v>
      </c>
      <c r="P75" s="114" t="s">
        <v>18</v>
      </c>
      <c r="Q75" s="114" t="s">
        <v>19</v>
      </c>
      <c r="R75" s="114"/>
      <c r="S75" s="114"/>
      <c r="T75" s="114"/>
      <c r="U75" s="114"/>
      <c r="V75" s="114"/>
      <c r="W75" s="115" t="s">
        <v>20</v>
      </c>
    </row>
    <row r="76" spans="1:23" x14ac:dyDescent="0.25">
      <c r="A76" s="113"/>
      <c r="B76" s="114"/>
      <c r="C76" s="114"/>
      <c r="D76" s="114"/>
      <c r="E76" s="114"/>
      <c r="F76" s="114"/>
      <c r="G76" s="31" t="s">
        <v>21</v>
      </c>
      <c r="H76" s="31" t="s">
        <v>21</v>
      </c>
      <c r="I76" s="31" t="s">
        <v>21</v>
      </c>
      <c r="J76" s="31" t="s">
        <v>22</v>
      </c>
      <c r="K76" s="31" t="s">
        <v>22</v>
      </c>
      <c r="L76" s="32" t="s">
        <v>22</v>
      </c>
      <c r="M76" s="138"/>
      <c r="N76" s="114"/>
      <c r="O76" s="114"/>
      <c r="P76" s="114"/>
      <c r="Q76" s="31" t="s">
        <v>21</v>
      </c>
      <c r="R76" s="31" t="s">
        <v>21</v>
      </c>
      <c r="S76" s="31" t="s">
        <v>21</v>
      </c>
      <c r="T76" s="31" t="s">
        <v>22</v>
      </c>
      <c r="U76" s="31" t="s">
        <v>22</v>
      </c>
      <c r="V76" s="31" t="s">
        <v>22</v>
      </c>
      <c r="W76" s="115"/>
    </row>
    <row r="77" spans="1:23" ht="15.75" x14ac:dyDescent="0.25">
      <c r="A77" s="5">
        <v>1</v>
      </c>
      <c r="B77" s="21" t="s">
        <v>159</v>
      </c>
      <c r="C77" s="20">
        <v>46039</v>
      </c>
      <c r="D77" s="36" t="s">
        <v>428</v>
      </c>
      <c r="E77" s="21"/>
      <c r="F77" s="21"/>
      <c r="G77" s="21"/>
      <c r="H77" s="21"/>
      <c r="I77" s="21"/>
      <c r="J77" s="21"/>
      <c r="K77" s="24"/>
      <c r="L77" s="29"/>
      <c r="M77" s="57"/>
      <c r="O77" s="21"/>
      <c r="P77" s="21"/>
      <c r="Q77" s="21"/>
      <c r="R77" s="21"/>
      <c r="S77" s="21"/>
      <c r="T77" s="21"/>
      <c r="U77" s="21"/>
      <c r="V77" s="21"/>
      <c r="W77" s="22"/>
    </row>
    <row r="78" spans="1:23" ht="15.75" x14ac:dyDescent="0.25">
      <c r="A78" s="6">
        <v>2</v>
      </c>
      <c r="B78" s="21"/>
      <c r="C78" s="8"/>
      <c r="D78" s="8"/>
      <c r="E78" s="8"/>
      <c r="F78" s="8"/>
      <c r="G78" s="8"/>
      <c r="H78" s="8"/>
      <c r="I78" s="8"/>
      <c r="J78" s="8"/>
      <c r="K78" s="25"/>
      <c r="L78" s="30"/>
      <c r="M78" s="57"/>
      <c r="N78" s="26"/>
      <c r="O78" s="8"/>
      <c r="P78" s="8"/>
      <c r="Q78" s="8"/>
      <c r="R78" s="8"/>
      <c r="S78" s="8"/>
      <c r="T78" s="8"/>
      <c r="U78" s="8"/>
      <c r="V78" s="8"/>
      <c r="W78" s="9"/>
    </row>
    <row r="79" spans="1:23" ht="15.75" x14ac:dyDescent="0.25">
      <c r="A79" s="6">
        <v>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27"/>
      <c r="M79" s="27"/>
      <c r="N79" s="8"/>
      <c r="O79" s="8"/>
      <c r="P79" s="8"/>
      <c r="Q79" s="8"/>
      <c r="R79" s="8"/>
      <c r="S79" s="8"/>
      <c r="T79" s="8"/>
      <c r="U79" s="8"/>
      <c r="V79" s="8"/>
      <c r="W79" s="9"/>
    </row>
    <row r="80" spans="1:23" ht="15.75" x14ac:dyDescent="0.25">
      <c r="A80" s="5">
        <v>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</row>
    <row r="81" spans="1:23" ht="15.75" x14ac:dyDescent="0.25">
      <c r="A81" s="5">
        <v>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3" ht="16.5" thickBot="1" x14ac:dyDescent="0.3">
      <c r="A82" s="7">
        <v>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4" spans="1:23" ht="15.75" thickBot="1" x14ac:dyDescent="0.3"/>
    <row r="85" spans="1:23" ht="15.75" x14ac:dyDescent="0.25">
      <c r="A85" s="100" t="s">
        <v>260</v>
      </c>
      <c r="B85" s="101"/>
      <c r="C85" s="111" t="s">
        <v>479</v>
      </c>
      <c r="D85" s="112"/>
      <c r="E85" s="111" t="s">
        <v>474</v>
      </c>
      <c r="F85" s="112"/>
      <c r="G85" s="101" t="s">
        <v>4</v>
      </c>
      <c r="H85" s="101"/>
      <c r="I85" s="102" t="s">
        <v>139</v>
      </c>
      <c r="J85" s="102"/>
      <c r="K85" s="102"/>
      <c r="L85" s="102"/>
      <c r="M85" s="102"/>
      <c r="N85" s="102"/>
      <c r="O85" s="101" t="s">
        <v>6</v>
      </c>
      <c r="P85" s="101"/>
      <c r="Q85" s="103"/>
      <c r="R85" s="104"/>
      <c r="S85" s="104"/>
      <c r="T85" s="104"/>
      <c r="U85" s="104"/>
      <c r="V85" s="104"/>
      <c r="W85" s="105"/>
    </row>
    <row r="86" spans="1:23" ht="15.75" x14ac:dyDescent="0.25">
      <c r="A86" s="106" t="s">
        <v>7</v>
      </c>
      <c r="B86" s="107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7"/>
      <c r="R86" s="107"/>
      <c r="S86" s="107"/>
      <c r="T86" s="107"/>
      <c r="U86" s="107"/>
      <c r="V86" s="107"/>
      <c r="W86" s="110"/>
    </row>
    <row r="87" spans="1:23" x14ac:dyDescent="0.25">
      <c r="A87" s="113" t="s">
        <v>8</v>
      </c>
      <c r="B87" s="114" t="s">
        <v>9</v>
      </c>
      <c r="C87" s="114" t="s">
        <v>10</v>
      </c>
      <c r="D87" s="114" t="s">
        <v>11</v>
      </c>
      <c r="E87" s="114" t="s">
        <v>12</v>
      </c>
      <c r="F87" s="114" t="s">
        <v>13</v>
      </c>
      <c r="G87" s="114" t="s">
        <v>14</v>
      </c>
      <c r="H87" s="114"/>
      <c r="I87" s="114"/>
      <c r="J87" s="114"/>
      <c r="K87" s="114"/>
      <c r="L87" s="114"/>
      <c r="M87" s="114" t="s">
        <v>15</v>
      </c>
      <c r="N87" s="114" t="s">
        <v>16</v>
      </c>
      <c r="O87" s="114" t="s">
        <v>17</v>
      </c>
      <c r="P87" s="114" t="s">
        <v>18</v>
      </c>
      <c r="Q87" s="114" t="s">
        <v>19</v>
      </c>
      <c r="R87" s="114"/>
      <c r="S87" s="114"/>
      <c r="T87" s="114"/>
      <c r="U87" s="114"/>
      <c r="V87" s="114"/>
      <c r="W87" s="115" t="s">
        <v>20</v>
      </c>
    </row>
    <row r="88" spans="1:23" x14ac:dyDescent="0.25">
      <c r="A88" s="113"/>
      <c r="B88" s="114"/>
      <c r="C88" s="114"/>
      <c r="D88" s="114"/>
      <c r="E88" s="114"/>
      <c r="F88" s="114"/>
      <c r="G88" s="31" t="s">
        <v>21</v>
      </c>
      <c r="H88" s="31" t="s">
        <v>21</v>
      </c>
      <c r="I88" s="31" t="s">
        <v>21</v>
      </c>
      <c r="J88" s="31" t="s">
        <v>22</v>
      </c>
      <c r="K88" s="31" t="s">
        <v>22</v>
      </c>
      <c r="L88" s="32" t="s">
        <v>22</v>
      </c>
      <c r="M88" s="138"/>
      <c r="N88" s="114"/>
      <c r="O88" s="114"/>
      <c r="P88" s="114"/>
      <c r="Q88" s="31" t="s">
        <v>21</v>
      </c>
      <c r="R88" s="31" t="s">
        <v>21</v>
      </c>
      <c r="S88" s="31" t="s">
        <v>21</v>
      </c>
      <c r="T88" s="31" t="s">
        <v>22</v>
      </c>
      <c r="U88" s="31" t="s">
        <v>22</v>
      </c>
      <c r="V88" s="31" t="s">
        <v>22</v>
      </c>
      <c r="W88" s="115"/>
    </row>
    <row r="89" spans="1:23" ht="15.75" x14ac:dyDescent="0.25">
      <c r="A89" s="5">
        <v>1</v>
      </c>
      <c r="B89" s="21" t="s">
        <v>159</v>
      </c>
      <c r="C89" s="20">
        <v>46039</v>
      </c>
      <c r="D89" s="36">
        <v>46133</v>
      </c>
      <c r="E89" s="20">
        <v>46133</v>
      </c>
      <c r="F89" s="21">
        <v>0</v>
      </c>
      <c r="G89" s="21">
        <v>108</v>
      </c>
      <c r="H89" s="21">
        <v>107</v>
      </c>
      <c r="I89" s="21"/>
      <c r="J89" s="21">
        <v>121</v>
      </c>
      <c r="K89" s="24"/>
      <c r="L89" s="29"/>
      <c r="M89" s="57">
        <f>AVERAGE(G89:L89)</f>
        <v>112</v>
      </c>
      <c r="N89" s="70">
        <v>46176</v>
      </c>
      <c r="O89" s="21">
        <v>3</v>
      </c>
      <c r="P89" s="21">
        <v>0</v>
      </c>
      <c r="Q89" s="21">
        <v>250</v>
      </c>
      <c r="R89" s="21">
        <v>280</v>
      </c>
      <c r="S89" s="21"/>
      <c r="T89" s="21">
        <v>268</v>
      </c>
      <c r="U89" s="21"/>
      <c r="V89" s="21"/>
      <c r="W89" s="22">
        <f>AVERAGE(Q89:V89)</f>
        <v>266</v>
      </c>
    </row>
    <row r="90" spans="1:23" ht="15.75" x14ac:dyDescent="0.25">
      <c r="A90" s="6">
        <v>2</v>
      </c>
      <c r="B90" s="21"/>
      <c r="C90" s="8"/>
      <c r="D90" s="8"/>
      <c r="E90" s="8"/>
      <c r="F90" s="8"/>
      <c r="G90" s="8"/>
      <c r="H90" s="8"/>
      <c r="I90" s="8"/>
      <c r="J90" s="8"/>
      <c r="K90" s="25"/>
      <c r="L90" s="30"/>
      <c r="M90" s="57"/>
      <c r="N90" s="26"/>
      <c r="O90" s="8"/>
      <c r="P90" s="8"/>
      <c r="Q90" s="8"/>
      <c r="R90" s="8"/>
      <c r="S90" s="8"/>
      <c r="T90" s="8"/>
      <c r="U90" s="8"/>
      <c r="V90" s="8"/>
      <c r="W90" s="9"/>
    </row>
    <row r="91" spans="1:23" ht="15.75" x14ac:dyDescent="0.25">
      <c r="A91" s="6">
        <v>3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27"/>
      <c r="M91" s="27"/>
      <c r="N91" s="8"/>
      <c r="O91" s="8"/>
      <c r="P91" s="8"/>
      <c r="Q91" s="8"/>
      <c r="R91" s="8"/>
      <c r="S91" s="8"/>
      <c r="T91" s="8"/>
      <c r="U91" s="8"/>
      <c r="V91" s="8"/>
      <c r="W91" s="9"/>
    </row>
    <row r="92" spans="1:23" ht="15.75" x14ac:dyDescent="0.25">
      <c r="A92" s="5">
        <v>4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</row>
    <row r="93" spans="1:23" ht="15.75" x14ac:dyDescent="0.25">
      <c r="A93" s="5">
        <v>5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6.5" thickBot="1" x14ac:dyDescent="0.3">
      <c r="A94" s="7">
        <v>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6" spans="1:23" ht="15.75" thickBot="1" x14ac:dyDescent="0.3"/>
    <row r="97" spans="1:23" ht="15.75" x14ac:dyDescent="0.25">
      <c r="A97" s="100" t="s">
        <v>260</v>
      </c>
      <c r="B97" s="101"/>
      <c r="C97" s="202" t="s">
        <v>480</v>
      </c>
      <c r="D97" s="203"/>
      <c r="E97" s="111" t="s">
        <v>474</v>
      </c>
      <c r="F97" s="112"/>
      <c r="G97" s="101" t="s">
        <v>4</v>
      </c>
      <c r="H97" s="101"/>
      <c r="I97" s="102" t="s">
        <v>139</v>
      </c>
      <c r="J97" s="102"/>
      <c r="K97" s="102"/>
      <c r="L97" s="102"/>
      <c r="M97" s="102"/>
      <c r="N97" s="102"/>
      <c r="O97" s="101" t="s">
        <v>6</v>
      </c>
      <c r="P97" s="101"/>
      <c r="Q97" s="103"/>
      <c r="R97" s="104"/>
      <c r="S97" s="104"/>
      <c r="T97" s="104"/>
      <c r="U97" s="104"/>
      <c r="V97" s="104"/>
      <c r="W97" s="105"/>
    </row>
    <row r="98" spans="1:23" ht="15.75" x14ac:dyDescent="0.25">
      <c r="A98" s="106" t="s">
        <v>7</v>
      </c>
      <c r="B98" s="107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7"/>
      <c r="R98" s="107"/>
      <c r="S98" s="107"/>
      <c r="T98" s="107"/>
      <c r="U98" s="107"/>
      <c r="V98" s="107"/>
      <c r="W98" s="110"/>
    </row>
    <row r="99" spans="1:23" x14ac:dyDescent="0.25">
      <c r="A99" s="113" t="s">
        <v>8</v>
      </c>
      <c r="B99" s="114" t="s">
        <v>9</v>
      </c>
      <c r="C99" s="114" t="s">
        <v>10</v>
      </c>
      <c r="D99" s="114" t="s">
        <v>11</v>
      </c>
      <c r="E99" s="114" t="s">
        <v>12</v>
      </c>
      <c r="F99" s="114" t="s">
        <v>13</v>
      </c>
      <c r="G99" s="114" t="s">
        <v>14</v>
      </c>
      <c r="H99" s="114"/>
      <c r="I99" s="114"/>
      <c r="J99" s="114"/>
      <c r="K99" s="114"/>
      <c r="L99" s="114"/>
      <c r="M99" s="114" t="s">
        <v>15</v>
      </c>
      <c r="N99" s="114" t="s">
        <v>16</v>
      </c>
      <c r="O99" s="114" t="s">
        <v>17</v>
      </c>
      <c r="P99" s="114" t="s">
        <v>18</v>
      </c>
      <c r="Q99" s="114" t="s">
        <v>19</v>
      </c>
      <c r="R99" s="114"/>
      <c r="S99" s="114"/>
      <c r="T99" s="114"/>
      <c r="U99" s="114"/>
      <c r="V99" s="114"/>
      <c r="W99" s="115" t="s">
        <v>20</v>
      </c>
    </row>
    <row r="100" spans="1:23" x14ac:dyDescent="0.25">
      <c r="A100" s="113"/>
      <c r="B100" s="114"/>
      <c r="C100" s="114"/>
      <c r="D100" s="114"/>
      <c r="E100" s="114"/>
      <c r="F100" s="114"/>
      <c r="G100" s="31" t="s">
        <v>21</v>
      </c>
      <c r="H100" s="31" t="s">
        <v>21</v>
      </c>
      <c r="I100" s="31" t="s">
        <v>21</v>
      </c>
      <c r="J100" s="31" t="s">
        <v>22</v>
      </c>
      <c r="K100" s="31" t="s">
        <v>22</v>
      </c>
      <c r="L100" s="32" t="s">
        <v>22</v>
      </c>
      <c r="M100" s="138"/>
      <c r="N100" s="114"/>
      <c r="O100" s="114"/>
      <c r="P100" s="114"/>
      <c r="Q100" s="31" t="s">
        <v>21</v>
      </c>
      <c r="R100" s="31" t="s">
        <v>21</v>
      </c>
      <c r="S100" s="31" t="s">
        <v>21</v>
      </c>
      <c r="T100" s="31" t="s">
        <v>22</v>
      </c>
      <c r="U100" s="31" t="s">
        <v>22</v>
      </c>
      <c r="V100" s="31" t="s">
        <v>22</v>
      </c>
      <c r="W100" s="115"/>
    </row>
    <row r="101" spans="1:23" ht="15.75" x14ac:dyDescent="0.25">
      <c r="A101" s="5">
        <v>1</v>
      </c>
      <c r="B101" s="21" t="s">
        <v>159</v>
      </c>
      <c r="C101" s="20">
        <v>46039</v>
      </c>
      <c r="D101" s="36">
        <v>46134</v>
      </c>
      <c r="E101" s="20">
        <v>3</v>
      </c>
      <c r="F101" s="21">
        <v>0</v>
      </c>
      <c r="G101" s="21">
        <v>119</v>
      </c>
      <c r="H101" s="21">
        <v>84</v>
      </c>
      <c r="I101" s="21"/>
      <c r="J101" s="21">
        <v>96</v>
      </c>
      <c r="K101" s="24"/>
      <c r="L101" s="29"/>
      <c r="M101" s="91">
        <f>AVERAGE(G101:L101)</f>
        <v>99.666666666666671</v>
      </c>
      <c r="N101" s="70">
        <v>46176</v>
      </c>
      <c r="O101" s="21">
        <v>3</v>
      </c>
      <c r="P101" s="21">
        <v>0</v>
      </c>
      <c r="Q101" s="21">
        <v>228</v>
      </c>
      <c r="R101" s="21">
        <v>230</v>
      </c>
      <c r="S101" s="21"/>
      <c r="T101" s="21">
        <v>220</v>
      </c>
      <c r="U101" s="21"/>
      <c r="V101" s="21"/>
      <c r="W101" s="22">
        <f>AVERAGE(Q101:V101)</f>
        <v>226</v>
      </c>
    </row>
    <row r="102" spans="1:23" ht="15.75" x14ac:dyDescent="0.25">
      <c r="A102" s="6">
        <v>2</v>
      </c>
      <c r="B102" s="21"/>
      <c r="C102" s="8"/>
      <c r="D102" s="8"/>
      <c r="E102" s="8"/>
      <c r="F102" s="8"/>
      <c r="G102" s="8"/>
      <c r="H102" s="8"/>
      <c r="I102" s="8"/>
      <c r="J102" s="8"/>
      <c r="K102" s="25"/>
      <c r="L102" s="30"/>
      <c r="M102" s="57"/>
      <c r="N102" s="26"/>
      <c r="O102" s="8"/>
      <c r="P102" s="8"/>
      <c r="Q102" s="8"/>
      <c r="R102" s="8"/>
      <c r="S102" s="8"/>
      <c r="T102" s="8"/>
      <c r="U102" s="8"/>
      <c r="V102" s="8"/>
      <c r="W102" s="9"/>
    </row>
    <row r="103" spans="1:23" ht="15.75" x14ac:dyDescent="0.25">
      <c r="A103" s="6">
        <v>3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27"/>
      <c r="M103" s="27"/>
      <c r="N103" s="8"/>
      <c r="O103" s="8"/>
      <c r="P103" s="8"/>
      <c r="Q103" s="8"/>
      <c r="R103" s="8"/>
      <c r="S103" s="8"/>
      <c r="T103" s="8"/>
      <c r="U103" s="8"/>
      <c r="V103" s="8"/>
      <c r="W103" s="9"/>
    </row>
    <row r="104" spans="1:23" ht="15.75" x14ac:dyDescent="0.25">
      <c r="A104" s="5">
        <v>4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</row>
    <row r="105" spans="1:23" ht="15.75" x14ac:dyDescent="0.25">
      <c r="A105" s="5">
        <v>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6.5" thickBot="1" x14ac:dyDescent="0.3">
      <c r="A106" s="7">
        <v>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8" spans="1:23" ht="15.75" thickBot="1" x14ac:dyDescent="0.3"/>
    <row r="109" spans="1:23" ht="15.75" x14ac:dyDescent="0.25">
      <c r="A109" s="100" t="s">
        <v>260</v>
      </c>
      <c r="B109" s="101"/>
      <c r="C109" s="111" t="s">
        <v>482</v>
      </c>
      <c r="D109" s="112"/>
      <c r="E109" s="111" t="s">
        <v>458</v>
      </c>
      <c r="F109" s="112"/>
      <c r="G109" s="101" t="s">
        <v>4</v>
      </c>
      <c r="H109" s="101"/>
      <c r="I109" s="102" t="s">
        <v>366</v>
      </c>
      <c r="J109" s="102"/>
      <c r="K109" s="102"/>
      <c r="L109" s="102"/>
      <c r="M109" s="102"/>
      <c r="N109" s="102"/>
      <c r="O109" s="101" t="s">
        <v>6</v>
      </c>
      <c r="P109" s="101"/>
      <c r="Q109" s="103"/>
      <c r="R109" s="104"/>
      <c r="S109" s="104"/>
      <c r="T109" s="104"/>
      <c r="U109" s="104"/>
      <c r="V109" s="104"/>
      <c r="W109" s="105"/>
    </row>
    <row r="110" spans="1:23" ht="15.75" x14ac:dyDescent="0.25">
      <c r="A110" s="106" t="s">
        <v>7</v>
      </c>
      <c r="B110" s="107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7"/>
      <c r="R110" s="107"/>
      <c r="S110" s="107"/>
      <c r="T110" s="107"/>
      <c r="U110" s="107"/>
      <c r="V110" s="107"/>
      <c r="W110" s="110"/>
    </row>
    <row r="111" spans="1:23" x14ac:dyDescent="0.25">
      <c r="A111" s="113" t="s">
        <v>8</v>
      </c>
      <c r="B111" s="114" t="s">
        <v>9</v>
      </c>
      <c r="C111" s="114" t="s">
        <v>10</v>
      </c>
      <c r="D111" s="114" t="s">
        <v>11</v>
      </c>
      <c r="E111" s="114" t="s">
        <v>12</v>
      </c>
      <c r="F111" s="114" t="s">
        <v>13</v>
      </c>
      <c r="G111" s="114" t="s">
        <v>14</v>
      </c>
      <c r="H111" s="114"/>
      <c r="I111" s="114"/>
      <c r="J111" s="114"/>
      <c r="K111" s="114"/>
      <c r="L111" s="114"/>
      <c r="M111" s="114" t="s">
        <v>15</v>
      </c>
      <c r="N111" s="114" t="s">
        <v>16</v>
      </c>
      <c r="O111" s="114" t="s">
        <v>17</v>
      </c>
      <c r="P111" s="114" t="s">
        <v>18</v>
      </c>
      <c r="Q111" s="114" t="s">
        <v>19</v>
      </c>
      <c r="R111" s="114"/>
      <c r="S111" s="114"/>
      <c r="T111" s="114"/>
      <c r="U111" s="114"/>
      <c r="V111" s="114"/>
      <c r="W111" s="115" t="s">
        <v>20</v>
      </c>
    </row>
    <row r="112" spans="1:23" x14ac:dyDescent="0.25">
      <c r="A112" s="113"/>
      <c r="B112" s="114"/>
      <c r="C112" s="114"/>
      <c r="D112" s="114"/>
      <c r="E112" s="114"/>
      <c r="F112" s="114"/>
      <c r="G112" s="31" t="s">
        <v>21</v>
      </c>
      <c r="H112" s="31" t="s">
        <v>21</v>
      </c>
      <c r="I112" s="31" t="s">
        <v>21</v>
      </c>
      <c r="J112" s="31" t="s">
        <v>22</v>
      </c>
      <c r="K112" s="31" t="s">
        <v>22</v>
      </c>
      <c r="L112" s="32" t="s">
        <v>22</v>
      </c>
      <c r="M112" s="138"/>
      <c r="N112" s="114"/>
      <c r="O112" s="114"/>
      <c r="P112" s="114"/>
      <c r="Q112" s="31" t="s">
        <v>21</v>
      </c>
      <c r="R112" s="31" t="s">
        <v>21</v>
      </c>
      <c r="S112" s="31" t="s">
        <v>21</v>
      </c>
      <c r="T112" s="31" t="s">
        <v>22</v>
      </c>
      <c r="U112" s="31" t="s">
        <v>22</v>
      </c>
      <c r="V112" s="31" t="s">
        <v>22</v>
      </c>
      <c r="W112" s="115"/>
    </row>
    <row r="113" spans="1:23" ht="15.75" x14ac:dyDescent="0.25">
      <c r="A113" s="5">
        <v>1</v>
      </c>
      <c r="B113" s="21" t="s">
        <v>29</v>
      </c>
      <c r="C113" s="20">
        <v>46039</v>
      </c>
      <c r="D113" s="36" t="s">
        <v>428</v>
      </c>
      <c r="E113" s="21"/>
      <c r="F113" s="21"/>
      <c r="G113" s="21"/>
      <c r="H113" s="21"/>
      <c r="I113" s="21"/>
      <c r="J113" s="21"/>
      <c r="K113" s="24"/>
      <c r="L113" s="29"/>
      <c r="M113" s="57"/>
      <c r="O113" s="21"/>
      <c r="P113" s="21"/>
      <c r="Q113" s="21"/>
      <c r="R113" s="21"/>
      <c r="S113" s="21"/>
      <c r="T113" s="21"/>
      <c r="U113" s="21"/>
      <c r="V113" s="21"/>
      <c r="W113" s="22"/>
    </row>
    <row r="114" spans="1:23" ht="15.75" x14ac:dyDescent="0.25">
      <c r="A114" s="6">
        <v>2</v>
      </c>
      <c r="B114" s="21" t="s">
        <v>29</v>
      </c>
      <c r="C114" s="13">
        <v>46148</v>
      </c>
      <c r="D114" s="8"/>
      <c r="E114" s="8"/>
      <c r="F114" s="8"/>
      <c r="G114" s="8"/>
      <c r="H114" s="8"/>
      <c r="I114" s="8"/>
      <c r="J114" s="8"/>
      <c r="K114" s="25"/>
      <c r="L114" s="30"/>
      <c r="M114" s="57"/>
      <c r="N114" s="26"/>
      <c r="O114" s="8"/>
      <c r="P114" s="8"/>
      <c r="Q114" s="8"/>
      <c r="R114" s="8"/>
      <c r="S114" s="8"/>
      <c r="T114" s="8"/>
      <c r="U114" s="8"/>
      <c r="V114" s="8"/>
      <c r="W114" s="9"/>
    </row>
    <row r="115" spans="1:23" ht="15.75" x14ac:dyDescent="0.25">
      <c r="A115" s="6">
        <v>3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27"/>
      <c r="M115" s="27"/>
      <c r="N115" s="8"/>
      <c r="O115" s="8"/>
      <c r="P115" s="8"/>
      <c r="Q115" s="8"/>
      <c r="R115" s="8"/>
      <c r="S115" s="8"/>
      <c r="T115" s="8"/>
      <c r="U115" s="8"/>
      <c r="V115" s="8"/>
      <c r="W115" s="9"/>
    </row>
    <row r="116" spans="1:23" ht="15.75" x14ac:dyDescent="0.25">
      <c r="A116" s="5">
        <v>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5">
        <v>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6.5" thickBot="1" x14ac:dyDescent="0.3">
      <c r="A118" s="7">
        <v>6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20" spans="1:23" ht="15.75" thickBot="1" x14ac:dyDescent="0.3"/>
    <row r="121" spans="1:23" ht="15.75" x14ac:dyDescent="0.25">
      <c r="A121" s="100" t="s">
        <v>260</v>
      </c>
      <c r="B121" s="101"/>
      <c r="C121" s="111" t="s">
        <v>585</v>
      </c>
      <c r="D121" s="112"/>
      <c r="E121" s="111" t="s">
        <v>499</v>
      </c>
      <c r="F121" s="112"/>
      <c r="G121" s="101" t="s">
        <v>4</v>
      </c>
      <c r="H121" s="101"/>
      <c r="I121" s="102" t="s">
        <v>366</v>
      </c>
      <c r="J121" s="102"/>
      <c r="K121" s="102"/>
      <c r="L121" s="102"/>
      <c r="M121" s="102"/>
      <c r="N121" s="102"/>
      <c r="O121" s="101" t="s">
        <v>6</v>
      </c>
      <c r="P121" s="101"/>
      <c r="Q121" s="103"/>
      <c r="R121" s="104"/>
      <c r="S121" s="104"/>
      <c r="T121" s="104"/>
      <c r="U121" s="104"/>
      <c r="V121" s="104"/>
      <c r="W121" s="105"/>
    </row>
    <row r="122" spans="1:23" ht="15.75" x14ac:dyDescent="0.25">
      <c r="A122" s="106" t="s">
        <v>7</v>
      </c>
      <c r="B122" s="107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7"/>
      <c r="R122" s="107"/>
      <c r="S122" s="107"/>
      <c r="T122" s="107"/>
      <c r="U122" s="107"/>
      <c r="V122" s="107"/>
      <c r="W122" s="110"/>
    </row>
    <row r="123" spans="1:23" x14ac:dyDescent="0.25">
      <c r="A123" s="113" t="s">
        <v>8</v>
      </c>
      <c r="B123" s="114" t="s">
        <v>9</v>
      </c>
      <c r="C123" s="114" t="s">
        <v>10</v>
      </c>
      <c r="D123" s="114" t="s">
        <v>11</v>
      </c>
      <c r="E123" s="114" t="s">
        <v>12</v>
      </c>
      <c r="F123" s="114" t="s">
        <v>13</v>
      </c>
      <c r="G123" s="114" t="s">
        <v>14</v>
      </c>
      <c r="H123" s="114"/>
      <c r="I123" s="114"/>
      <c r="J123" s="114"/>
      <c r="K123" s="114"/>
      <c r="L123" s="114"/>
      <c r="M123" s="114" t="s">
        <v>15</v>
      </c>
      <c r="N123" s="114" t="s">
        <v>16</v>
      </c>
      <c r="O123" s="114" t="s">
        <v>17</v>
      </c>
      <c r="P123" s="114" t="s">
        <v>18</v>
      </c>
      <c r="Q123" s="114" t="s">
        <v>19</v>
      </c>
      <c r="R123" s="114"/>
      <c r="S123" s="114"/>
      <c r="T123" s="114"/>
      <c r="U123" s="114"/>
      <c r="V123" s="114"/>
      <c r="W123" s="115" t="s">
        <v>20</v>
      </c>
    </row>
    <row r="124" spans="1:23" x14ac:dyDescent="0.25">
      <c r="A124" s="113"/>
      <c r="B124" s="114"/>
      <c r="C124" s="114"/>
      <c r="D124" s="114"/>
      <c r="E124" s="114"/>
      <c r="F124" s="114"/>
      <c r="G124" s="31" t="s">
        <v>21</v>
      </c>
      <c r="H124" s="31" t="s">
        <v>21</v>
      </c>
      <c r="I124" s="31" t="s">
        <v>21</v>
      </c>
      <c r="J124" s="31" t="s">
        <v>22</v>
      </c>
      <c r="K124" s="31" t="s">
        <v>22</v>
      </c>
      <c r="L124" s="32" t="s">
        <v>22</v>
      </c>
      <c r="M124" s="138"/>
      <c r="N124" s="114"/>
      <c r="O124" s="114"/>
      <c r="P124" s="114"/>
      <c r="Q124" s="31" t="s">
        <v>21</v>
      </c>
      <c r="R124" s="31" t="s">
        <v>21</v>
      </c>
      <c r="S124" s="31" t="s">
        <v>21</v>
      </c>
      <c r="T124" s="31" t="s">
        <v>22</v>
      </c>
      <c r="U124" s="31" t="s">
        <v>22</v>
      </c>
      <c r="V124" s="31" t="s">
        <v>22</v>
      </c>
      <c r="W124" s="115"/>
    </row>
    <row r="125" spans="1:23" ht="15.75" x14ac:dyDescent="0.25">
      <c r="A125" s="5">
        <v>1</v>
      </c>
      <c r="B125" s="21" t="s">
        <v>241</v>
      </c>
      <c r="C125" s="20">
        <v>46108</v>
      </c>
      <c r="D125" s="36">
        <v>46185</v>
      </c>
      <c r="E125" s="21">
        <v>2</v>
      </c>
      <c r="F125" s="21">
        <v>0</v>
      </c>
      <c r="G125" s="21"/>
      <c r="H125" s="21"/>
      <c r="I125" s="21"/>
      <c r="J125" s="21">
        <v>117</v>
      </c>
      <c r="K125" s="24">
        <v>115</v>
      </c>
      <c r="L125" s="29"/>
      <c r="M125" s="57">
        <f>AVERAGE(G125:L125)</f>
        <v>116</v>
      </c>
      <c r="N125" s="70">
        <v>46204</v>
      </c>
      <c r="O125" s="21">
        <v>2</v>
      </c>
      <c r="P125" s="21">
        <v>0</v>
      </c>
      <c r="Q125" s="21"/>
      <c r="R125" s="21"/>
      <c r="S125" s="21"/>
      <c r="T125" s="21">
        <v>224</v>
      </c>
      <c r="U125" s="21">
        <v>185</v>
      </c>
      <c r="V125" s="21"/>
      <c r="W125" s="22">
        <f>AVERAGE(Q125:V125)</f>
        <v>204.5</v>
      </c>
    </row>
    <row r="126" spans="1:23" ht="15.75" x14ac:dyDescent="0.25">
      <c r="A126" s="6">
        <v>2</v>
      </c>
      <c r="B126" s="21"/>
      <c r="C126" s="13"/>
      <c r="D126" s="8"/>
      <c r="E126" s="8"/>
      <c r="F126" s="8"/>
      <c r="G126" s="8"/>
      <c r="H126" s="8"/>
      <c r="I126" s="8"/>
      <c r="J126" s="8"/>
      <c r="K126" s="25"/>
      <c r="L126" s="30"/>
      <c r="M126" s="57"/>
      <c r="N126" s="26"/>
      <c r="O126" s="8"/>
      <c r="P126" s="8"/>
      <c r="Q126" s="8"/>
      <c r="R126" s="8"/>
      <c r="S126" s="8"/>
      <c r="T126" s="8"/>
      <c r="U126" s="8"/>
      <c r="V126" s="8"/>
      <c r="W126" s="9"/>
    </row>
    <row r="127" spans="1:23" ht="15.75" x14ac:dyDescent="0.25">
      <c r="A127" s="6">
        <v>3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27"/>
      <c r="M127" s="27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spans="1:23" ht="15.75" x14ac:dyDescent="0.25">
      <c r="A128" s="5">
        <v>4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spans="1:23" ht="15.75" x14ac:dyDescent="0.25">
      <c r="A129" s="5">
        <v>5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</row>
    <row r="130" spans="1:23" ht="16.5" thickBot="1" x14ac:dyDescent="0.3">
      <c r="A130" s="7">
        <v>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2" spans="1:23" ht="15.75" thickBot="1" x14ac:dyDescent="0.3"/>
    <row r="133" spans="1:23" ht="15.75" x14ac:dyDescent="0.25">
      <c r="A133" s="100" t="s">
        <v>260</v>
      </c>
      <c r="B133" s="101"/>
      <c r="C133" s="111" t="s">
        <v>500</v>
      </c>
      <c r="D133" s="112"/>
      <c r="E133" s="111" t="s">
        <v>499</v>
      </c>
      <c r="F133" s="112"/>
      <c r="G133" s="101" t="s">
        <v>4</v>
      </c>
      <c r="H133" s="101"/>
      <c r="I133" s="102" t="s">
        <v>366</v>
      </c>
      <c r="J133" s="102"/>
      <c r="K133" s="102"/>
      <c r="L133" s="102"/>
      <c r="M133" s="102"/>
      <c r="N133" s="102"/>
      <c r="O133" s="101" t="s">
        <v>6</v>
      </c>
      <c r="P133" s="101"/>
      <c r="Q133" s="103"/>
      <c r="R133" s="104"/>
      <c r="S133" s="104"/>
      <c r="T133" s="104"/>
      <c r="U133" s="104"/>
      <c r="V133" s="104"/>
      <c r="W133" s="105"/>
    </row>
    <row r="134" spans="1:23" ht="15.75" x14ac:dyDescent="0.25">
      <c r="A134" s="106" t="s">
        <v>7</v>
      </c>
      <c r="B134" s="107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7"/>
      <c r="R134" s="107"/>
      <c r="S134" s="107"/>
      <c r="T134" s="107"/>
      <c r="U134" s="107"/>
      <c r="V134" s="107"/>
      <c r="W134" s="110"/>
    </row>
    <row r="135" spans="1:23" x14ac:dyDescent="0.25">
      <c r="A135" s="113" t="s">
        <v>8</v>
      </c>
      <c r="B135" s="114" t="s">
        <v>9</v>
      </c>
      <c r="C135" s="114" t="s">
        <v>10</v>
      </c>
      <c r="D135" s="114" t="s">
        <v>11</v>
      </c>
      <c r="E135" s="114" t="s">
        <v>12</v>
      </c>
      <c r="F135" s="114" t="s">
        <v>13</v>
      </c>
      <c r="G135" s="114" t="s">
        <v>14</v>
      </c>
      <c r="H135" s="114"/>
      <c r="I135" s="114"/>
      <c r="J135" s="114"/>
      <c r="K135" s="114"/>
      <c r="L135" s="114"/>
      <c r="M135" s="114" t="s">
        <v>15</v>
      </c>
      <c r="N135" s="114" t="s">
        <v>16</v>
      </c>
      <c r="O135" s="114" t="s">
        <v>17</v>
      </c>
      <c r="P135" s="114" t="s">
        <v>18</v>
      </c>
      <c r="Q135" s="114" t="s">
        <v>19</v>
      </c>
      <c r="R135" s="114"/>
      <c r="S135" s="114"/>
      <c r="T135" s="114"/>
      <c r="U135" s="114"/>
      <c r="V135" s="114"/>
      <c r="W135" s="115" t="s">
        <v>20</v>
      </c>
    </row>
    <row r="136" spans="1:23" x14ac:dyDescent="0.25">
      <c r="A136" s="113"/>
      <c r="B136" s="114"/>
      <c r="C136" s="114"/>
      <c r="D136" s="114"/>
      <c r="E136" s="114"/>
      <c r="F136" s="114"/>
      <c r="G136" s="31" t="s">
        <v>21</v>
      </c>
      <c r="H136" s="31" t="s">
        <v>21</v>
      </c>
      <c r="I136" s="31" t="s">
        <v>21</v>
      </c>
      <c r="J136" s="31" t="s">
        <v>22</v>
      </c>
      <c r="K136" s="31" t="s">
        <v>22</v>
      </c>
      <c r="L136" s="32" t="s">
        <v>22</v>
      </c>
      <c r="M136" s="138"/>
      <c r="N136" s="114"/>
      <c r="O136" s="114"/>
      <c r="P136" s="114"/>
      <c r="Q136" s="31" t="s">
        <v>21</v>
      </c>
      <c r="R136" s="31" t="s">
        <v>21</v>
      </c>
      <c r="S136" s="31" t="s">
        <v>21</v>
      </c>
      <c r="T136" s="31" t="s">
        <v>22</v>
      </c>
      <c r="U136" s="31" t="s">
        <v>22</v>
      </c>
      <c r="V136" s="31" t="s">
        <v>22</v>
      </c>
      <c r="W136" s="115"/>
    </row>
    <row r="137" spans="1:23" ht="15.75" x14ac:dyDescent="0.25">
      <c r="A137" s="5">
        <v>1</v>
      </c>
      <c r="B137" s="21" t="s">
        <v>241</v>
      </c>
      <c r="C137" s="20">
        <v>46108</v>
      </c>
      <c r="D137" s="36">
        <v>46205</v>
      </c>
      <c r="E137" s="21">
        <v>2</v>
      </c>
      <c r="F137" s="21" t="s">
        <v>586</v>
      </c>
      <c r="G137" s="21"/>
      <c r="H137" s="21"/>
      <c r="I137" s="21"/>
      <c r="J137" s="21"/>
      <c r="K137" s="24"/>
      <c r="L137" s="29"/>
      <c r="M137" s="57"/>
      <c r="O137" s="21"/>
      <c r="P137" s="21"/>
      <c r="Q137" s="21"/>
      <c r="R137" s="21"/>
      <c r="S137" s="21"/>
      <c r="T137" s="21"/>
      <c r="U137" s="21"/>
      <c r="V137" s="21"/>
      <c r="W137" s="22"/>
    </row>
    <row r="138" spans="1:23" ht="15.75" x14ac:dyDescent="0.25">
      <c r="A138" s="6">
        <v>2</v>
      </c>
      <c r="B138" s="21"/>
      <c r="C138" s="13"/>
      <c r="D138" s="8"/>
      <c r="E138" s="8"/>
      <c r="F138" s="8"/>
      <c r="G138" s="8"/>
      <c r="H138" s="8"/>
      <c r="I138" s="8"/>
      <c r="J138" s="8"/>
      <c r="K138" s="25"/>
      <c r="L138" s="30"/>
      <c r="M138" s="57"/>
      <c r="N138" s="26"/>
      <c r="O138" s="8"/>
      <c r="P138" s="8"/>
      <c r="Q138" s="8"/>
      <c r="R138" s="8"/>
      <c r="S138" s="8"/>
      <c r="T138" s="8"/>
      <c r="U138" s="8"/>
      <c r="V138" s="8"/>
      <c r="W138" s="9"/>
    </row>
    <row r="139" spans="1:23" ht="15.75" x14ac:dyDescent="0.25">
      <c r="A139" s="6">
        <v>3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27"/>
      <c r="M139" s="27"/>
      <c r="N139" s="8"/>
      <c r="O139" s="8"/>
      <c r="P139" s="8"/>
      <c r="Q139" s="8"/>
      <c r="R139" s="8"/>
      <c r="S139" s="8"/>
      <c r="T139" s="8"/>
      <c r="U139" s="8"/>
      <c r="V139" s="8"/>
      <c r="W139" s="9"/>
    </row>
    <row r="140" spans="1:23" ht="15.75" x14ac:dyDescent="0.25">
      <c r="A140" s="5">
        <v>4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</row>
    <row r="141" spans="1:23" ht="15.75" x14ac:dyDescent="0.25">
      <c r="A141" s="5">
        <v>5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spans="1:23" ht="16.5" thickBot="1" x14ac:dyDescent="0.3">
      <c r="A142" s="7">
        <v>6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4" spans="1:23" ht="15.75" thickBot="1" x14ac:dyDescent="0.3"/>
    <row r="145" spans="1:23" ht="15.75" x14ac:dyDescent="0.25">
      <c r="A145" s="100" t="s">
        <v>260</v>
      </c>
      <c r="B145" s="101"/>
      <c r="C145" s="111" t="s">
        <v>501</v>
      </c>
      <c r="D145" s="112"/>
      <c r="E145" s="111" t="s">
        <v>499</v>
      </c>
      <c r="F145" s="112"/>
      <c r="G145" s="101" t="s">
        <v>4</v>
      </c>
      <c r="H145" s="101"/>
      <c r="I145" s="102" t="s">
        <v>366</v>
      </c>
      <c r="J145" s="102"/>
      <c r="K145" s="102"/>
      <c r="L145" s="102"/>
      <c r="M145" s="102"/>
      <c r="N145" s="102"/>
      <c r="O145" s="101" t="s">
        <v>6</v>
      </c>
      <c r="P145" s="101"/>
      <c r="Q145" s="103"/>
      <c r="R145" s="104"/>
      <c r="S145" s="104"/>
      <c r="T145" s="104"/>
      <c r="U145" s="104"/>
      <c r="V145" s="104"/>
      <c r="W145" s="105"/>
    </row>
    <row r="146" spans="1:23" ht="15.75" x14ac:dyDescent="0.25">
      <c r="A146" s="106" t="s">
        <v>7</v>
      </c>
      <c r="B146" s="107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7"/>
      <c r="R146" s="107"/>
      <c r="S146" s="107"/>
      <c r="T146" s="107"/>
      <c r="U146" s="107"/>
      <c r="V146" s="107"/>
      <c r="W146" s="110"/>
    </row>
    <row r="147" spans="1:23" x14ac:dyDescent="0.25">
      <c r="A147" s="113" t="s">
        <v>8</v>
      </c>
      <c r="B147" s="114" t="s">
        <v>9</v>
      </c>
      <c r="C147" s="114" t="s">
        <v>10</v>
      </c>
      <c r="D147" s="114" t="s">
        <v>11</v>
      </c>
      <c r="E147" s="114" t="s">
        <v>12</v>
      </c>
      <c r="F147" s="114" t="s">
        <v>13</v>
      </c>
      <c r="G147" s="114" t="s">
        <v>14</v>
      </c>
      <c r="H147" s="114"/>
      <c r="I147" s="114"/>
      <c r="J147" s="114"/>
      <c r="K147" s="114"/>
      <c r="L147" s="114"/>
      <c r="M147" s="114" t="s">
        <v>15</v>
      </c>
      <c r="N147" s="114" t="s">
        <v>16</v>
      </c>
      <c r="O147" s="114" t="s">
        <v>17</v>
      </c>
      <c r="P147" s="114" t="s">
        <v>18</v>
      </c>
      <c r="Q147" s="114" t="s">
        <v>19</v>
      </c>
      <c r="R147" s="114"/>
      <c r="S147" s="114"/>
      <c r="T147" s="114"/>
      <c r="U147" s="114"/>
      <c r="V147" s="114"/>
      <c r="W147" s="115" t="s">
        <v>20</v>
      </c>
    </row>
    <row r="148" spans="1:23" x14ac:dyDescent="0.25">
      <c r="A148" s="113"/>
      <c r="B148" s="114"/>
      <c r="C148" s="114"/>
      <c r="D148" s="114"/>
      <c r="E148" s="114"/>
      <c r="F148" s="114"/>
      <c r="G148" s="31" t="s">
        <v>21</v>
      </c>
      <c r="H148" s="31" t="s">
        <v>21</v>
      </c>
      <c r="I148" s="31" t="s">
        <v>21</v>
      </c>
      <c r="J148" s="31" t="s">
        <v>22</v>
      </c>
      <c r="K148" s="31" t="s">
        <v>22</v>
      </c>
      <c r="L148" s="32" t="s">
        <v>22</v>
      </c>
      <c r="M148" s="138"/>
      <c r="N148" s="114"/>
      <c r="O148" s="114"/>
      <c r="P148" s="114"/>
      <c r="Q148" s="31" t="s">
        <v>21</v>
      </c>
      <c r="R148" s="31" t="s">
        <v>21</v>
      </c>
      <c r="S148" s="31" t="s">
        <v>21</v>
      </c>
      <c r="T148" s="31" t="s">
        <v>22</v>
      </c>
      <c r="U148" s="31" t="s">
        <v>22</v>
      </c>
      <c r="V148" s="31" t="s">
        <v>22</v>
      </c>
      <c r="W148" s="115"/>
    </row>
    <row r="149" spans="1:23" ht="15.75" x14ac:dyDescent="0.25">
      <c r="A149" s="5">
        <v>1</v>
      </c>
      <c r="B149" s="21" t="s">
        <v>241</v>
      </c>
      <c r="C149" s="20">
        <v>46108</v>
      </c>
      <c r="D149" s="36">
        <v>46182</v>
      </c>
      <c r="E149" s="21">
        <v>1</v>
      </c>
      <c r="F149" s="21">
        <v>0</v>
      </c>
      <c r="G149" s="21"/>
      <c r="H149" s="21"/>
      <c r="I149" s="21"/>
      <c r="J149" s="21">
        <v>120</v>
      </c>
      <c r="K149" s="24"/>
      <c r="L149" s="29"/>
      <c r="M149" s="57">
        <v>120</v>
      </c>
      <c r="N149" s="70">
        <v>46204</v>
      </c>
      <c r="O149" s="21">
        <v>1</v>
      </c>
      <c r="P149" s="21">
        <v>0</v>
      </c>
      <c r="Q149" s="21"/>
      <c r="R149" s="21"/>
      <c r="S149" s="21"/>
      <c r="T149" s="21">
        <v>241</v>
      </c>
      <c r="U149" s="21"/>
      <c r="V149" s="21"/>
      <c r="W149" s="22">
        <v>241</v>
      </c>
    </row>
    <row r="150" spans="1:23" ht="15.75" x14ac:dyDescent="0.25">
      <c r="A150" s="6">
        <v>2</v>
      </c>
      <c r="B150" s="21"/>
      <c r="C150" s="13"/>
      <c r="D150" s="8"/>
      <c r="E150" s="8"/>
      <c r="F150" s="8"/>
      <c r="G150" s="8"/>
      <c r="H150" s="8"/>
      <c r="I150" s="8"/>
      <c r="J150" s="8"/>
      <c r="K150" s="25"/>
      <c r="L150" s="30"/>
      <c r="M150" s="57"/>
      <c r="N150" s="26"/>
      <c r="O150" s="8"/>
      <c r="P150" s="8"/>
      <c r="Q150" s="8"/>
      <c r="R150" s="8"/>
      <c r="S150" s="8"/>
      <c r="T150" s="8"/>
      <c r="U150" s="8"/>
      <c r="V150" s="8"/>
      <c r="W150" s="9"/>
    </row>
    <row r="151" spans="1:23" ht="15.75" x14ac:dyDescent="0.25">
      <c r="A151" s="6">
        <v>3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27"/>
      <c r="M151" s="27"/>
      <c r="N151" s="8"/>
      <c r="O151" s="8"/>
      <c r="P151" s="8"/>
      <c r="Q151" s="8"/>
      <c r="R151" s="8"/>
      <c r="S151" s="8"/>
      <c r="T151" s="8"/>
      <c r="U151" s="8"/>
      <c r="V151" s="8"/>
      <c r="W151" s="9"/>
    </row>
    <row r="152" spans="1:23" ht="15.75" x14ac:dyDescent="0.25">
      <c r="A152" s="5">
        <v>4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/>
    </row>
    <row r="153" spans="1:23" ht="15.75" x14ac:dyDescent="0.25">
      <c r="A153" s="5">
        <v>5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</row>
    <row r="154" spans="1:23" ht="16.5" thickBot="1" x14ac:dyDescent="0.3">
      <c r="A154" s="7">
        <v>6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6" spans="1:23" ht="15.75" thickBot="1" x14ac:dyDescent="0.3"/>
    <row r="157" spans="1:23" ht="15.75" x14ac:dyDescent="0.25">
      <c r="A157" s="100" t="s">
        <v>260</v>
      </c>
      <c r="B157" s="101"/>
      <c r="C157" s="111" t="s">
        <v>502</v>
      </c>
      <c r="D157" s="112"/>
      <c r="E157" s="111" t="s">
        <v>499</v>
      </c>
      <c r="F157" s="112"/>
      <c r="G157" s="101" t="s">
        <v>4</v>
      </c>
      <c r="H157" s="101"/>
      <c r="I157" s="102" t="s">
        <v>366</v>
      </c>
      <c r="J157" s="102"/>
      <c r="K157" s="102"/>
      <c r="L157" s="102"/>
      <c r="M157" s="102"/>
      <c r="N157" s="102"/>
      <c r="O157" s="101" t="s">
        <v>6</v>
      </c>
      <c r="P157" s="101"/>
      <c r="Q157" s="103"/>
      <c r="R157" s="104"/>
      <c r="S157" s="104"/>
      <c r="T157" s="104"/>
      <c r="U157" s="104"/>
      <c r="V157" s="104"/>
      <c r="W157" s="105"/>
    </row>
    <row r="158" spans="1:23" ht="15.75" x14ac:dyDescent="0.25">
      <c r="A158" s="106" t="s">
        <v>7</v>
      </c>
      <c r="B158" s="107"/>
      <c r="C158" s="116" t="s">
        <v>44</v>
      </c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09"/>
      <c r="P158" s="109"/>
      <c r="Q158" s="107"/>
      <c r="R158" s="107"/>
      <c r="S158" s="107"/>
      <c r="T158" s="107"/>
      <c r="U158" s="107"/>
      <c r="V158" s="107"/>
      <c r="W158" s="110"/>
    </row>
    <row r="159" spans="1:23" x14ac:dyDescent="0.25">
      <c r="A159" s="113" t="s">
        <v>8</v>
      </c>
      <c r="B159" s="114" t="s">
        <v>9</v>
      </c>
      <c r="C159" s="114" t="s">
        <v>10</v>
      </c>
      <c r="D159" s="114" t="s">
        <v>11</v>
      </c>
      <c r="E159" s="114" t="s">
        <v>12</v>
      </c>
      <c r="F159" s="114" t="s">
        <v>13</v>
      </c>
      <c r="G159" s="114" t="s">
        <v>14</v>
      </c>
      <c r="H159" s="114"/>
      <c r="I159" s="114"/>
      <c r="J159" s="114"/>
      <c r="K159" s="114"/>
      <c r="L159" s="114"/>
      <c r="M159" s="114" t="s">
        <v>15</v>
      </c>
      <c r="N159" s="114" t="s">
        <v>16</v>
      </c>
      <c r="O159" s="114" t="s">
        <v>17</v>
      </c>
      <c r="P159" s="114" t="s">
        <v>18</v>
      </c>
      <c r="Q159" s="114" t="s">
        <v>19</v>
      </c>
      <c r="R159" s="114"/>
      <c r="S159" s="114"/>
      <c r="T159" s="114"/>
      <c r="U159" s="114"/>
      <c r="V159" s="114"/>
      <c r="W159" s="115" t="s">
        <v>20</v>
      </c>
    </row>
    <row r="160" spans="1:23" x14ac:dyDescent="0.25">
      <c r="A160" s="113"/>
      <c r="B160" s="114"/>
      <c r="C160" s="114"/>
      <c r="D160" s="114"/>
      <c r="E160" s="114"/>
      <c r="F160" s="114"/>
      <c r="G160" s="31" t="s">
        <v>21</v>
      </c>
      <c r="H160" s="31" t="s">
        <v>21</v>
      </c>
      <c r="I160" s="31" t="s">
        <v>21</v>
      </c>
      <c r="J160" s="31" t="s">
        <v>22</v>
      </c>
      <c r="K160" s="31" t="s">
        <v>22</v>
      </c>
      <c r="L160" s="32" t="s">
        <v>22</v>
      </c>
      <c r="M160" s="138"/>
      <c r="N160" s="114"/>
      <c r="O160" s="114"/>
      <c r="P160" s="114"/>
      <c r="Q160" s="31" t="s">
        <v>21</v>
      </c>
      <c r="R160" s="31" t="s">
        <v>21</v>
      </c>
      <c r="S160" s="31" t="s">
        <v>21</v>
      </c>
      <c r="T160" s="31" t="s">
        <v>22</v>
      </c>
      <c r="U160" s="31" t="s">
        <v>22</v>
      </c>
      <c r="V160" s="31" t="s">
        <v>22</v>
      </c>
      <c r="W160" s="115"/>
    </row>
    <row r="161" spans="1:23" ht="15.75" x14ac:dyDescent="0.25">
      <c r="A161" s="5">
        <v>1</v>
      </c>
      <c r="B161" s="21" t="s">
        <v>241</v>
      </c>
      <c r="C161" s="20">
        <v>46108</v>
      </c>
      <c r="D161" s="36"/>
      <c r="E161" s="21"/>
      <c r="F161" s="21"/>
      <c r="G161" s="21"/>
      <c r="H161" s="21"/>
      <c r="I161" s="21"/>
      <c r="J161" s="21"/>
      <c r="K161" s="24"/>
      <c r="L161" s="29"/>
      <c r="M161" s="57"/>
      <c r="O161" s="21"/>
      <c r="P161" s="21"/>
      <c r="Q161" s="21"/>
      <c r="R161" s="21"/>
      <c r="S161" s="21"/>
      <c r="T161" s="21"/>
      <c r="U161" s="21"/>
      <c r="V161" s="21"/>
      <c r="W161" s="22"/>
    </row>
    <row r="162" spans="1:23" ht="15.75" x14ac:dyDescent="0.25">
      <c r="A162" s="6">
        <v>2</v>
      </c>
      <c r="B162" s="21"/>
      <c r="C162" s="13"/>
      <c r="D162" s="8"/>
      <c r="E162" s="8"/>
      <c r="F162" s="8"/>
      <c r="G162" s="8"/>
      <c r="H162" s="8"/>
      <c r="I162" s="8"/>
      <c r="J162" s="8"/>
      <c r="K162" s="25"/>
      <c r="L162" s="30"/>
      <c r="M162" s="57"/>
      <c r="N162" s="26"/>
      <c r="O162" s="8"/>
      <c r="P162" s="8"/>
      <c r="Q162" s="8"/>
      <c r="R162" s="8"/>
      <c r="S162" s="8"/>
      <c r="T162" s="8"/>
      <c r="U162" s="8"/>
      <c r="V162" s="8"/>
      <c r="W162" s="9"/>
    </row>
    <row r="163" spans="1:23" ht="15.75" x14ac:dyDescent="0.25">
      <c r="A163" s="6">
        <v>3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27"/>
      <c r="M163" s="27"/>
      <c r="N163" s="8"/>
      <c r="O163" s="8"/>
      <c r="P163" s="8"/>
      <c r="Q163" s="8"/>
      <c r="R163" s="8"/>
      <c r="S163" s="8"/>
      <c r="T163" s="8"/>
      <c r="U163" s="8"/>
      <c r="V163" s="8"/>
      <c r="W163" s="9"/>
    </row>
    <row r="164" spans="1:23" ht="15.75" x14ac:dyDescent="0.25">
      <c r="A164" s="5">
        <v>4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</row>
    <row r="165" spans="1:23" ht="15.75" x14ac:dyDescent="0.25">
      <c r="A165" s="5">
        <v>5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spans="1:23" ht="16.5" thickBot="1" x14ac:dyDescent="0.3">
      <c r="A166" s="7">
        <v>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8" spans="1:23" ht="15.75" thickBot="1" x14ac:dyDescent="0.3"/>
    <row r="169" spans="1:23" ht="15.75" x14ac:dyDescent="0.25">
      <c r="A169" s="100" t="s">
        <v>260</v>
      </c>
      <c r="B169" s="101"/>
      <c r="C169" s="202" t="s">
        <v>503</v>
      </c>
      <c r="D169" s="203"/>
      <c r="E169" s="111" t="s">
        <v>499</v>
      </c>
      <c r="F169" s="112"/>
      <c r="G169" s="101" t="s">
        <v>4</v>
      </c>
      <c r="H169" s="101"/>
      <c r="I169" s="102" t="s">
        <v>366</v>
      </c>
      <c r="J169" s="102"/>
      <c r="K169" s="102"/>
      <c r="L169" s="102"/>
      <c r="M169" s="102"/>
      <c r="N169" s="102"/>
      <c r="O169" s="101" t="s">
        <v>6</v>
      </c>
      <c r="P169" s="101"/>
      <c r="Q169" s="103"/>
      <c r="R169" s="104"/>
      <c r="S169" s="104"/>
      <c r="T169" s="104"/>
      <c r="U169" s="104"/>
      <c r="V169" s="104"/>
      <c r="W169" s="105"/>
    </row>
    <row r="170" spans="1:23" ht="15.75" x14ac:dyDescent="0.25">
      <c r="A170" s="106" t="s">
        <v>7</v>
      </c>
      <c r="B170" s="107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7"/>
      <c r="R170" s="107"/>
      <c r="S170" s="107"/>
      <c r="T170" s="107"/>
      <c r="U170" s="107"/>
      <c r="V170" s="107"/>
      <c r="W170" s="110"/>
    </row>
    <row r="171" spans="1:23" x14ac:dyDescent="0.25">
      <c r="A171" s="113" t="s">
        <v>8</v>
      </c>
      <c r="B171" s="114" t="s">
        <v>9</v>
      </c>
      <c r="C171" s="114" t="s">
        <v>10</v>
      </c>
      <c r="D171" s="114" t="s">
        <v>11</v>
      </c>
      <c r="E171" s="114" t="s">
        <v>12</v>
      </c>
      <c r="F171" s="114" t="s">
        <v>13</v>
      </c>
      <c r="G171" s="114" t="s">
        <v>14</v>
      </c>
      <c r="H171" s="114"/>
      <c r="I171" s="114"/>
      <c r="J171" s="114"/>
      <c r="K171" s="114"/>
      <c r="L171" s="114"/>
      <c r="M171" s="114" t="s">
        <v>15</v>
      </c>
      <c r="N171" s="114" t="s">
        <v>16</v>
      </c>
      <c r="O171" s="114" t="s">
        <v>17</v>
      </c>
      <c r="P171" s="114" t="s">
        <v>18</v>
      </c>
      <c r="Q171" s="114" t="s">
        <v>19</v>
      </c>
      <c r="R171" s="114"/>
      <c r="S171" s="114"/>
      <c r="T171" s="114"/>
      <c r="U171" s="114"/>
      <c r="V171" s="114"/>
      <c r="W171" s="115" t="s">
        <v>20</v>
      </c>
    </row>
    <row r="172" spans="1:23" x14ac:dyDescent="0.25">
      <c r="A172" s="113"/>
      <c r="B172" s="114"/>
      <c r="C172" s="114"/>
      <c r="D172" s="114"/>
      <c r="E172" s="114"/>
      <c r="F172" s="114"/>
      <c r="G172" s="31" t="s">
        <v>21</v>
      </c>
      <c r="H172" s="31" t="s">
        <v>21</v>
      </c>
      <c r="I172" s="31" t="s">
        <v>21</v>
      </c>
      <c r="J172" s="31" t="s">
        <v>22</v>
      </c>
      <c r="K172" s="31" t="s">
        <v>22</v>
      </c>
      <c r="L172" s="32" t="s">
        <v>22</v>
      </c>
      <c r="M172" s="138"/>
      <c r="N172" s="114"/>
      <c r="O172" s="114"/>
      <c r="P172" s="114"/>
      <c r="Q172" s="31" t="s">
        <v>21</v>
      </c>
      <c r="R172" s="31" t="s">
        <v>21</v>
      </c>
      <c r="S172" s="31" t="s">
        <v>21</v>
      </c>
      <c r="T172" s="31" t="s">
        <v>22</v>
      </c>
      <c r="U172" s="31" t="s">
        <v>22</v>
      </c>
      <c r="V172" s="31" t="s">
        <v>22</v>
      </c>
      <c r="W172" s="115"/>
    </row>
    <row r="173" spans="1:23" ht="15.75" x14ac:dyDescent="0.25">
      <c r="A173" s="5">
        <v>1</v>
      </c>
      <c r="B173" s="21" t="s">
        <v>241</v>
      </c>
      <c r="C173" s="20">
        <v>46108</v>
      </c>
      <c r="D173" s="36">
        <v>38875</v>
      </c>
      <c r="E173" s="21">
        <v>4</v>
      </c>
      <c r="F173" s="21">
        <v>0</v>
      </c>
      <c r="G173" s="21">
        <v>115</v>
      </c>
      <c r="H173" s="21">
        <v>121</v>
      </c>
      <c r="I173" s="21">
        <v>108</v>
      </c>
      <c r="J173" s="21">
        <v>120</v>
      </c>
      <c r="K173" s="24"/>
      <c r="L173" s="29"/>
      <c r="M173" s="69">
        <f>AVERAGE(G173:L173)</f>
        <v>116</v>
      </c>
      <c r="N173" s="70">
        <v>46204</v>
      </c>
      <c r="O173" s="21">
        <v>3</v>
      </c>
      <c r="P173" s="21">
        <v>1</v>
      </c>
      <c r="Q173" s="21">
        <v>283</v>
      </c>
      <c r="R173" s="21">
        <v>232</v>
      </c>
      <c r="S173" s="21">
        <v>277</v>
      </c>
      <c r="T173" s="21"/>
      <c r="U173" s="21"/>
      <c r="V173" s="21"/>
      <c r="W173" s="22">
        <f>AVERAGE(Q173:V173)</f>
        <v>264</v>
      </c>
    </row>
    <row r="174" spans="1:23" ht="15.75" x14ac:dyDescent="0.25">
      <c r="A174" s="6">
        <v>2</v>
      </c>
      <c r="B174" s="21"/>
      <c r="C174" s="13"/>
      <c r="D174" s="8"/>
      <c r="E174" s="8"/>
      <c r="F174" s="8"/>
      <c r="G174" s="8"/>
      <c r="H174" s="8"/>
      <c r="I174" s="8"/>
      <c r="J174" s="8"/>
      <c r="K174" s="25"/>
      <c r="L174" s="30"/>
      <c r="M174" s="57"/>
      <c r="N174" s="26"/>
      <c r="O174" s="8"/>
      <c r="P174" s="8"/>
      <c r="Q174" s="8"/>
      <c r="R174" s="8"/>
      <c r="S174" s="8"/>
      <c r="T174" s="8"/>
      <c r="U174" s="8"/>
      <c r="V174" s="8"/>
      <c r="W174" s="9"/>
    </row>
    <row r="175" spans="1:23" ht="15.75" x14ac:dyDescent="0.25">
      <c r="A175" s="6">
        <v>3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27"/>
      <c r="M175" s="27"/>
      <c r="N175" s="8"/>
      <c r="O175" s="8"/>
      <c r="P175" s="8"/>
      <c r="Q175" s="8"/>
      <c r="R175" s="8"/>
      <c r="S175" s="8"/>
      <c r="T175" s="8"/>
      <c r="U175" s="8"/>
      <c r="V175" s="8"/>
      <c r="W175" s="9"/>
    </row>
    <row r="176" spans="1:23" ht="15.75" x14ac:dyDescent="0.25">
      <c r="A176" s="5">
        <v>4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</row>
    <row r="177" spans="1:23" ht="15.75" x14ac:dyDescent="0.25">
      <c r="A177" s="5">
        <v>5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</row>
    <row r="178" spans="1:23" ht="16.5" thickBot="1" x14ac:dyDescent="0.3">
      <c r="A178" s="7">
        <v>6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80" spans="1:23" ht="15.75" thickBot="1" x14ac:dyDescent="0.3"/>
    <row r="181" spans="1:23" ht="15.75" x14ac:dyDescent="0.25">
      <c r="A181" s="100" t="s">
        <v>260</v>
      </c>
      <c r="B181" s="101"/>
      <c r="C181" s="132" t="s">
        <v>504</v>
      </c>
      <c r="D181" s="133"/>
      <c r="E181" s="111" t="s">
        <v>505</v>
      </c>
      <c r="F181" s="112"/>
      <c r="G181" s="101" t="s">
        <v>4</v>
      </c>
      <c r="H181" s="101"/>
      <c r="I181" s="102" t="s">
        <v>366</v>
      </c>
      <c r="J181" s="102"/>
      <c r="K181" s="102"/>
      <c r="L181" s="102"/>
      <c r="M181" s="102"/>
      <c r="N181" s="102"/>
      <c r="O181" s="101" t="s">
        <v>6</v>
      </c>
      <c r="P181" s="101"/>
      <c r="Q181" s="103"/>
      <c r="R181" s="104"/>
      <c r="S181" s="104"/>
      <c r="T181" s="104"/>
      <c r="U181" s="104"/>
      <c r="V181" s="104"/>
      <c r="W181" s="105"/>
    </row>
    <row r="182" spans="1:23" ht="15.75" x14ac:dyDescent="0.25">
      <c r="A182" s="106" t="s">
        <v>7</v>
      </c>
      <c r="B182" s="107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7"/>
      <c r="R182" s="107"/>
      <c r="S182" s="107"/>
      <c r="T182" s="107"/>
      <c r="U182" s="107"/>
      <c r="V182" s="107"/>
      <c r="W182" s="110"/>
    </row>
    <row r="183" spans="1:23" x14ac:dyDescent="0.25">
      <c r="A183" s="113" t="s">
        <v>8</v>
      </c>
      <c r="B183" s="114" t="s">
        <v>9</v>
      </c>
      <c r="C183" s="114" t="s">
        <v>10</v>
      </c>
      <c r="D183" s="114" t="s">
        <v>11</v>
      </c>
      <c r="E183" s="114" t="s">
        <v>12</v>
      </c>
      <c r="F183" s="114" t="s">
        <v>13</v>
      </c>
      <c r="G183" s="114" t="s">
        <v>14</v>
      </c>
      <c r="H183" s="114"/>
      <c r="I183" s="114"/>
      <c r="J183" s="114"/>
      <c r="K183" s="114"/>
      <c r="L183" s="114"/>
      <c r="M183" s="114" t="s">
        <v>15</v>
      </c>
      <c r="N183" s="114" t="s">
        <v>16</v>
      </c>
      <c r="O183" s="114" t="s">
        <v>17</v>
      </c>
      <c r="P183" s="114" t="s">
        <v>18</v>
      </c>
      <c r="Q183" s="114" t="s">
        <v>19</v>
      </c>
      <c r="R183" s="114"/>
      <c r="S183" s="114"/>
      <c r="T183" s="114"/>
      <c r="U183" s="114"/>
      <c r="V183" s="114"/>
      <c r="W183" s="115" t="s">
        <v>20</v>
      </c>
    </row>
    <row r="184" spans="1:23" x14ac:dyDescent="0.25">
      <c r="A184" s="113"/>
      <c r="B184" s="114"/>
      <c r="C184" s="114"/>
      <c r="D184" s="114"/>
      <c r="E184" s="114"/>
      <c r="F184" s="114"/>
      <c r="G184" s="31" t="s">
        <v>21</v>
      </c>
      <c r="H184" s="31" t="s">
        <v>21</v>
      </c>
      <c r="I184" s="31" t="s">
        <v>21</v>
      </c>
      <c r="J184" s="31" t="s">
        <v>22</v>
      </c>
      <c r="K184" s="31" t="s">
        <v>22</v>
      </c>
      <c r="L184" s="32" t="s">
        <v>22</v>
      </c>
      <c r="M184" s="138"/>
      <c r="N184" s="114"/>
      <c r="O184" s="114"/>
      <c r="P184" s="114"/>
      <c r="Q184" s="31" t="s">
        <v>21</v>
      </c>
      <c r="R184" s="31" t="s">
        <v>21</v>
      </c>
      <c r="S184" s="31" t="s">
        <v>21</v>
      </c>
      <c r="T184" s="31" t="s">
        <v>22</v>
      </c>
      <c r="U184" s="31" t="s">
        <v>22</v>
      </c>
      <c r="V184" s="31" t="s">
        <v>22</v>
      </c>
      <c r="W184" s="115"/>
    </row>
    <row r="185" spans="1:23" ht="15.75" x14ac:dyDescent="0.25">
      <c r="A185" s="5">
        <v>1</v>
      </c>
      <c r="B185" s="21" t="s">
        <v>231</v>
      </c>
      <c r="C185" s="20">
        <v>46108</v>
      </c>
      <c r="D185" s="36">
        <v>46174</v>
      </c>
      <c r="E185" s="21">
        <v>2</v>
      </c>
      <c r="F185" s="21">
        <v>1</v>
      </c>
      <c r="G185" s="21">
        <v>117</v>
      </c>
      <c r="H185" s="21"/>
      <c r="I185" s="21"/>
      <c r="J185" s="21"/>
      <c r="K185" s="24"/>
      <c r="L185" s="29"/>
      <c r="M185" s="69">
        <v>117</v>
      </c>
      <c r="O185" s="21">
        <v>0</v>
      </c>
      <c r="P185" s="21">
        <v>1</v>
      </c>
      <c r="Q185" s="21"/>
      <c r="R185" s="21"/>
      <c r="S185" s="21"/>
      <c r="T185" s="21"/>
      <c r="U185" s="21"/>
      <c r="V185" s="21"/>
      <c r="W185" s="22"/>
    </row>
    <row r="186" spans="1:23" ht="15.75" x14ac:dyDescent="0.25">
      <c r="A186" s="6">
        <v>2</v>
      </c>
      <c r="B186" s="21"/>
      <c r="C186" s="13"/>
      <c r="D186" s="8"/>
      <c r="E186" s="8"/>
      <c r="F186" s="8"/>
      <c r="G186" s="8"/>
      <c r="H186" s="8"/>
      <c r="I186" s="8"/>
      <c r="J186" s="8"/>
      <c r="K186" s="25"/>
      <c r="L186" s="30"/>
      <c r="M186" s="57"/>
      <c r="N186" s="26"/>
      <c r="O186" s="8"/>
      <c r="P186" s="8"/>
      <c r="Q186" s="8"/>
      <c r="R186" s="8"/>
      <c r="S186" s="8"/>
      <c r="T186" s="8"/>
      <c r="U186" s="8"/>
      <c r="V186" s="8"/>
      <c r="W186" s="9"/>
    </row>
    <row r="187" spans="1:23" ht="15.75" x14ac:dyDescent="0.25">
      <c r="A187" s="6">
        <v>3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27"/>
      <c r="M187" s="27"/>
      <c r="N187" s="8"/>
      <c r="O187" s="8"/>
      <c r="P187" s="8"/>
      <c r="Q187" s="8"/>
      <c r="R187" s="8"/>
      <c r="S187" s="8"/>
      <c r="T187" s="8"/>
      <c r="U187" s="8"/>
      <c r="V187" s="8"/>
      <c r="W187" s="9"/>
    </row>
    <row r="188" spans="1:23" ht="15.75" x14ac:dyDescent="0.25">
      <c r="A188" s="5">
        <v>4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</row>
    <row r="189" spans="1:23" ht="15.75" x14ac:dyDescent="0.25">
      <c r="A189" s="5">
        <v>5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</row>
    <row r="190" spans="1:23" ht="16.5" thickBot="1" x14ac:dyDescent="0.3">
      <c r="A190" s="7">
        <v>6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2" spans="1:23" ht="15.75" thickBot="1" x14ac:dyDescent="0.3"/>
    <row r="193" spans="1:23" ht="15.75" x14ac:dyDescent="0.25">
      <c r="A193" s="100" t="s">
        <v>260</v>
      </c>
      <c r="B193" s="101"/>
      <c r="C193" s="111" t="s">
        <v>506</v>
      </c>
      <c r="D193" s="112"/>
      <c r="E193" s="111" t="s">
        <v>505</v>
      </c>
      <c r="F193" s="112"/>
      <c r="G193" s="101" t="s">
        <v>4</v>
      </c>
      <c r="H193" s="101"/>
      <c r="I193" s="102" t="s">
        <v>366</v>
      </c>
      <c r="J193" s="102"/>
      <c r="K193" s="102"/>
      <c r="L193" s="102"/>
      <c r="M193" s="102"/>
      <c r="N193" s="102"/>
      <c r="O193" s="101" t="s">
        <v>6</v>
      </c>
      <c r="P193" s="101"/>
      <c r="Q193" s="103"/>
      <c r="R193" s="104"/>
      <c r="S193" s="104"/>
      <c r="T193" s="104"/>
      <c r="U193" s="104"/>
      <c r="V193" s="104"/>
      <c r="W193" s="105"/>
    </row>
    <row r="194" spans="1:23" ht="15.75" x14ac:dyDescent="0.25">
      <c r="A194" s="106" t="s">
        <v>7</v>
      </c>
      <c r="B194" s="107"/>
      <c r="C194" s="116" t="s">
        <v>44</v>
      </c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09"/>
      <c r="P194" s="109"/>
      <c r="Q194" s="107"/>
      <c r="R194" s="107"/>
      <c r="S194" s="107"/>
      <c r="T194" s="107"/>
      <c r="U194" s="107"/>
      <c r="V194" s="107"/>
      <c r="W194" s="110"/>
    </row>
    <row r="195" spans="1:23" x14ac:dyDescent="0.25">
      <c r="A195" s="113" t="s">
        <v>8</v>
      </c>
      <c r="B195" s="114" t="s">
        <v>9</v>
      </c>
      <c r="C195" s="114" t="s">
        <v>10</v>
      </c>
      <c r="D195" s="114" t="s">
        <v>11</v>
      </c>
      <c r="E195" s="114" t="s">
        <v>12</v>
      </c>
      <c r="F195" s="114" t="s">
        <v>13</v>
      </c>
      <c r="G195" s="114" t="s">
        <v>14</v>
      </c>
      <c r="H195" s="114"/>
      <c r="I195" s="114"/>
      <c r="J195" s="114"/>
      <c r="K195" s="114"/>
      <c r="L195" s="114"/>
      <c r="M195" s="114" t="s">
        <v>15</v>
      </c>
      <c r="N195" s="114" t="s">
        <v>16</v>
      </c>
      <c r="O195" s="114" t="s">
        <v>17</v>
      </c>
      <c r="P195" s="114" t="s">
        <v>18</v>
      </c>
      <c r="Q195" s="114" t="s">
        <v>19</v>
      </c>
      <c r="R195" s="114"/>
      <c r="S195" s="114"/>
      <c r="T195" s="114"/>
      <c r="U195" s="114"/>
      <c r="V195" s="114"/>
      <c r="W195" s="115" t="s">
        <v>20</v>
      </c>
    </row>
    <row r="196" spans="1:23" x14ac:dyDescent="0.25">
      <c r="A196" s="113"/>
      <c r="B196" s="114"/>
      <c r="C196" s="114"/>
      <c r="D196" s="114"/>
      <c r="E196" s="114"/>
      <c r="F196" s="114"/>
      <c r="G196" s="31" t="s">
        <v>21</v>
      </c>
      <c r="H196" s="31" t="s">
        <v>21</v>
      </c>
      <c r="I196" s="31" t="s">
        <v>21</v>
      </c>
      <c r="J196" s="31" t="s">
        <v>22</v>
      </c>
      <c r="K196" s="31" t="s">
        <v>22</v>
      </c>
      <c r="L196" s="32" t="s">
        <v>22</v>
      </c>
      <c r="M196" s="138"/>
      <c r="N196" s="114"/>
      <c r="O196" s="114"/>
      <c r="P196" s="114"/>
      <c r="Q196" s="31" t="s">
        <v>21</v>
      </c>
      <c r="R196" s="31" t="s">
        <v>21</v>
      </c>
      <c r="S196" s="31" t="s">
        <v>21</v>
      </c>
      <c r="T196" s="31" t="s">
        <v>22</v>
      </c>
      <c r="U196" s="31" t="s">
        <v>22</v>
      </c>
      <c r="V196" s="31" t="s">
        <v>22</v>
      </c>
      <c r="W196" s="115"/>
    </row>
    <row r="197" spans="1:23" ht="15.75" x14ac:dyDescent="0.25">
      <c r="A197" s="5">
        <v>1</v>
      </c>
      <c r="B197" s="21" t="s">
        <v>231</v>
      </c>
      <c r="C197" s="20">
        <v>46108</v>
      </c>
      <c r="D197" s="36"/>
      <c r="E197" s="21"/>
      <c r="F197" s="21"/>
      <c r="G197" s="21"/>
      <c r="H197" s="21"/>
      <c r="I197" s="21"/>
      <c r="J197" s="21"/>
      <c r="K197" s="24"/>
      <c r="L197" s="29"/>
      <c r="M197" s="57"/>
      <c r="O197" s="21"/>
      <c r="P197" s="21"/>
      <c r="Q197" s="21"/>
      <c r="R197" s="21"/>
      <c r="S197" s="21"/>
      <c r="T197" s="21"/>
      <c r="U197" s="21"/>
      <c r="V197" s="21"/>
      <c r="W197" s="22"/>
    </row>
    <row r="198" spans="1:23" ht="15.75" x14ac:dyDescent="0.25">
      <c r="A198" s="6">
        <v>2</v>
      </c>
      <c r="B198" s="21"/>
      <c r="C198" s="13"/>
      <c r="D198" s="8"/>
      <c r="E198" s="8"/>
      <c r="F198" s="8"/>
      <c r="G198" s="8"/>
      <c r="H198" s="8"/>
      <c r="I198" s="8"/>
      <c r="J198" s="8"/>
      <c r="K198" s="25"/>
      <c r="L198" s="30"/>
      <c r="M198" s="57"/>
      <c r="N198" s="26"/>
      <c r="O198" s="8"/>
      <c r="P198" s="8"/>
      <c r="Q198" s="8"/>
      <c r="R198" s="8"/>
      <c r="S198" s="8"/>
      <c r="T198" s="8"/>
      <c r="U198" s="8"/>
      <c r="V198" s="8"/>
      <c r="W198" s="9"/>
    </row>
    <row r="199" spans="1:23" ht="15.75" x14ac:dyDescent="0.25">
      <c r="A199" s="6">
        <v>3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27"/>
      <c r="M199" s="27"/>
      <c r="N199" s="8"/>
      <c r="O199" s="8"/>
      <c r="P199" s="8"/>
      <c r="Q199" s="8"/>
      <c r="R199" s="8"/>
      <c r="S199" s="8"/>
      <c r="T199" s="8"/>
      <c r="U199" s="8"/>
      <c r="V199" s="8"/>
      <c r="W199" s="9"/>
    </row>
    <row r="200" spans="1:23" ht="15.75" x14ac:dyDescent="0.25">
      <c r="A200" s="5">
        <v>4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</row>
    <row r="201" spans="1:23" ht="15.75" x14ac:dyDescent="0.25">
      <c r="A201" s="5">
        <v>5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</row>
    <row r="202" spans="1:23" ht="16.5" thickBot="1" x14ac:dyDescent="0.3">
      <c r="A202" s="7">
        <v>6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4" spans="1:23" ht="15.75" thickBot="1" x14ac:dyDescent="0.3"/>
    <row r="205" spans="1:23" ht="15.75" x14ac:dyDescent="0.25">
      <c r="A205" s="100" t="s">
        <v>260</v>
      </c>
      <c r="B205" s="101"/>
      <c r="C205" s="111" t="s">
        <v>507</v>
      </c>
      <c r="D205" s="112"/>
      <c r="E205" s="111" t="s">
        <v>505</v>
      </c>
      <c r="F205" s="112"/>
      <c r="G205" s="101" t="s">
        <v>4</v>
      </c>
      <c r="H205" s="101"/>
      <c r="I205" s="102" t="s">
        <v>366</v>
      </c>
      <c r="J205" s="102"/>
      <c r="K205" s="102"/>
      <c r="L205" s="102"/>
      <c r="M205" s="102"/>
      <c r="N205" s="102"/>
      <c r="O205" s="101" t="s">
        <v>6</v>
      </c>
      <c r="P205" s="101"/>
      <c r="Q205" s="103"/>
      <c r="R205" s="104"/>
      <c r="S205" s="104"/>
      <c r="T205" s="104"/>
      <c r="U205" s="104"/>
      <c r="V205" s="104"/>
      <c r="W205" s="105"/>
    </row>
    <row r="206" spans="1:23" ht="15.75" x14ac:dyDescent="0.25">
      <c r="A206" s="106" t="s">
        <v>7</v>
      </c>
      <c r="B206" s="107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7"/>
      <c r="R206" s="107"/>
      <c r="S206" s="107"/>
      <c r="T206" s="107"/>
      <c r="U206" s="107"/>
      <c r="V206" s="107"/>
      <c r="W206" s="110"/>
    </row>
    <row r="207" spans="1:23" x14ac:dyDescent="0.25">
      <c r="A207" s="113" t="s">
        <v>8</v>
      </c>
      <c r="B207" s="114" t="s">
        <v>9</v>
      </c>
      <c r="C207" s="114" t="s">
        <v>10</v>
      </c>
      <c r="D207" s="114" t="s">
        <v>11</v>
      </c>
      <c r="E207" s="114" t="s">
        <v>12</v>
      </c>
      <c r="F207" s="114" t="s">
        <v>13</v>
      </c>
      <c r="G207" s="114" t="s">
        <v>14</v>
      </c>
      <c r="H207" s="114"/>
      <c r="I207" s="114"/>
      <c r="J207" s="114"/>
      <c r="K207" s="114"/>
      <c r="L207" s="114"/>
      <c r="M207" s="114" t="s">
        <v>15</v>
      </c>
      <c r="N207" s="114" t="s">
        <v>16</v>
      </c>
      <c r="O207" s="114" t="s">
        <v>17</v>
      </c>
      <c r="P207" s="114" t="s">
        <v>18</v>
      </c>
      <c r="Q207" s="114" t="s">
        <v>19</v>
      </c>
      <c r="R207" s="114"/>
      <c r="S207" s="114"/>
      <c r="T207" s="114"/>
      <c r="U207" s="114"/>
      <c r="V207" s="114"/>
      <c r="W207" s="115" t="s">
        <v>20</v>
      </c>
    </row>
    <row r="208" spans="1:23" x14ac:dyDescent="0.25">
      <c r="A208" s="113"/>
      <c r="B208" s="114"/>
      <c r="C208" s="114"/>
      <c r="D208" s="114"/>
      <c r="E208" s="114"/>
      <c r="F208" s="114"/>
      <c r="G208" s="31" t="s">
        <v>21</v>
      </c>
      <c r="H208" s="31" t="s">
        <v>21</v>
      </c>
      <c r="I208" s="31" t="s">
        <v>21</v>
      </c>
      <c r="J208" s="31" t="s">
        <v>22</v>
      </c>
      <c r="K208" s="31" t="s">
        <v>22</v>
      </c>
      <c r="L208" s="32" t="s">
        <v>22</v>
      </c>
      <c r="M208" s="138"/>
      <c r="N208" s="114"/>
      <c r="O208" s="114"/>
      <c r="P208" s="114"/>
      <c r="Q208" s="31" t="s">
        <v>21</v>
      </c>
      <c r="R208" s="31" t="s">
        <v>21</v>
      </c>
      <c r="S208" s="31" t="s">
        <v>21</v>
      </c>
      <c r="T208" s="31" t="s">
        <v>22</v>
      </c>
      <c r="U208" s="31" t="s">
        <v>22</v>
      </c>
      <c r="V208" s="31" t="s">
        <v>22</v>
      </c>
      <c r="W208" s="115"/>
    </row>
    <row r="209" spans="1:23" ht="15.75" x14ac:dyDescent="0.25">
      <c r="A209" s="5">
        <v>1</v>
      </c>
      <c r="B209" s="21" t="s">
        <v>231</v>
      </c>
      <c r="C209" s="20">
        <v>46108</v>
      </c>
      <c r="D209" s="36">
        <v>46178</v>
      </c>
      <c r="E209" s="21">
        <v>2</v>
      </c>
      <c r="F209" s="21">
        <v>0</v>
      </c>
      <c r="G209" s="21">
        <v>117</v>
      </c>
      <c r="H209" s="21">
        <v>120</v>
      </c>
      <c r="I209" s="21"/>
      <c r="J209" s="21"/>
      <c r="K209" s="24"/>
      <c r="L209" s="29"/>
      <c r="M209" s="57">
        <f>AVERAGE(G209:L209)</f>
        <v>118.5</v>
      </c>
      <c r="N209" s="70">
        <v>46204</v>
      </c>
      <c r="O209" s="21">
        <v>2</v>
      </c>
      <c r="P209" s="21">
        <v>0</v>
      </c>
      <c r="Q209" s="21">
        <v>229</v>
      </c>
      <c r="R209" s="21">
        <v>268</v>
      </c>
      <c r="S209" s="21"/>
      <c r="T209" s="21"/>
      <c r="U209" s="21"/>
      <c r="V209" s="21"/>
      <c r="W209" s="68">
        <v>248</v>
      </c>
    </row>
    <row r="210" spans="1:23" ht="15.75" x14ac:dyDescent="0.25">
      <c r="A210" s="6">
        <v>2</v>
      </c>
      <c r="B210" s="21"/>
      <c r="C210" s="13"/>
      <c r="D210" s="8"/>
      <c r="E210" s="8"/>
      <c r="F210" s="8"/>
      <c r="G210" s="8"/>
      <c r="H210" s="8"/>
      <c r="I210" s="8"/>
      <c r="J210" s="8"/>
      <c r="K210" s="25"/>
      <c r="L210" s="30"/>
      <c r="M210" s="57"/>
      <c r="N210" s="26"/>
      <c r="O210" s="8"/>
      <c r="P210" s="8"/>
      <c r="Q210" s="8"/>
      <c r="R210" s="8"/>
      <c r="S210" s="8"/>
      <c r="T210" s="8"/>
      <c r="U210" s="8"/>
      <c r="V210" s="8"/>
      <c r="W210" s="9"/>
    </row>
    <row r="211" spans="1:23" ht="15.75" x14ac:dyDescent="0.25">
      <c r="A211" s="6">
        <v>3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27"/>
      <c r="M211" s="27"/>
      <c r="N211" s="8"/>
      <c r="O211" s="8"/>
      <c r="P211" s="8"/>
      <c r="Q211" s="8"/>
      <c r="R211" s="8"/>
      <c r="S211" s="8"/>
      <c r="T211" s="8"/>
      <c r="U211" s="8"/>
      <c r="V211" s="8"/>
      <c r="W211" s="9"/>
    </row>
    <row r="212" spans="1:23" ht="15.75" x14ac:dyDescent="0.25">
      <c r="A212" s="5">
        <v>4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</row>
    <row r="213" spans="1:23" ht="15.75" x14ac:dyDescent="0.25">
      <c r="A213" s="5">
        <v>5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</row>
    <row r="214" spans="1:23" ht="16.5" thickBot="1" x14ac:dyDescent="0.3">
      <c r="A214" s="7">
        <v>6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6" spans="1:23" ht="15.75" thickBot="1" x14ac:dyDescent="0.3"/>
    <row r="217" spans="1:23" ht="15.75" x14ac:dyDescent="0.25">
      <c r="A217" s="100" t="s">
        <v>260</v>
      </c>
      <c r="B217" s="101"/>
      <c r="C217" s="194" t="s">
        <v>508</v>
      </c>
      <c r="D217" s="195"/>
      <c r="E217" s="111" t="s">
        <v>505</v>
      </c>
      <c r="F217" s="112"/>
      <c r="G217" s="101" t="s">
        <v>4</v>
      </c>
      <c r="H217" s="101"/>
      <c r="I217" s="102" t="s">
        <v>366</v>
      </c>
      <c r="J217" s="102"/>
      <c r="K217" s="102"/>
      <c r="L217" s="102"/>
      <c r="M217" s="102"/>
      <c r="N217" s="102"/>
      <c r="O217" s="101" t="s">
        <v>6</v>
      </c>
      <c r="P217" s="101"/>
      <c r="Q217" s="103"/>
      <c r="R217" s="104"/>
      <c r="S217" s="104"/>
      <c r="T217" s="104"/>
      <c r="U217" s="104"/>
      <c r="V217" s="104"/>
      <c r="W217" s="105"/>
    </row>
    <row r="218" spans="1:23" ht="15.75" x14ac:dyDescent="0.25">
      <c r="A218" s="106" t="s">
        <v>7</v>
      </c>
      <c r="B218" s="107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7"/>
      <c r="R218" s="107"/>
      <c r="S218" s="107"/>
      <c r="T218" s="107"/>
      <c r="U218" s="107"/>
      <c r="V218" s="107"/>
      <c r="W218" s="110"/>
    </row>
    <row r="219" spans="1:23" x14ac:dyDescent="0.25">
      <c r="A219" s="113" t="s">
        <v>8</v>
      </c>
      <c r="B219" s="114" t="s">
        <v>9</v>
      </c>
      <c r="C219" s="114" t="s">
        <v>10</v>
      </c>
      <c r="D219" s="114" t="s">
        <v>11</v>
      </c>
      <c r="E219" s="114" t="s">
        <v>12</v>
      </c>
      <c r="F219" s="114" t="s">
        <v>13</v>
      </c>
      <c r="G219" s="114" t="s">
        <v>14</v>
      </c>
      <c r="H219" s="114"/>
      <c r="I219" s="114"/>
      <c r="J219" s="114"/>
      <c r="K219" s="114"/>
      <c r="L219" s="114"/>
      <c r="M219" s="114" t="s">
        <v>15</v>
      </c>
      <c r="N219" s="114" t="s">
        <v>16</v>
      </c>
      <c r="O219" s="114" t="s">
        <v>17</v>
      </c>
      <c r="P219" s="114" t="s">
        <v>18</v>
      </c>
      <c r="Q219" s="114" t="s">
        <v>19</v>
      </c>
      <c r="R219" s="114"/>
      <c r="S219" s="114"/>
      <c r="T219" s="114"/>
      <c r="U219" s="114"/>
      <c r="V219" s="114"/>
      <c r="W219" s="115" t="s">
        <v>20</v>
      </c>
    </row>
    <row r="220" spans="1:23" x14ac:dyDescent="0.25">
      <c r="A220" s="113"/>
      <c r="B220" s="114"/>
      <c r="C220" s="114"/>
      <c r="D220" s="114"/>
      <c r="E220" s="114"/>
      <c r="F220" s="114"/>
      <c r="G220" s="31" t="s">
        <v>21</v>
      </c>
      <c r="H220" s="31" t="s">
        <v>21</v>
      </c>
      <c r="I220" s="31" t="s">
        <v>21</v>
      </c>
      <c r="J220" s="31" t="s">
        <v>22</v>
      </c>
      <c r="K220" s="31" t="s">
        <v>22</v>
      </c>
      <c r="L220" s="32" t="s">
        <v>22</v>
      </c>
      <c r="M220" s="138"/>
      <c r="N220" s="114"/>
      <c r="O220" s="114"/>
      <c r="P220" s="114"/>
      <c r="Q220" s="31" t="s">
        <v>21</v>
      </c>
      <c r="R220" s="31" t="s">
        <v>21</v>
      </c>
      <c r="S220" s="31" t="s">
        <v>21</v>
      </c>
      <c r="T220" s="31" t="s">
        <v>22</v>
      </c>
      <c r="U220" s="31" t="s">
        <v>22</v>
      </c>
      <c r="V220" s="31" t="s">
        <v>22</v>
      </c>
      <c r="W220" s="115"/>
    </row>
    <row r="221" spans="1:23" ht="15.75" x14ac:dyDescent="0.25">
      <c r="A221" s="5">
        <v>1</v>
      </c>
      <c r="B221" s="21" t="s">
        <v>231</v>
      </c>
      <c r="C221" s="20">
        <v>46108</v>
      </c>
      <c r="D221" s="36">
        <v>46188</v>
      </c>
      <c r="E221" s="21">
        <v>3</v>
      </c>
      <c r="F221" s="21">
        <v>0</v>
      </c>
      <c r="G221" s="21">
        <v>120</v>
      </c>
      <c r="H221" s="21"/>
      <c r="I221" s="21"/>
      <c r="J221" s="21">
        <v>118</v>
      </c>
      <c r="K221" s="24">
        <v>115</v>
      </c>
      <c r="L221" s="29"/>
      <c r="M221" s="92">
        <f>AVERAGE(G221:L221)</f>
        <v>117.66666666666667</v>
      </c>
      <c r="N221" s="70">
        <v>46204</v>
      </c>
      <c r="O221" s="21">
        <v>3</v>
      </c>
      <c r="P221" s="21">
        <v>0</v>
      </c>
      <c r="Q221" s="21">
        <v>219</v>
      </c>
      <c r="R221" s="21"/>
      <c r="S221" s="21"/>
      <c r="T221" s="21">
        <v>229</v>
      </c>
      <c r="U221" s="21">
        <v>187</v>
      </c>
      <c r="V221" s="21"/>
      <c r="W221" s="68">
        <f>AVERAGE(Q221:V221)</f>
        <v>211.66666666666666</v>
      </c>
    </row>
    <row r="222" spans="1:23" ht="15.75" x14ac:dyDescent="0.25">
      <c r="A222" s="6">
        <v>2</v>
      </c>
      <c r="B222" s="21"/>
      <c r="C222" s="13"/>
      <c r="D222" s="8"/>
      <c r="E222" s="8"/>
      <c r="F222" s="8"/>
      <c r="G222" s="8"/>
      <c r="H222" s="8"/>
      <c r="I222" s="8"/>
      <c r="J222" s="8"/>
      <c r="K222" s="25"/>
      <c r="L222" s="30"/>
      <c r="M222" s="57"/>
      <c r="N222" s="26"/>
      <c r="O222" s="8"/>
      <c r="P222" s="8"/>
      <c r="Q222" s="8"/>
      <c r="R222" s="8"/>
      <c r="S222" s="8"/>
      <c r="T222" s="8"/>
      <c r="U222" s="8"/>
      <c r="V222" s="8"/>
      <c r="W222" s="9"/>
    </row>
    <row r="223" spans="1:23" ht="15.75" x14ac:dyDescent="0.25">
      <c r="A223" s="6">
        <v>3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27"/>
      <c r="M223" s="27"/>
      <c r="N223" s="8"/>
      <c r="O223" s="8"/>
      <c r="P223" s="8"/>
      <c r="Q223" s="8"/>
      <c r="R223" s="8"/>
      <c r="S223" s="8"/>
      <c r="T223" s="8"/>
      <c r="U223" s="8"/>
      <c r="V223" s="8"/>
      <c r="W223" s="9"/>
    </row>
    <row r="224" spans="1:23" ht="15.75" x14ac:dyDescent="0.25">
      <c r="A224" s="5">
        <v>4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</row>
    <row r="225" spans="1:23" ht="15.75" x14ac:dyDescent="0.25">
      <c r="A225" s="5">
        <v>5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</row>
    <row r="226" spans="1:23" ht="16.5" thickBot="1" x14ac:dyDescent="0.3">
      <c r="A226" s="7">
        <v>6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8" spans="1:23" ht="15.75" thickBot="1" x14ac:dyDescent="0.3"/>
    <row r="229" spans="1:23" ht="15.75" x14ac:dyDescent="0.25">
      <c r="A229" s="100" t="s">
        <v>260</v>
      </c>
      <c r="B229" s="101"/>
      <c r="C229" s="111" t="s">
        <v>509</v>
      </c>
      <c r="D229" s="112"/>
      <c r="E229" s="111" t="s">
        <v>505</v>
      </c>
      <c r="F229" s="112"/>
      <c r="G229" s="101" t="s">
        <v>4</v>
      </c>
      <c r="H229" s="101"/>
      <c r="I229" s="102" t="s">
        <v>366</v>
      </c>
      <c r="J229" s="102"/>
      <c r="K229" s="102"/>
      <c r="L229" s="102"/>
      <c r="M229" s="102"/>
      <c r="N229" s="102"/>
      <c r="O229" s="101" t="s">
        <v>6</v>
      </c>
      <c r="P229" s="101"/>
      <c r="Q229" s="103"/>
      <c r="R229" s="104"/>
      <c r="S229" s="104"/>
      <c r="T229" s="104"/>
      <c r="U229" s="104"/>
      <c r="V229" s="104"/>
      <c r="W229" s="105"/>
    </row>
    <row r="230" spans="1:23" ht="15.75" x14ac:dyDescent="0.25">
      <c r="A230" s="106" t="s">
        <v>7</v>
      </c>
      <c r="B230" s="107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7"/>
      <c r="R230" s="107"/>
      <c r="S230" s="107"/>
      <c r="T230" s="107"/>
      <c r="U230" s="107"/>
      <c r="V230" s="107"/>
      <c r="W230" s="110"/>
    </row>
    <row r="231" spans="1:23" x14ac:dyDescent="0.25">
      <c r="A231" s="113" t="s">
        <v>8</v>
      </c>
      <c r="B231" s="114" t="s">
        <v>9</v>
      </c>
      <c r="C231" s="114" t="s">
        <v>10</v>
      </c>
      <c r="D231" s="114" t="s">
        <v>11</v>
      </c>
      <c r="E231" s="114" t="s">
        <v>12</v>
      </c>
      <c r="F231" s="114" t="s">
        <v>13</v>
      </c>
      <c r="G231" s="114" t="s">
        <v>14</v>
      </c>
      <c r="H231" s="114"/>
      <c r="I231" s="114"/>
      <c r="J231" s="114"/>
      <c r="K231" s="114"/>
      <c r="L231" s="114"/>
      <c r="M231" s="114" t="s">
        <v>15</v>
      </c>
      <c r="N231" s="114" t="s">
        <v>16</v>
      </c>
      <c r="O231" s="114" t="s">
        <v>17</v>
      </c>
      <c r="P231" s="114" t="s">
        <v>18</v>
      </c>
      <c r="Q231" s="114" t="s">
        <v>19</v>
      </c>
      <c r="R231" s="114"/>
      <c r="S231" s="114"/>
      <c r="T231" s="114"/>
      <c r="U231" s="114"/>
      <c r="V231" s="114"/>
      <c r="W231" s="115" t="s">
        <v>20</v>
      </c>
    </row>
    <row r="232" spans="1:23" x14ac:dyDescent="0.25">
      <c r="A232" s="113"/>
      <c r="B232" s="114"/>
      <c r="C232" s="114"/>
      <c r="D232" s="114"/>
      <c r="E232" s="114"/>
      <c r="F232" s="114"/>
      <c r="G232" s="31" t="s">
        <v>21</v>
      </c>
      <c r="H232" s="31" t="s">
        <v>21</v>
      </c>
      <c r="I232" s="31" t="s">
        <v>21</v>
      </c>
      <c r="J232" s="31" t="s">
        <v>22</v>
      </c>
      <c r="K232" s="31" t="s">
        <v>22</v>
      </c>
      <c r="L232" s="32" t="s">
        <v>22</v>
      </c>
      <c r="M232" s="138"/>
      <c r="N232" s="114"/>
      <c r="O232" s="114"/>
      <c r="P232" s="114"/>
      <c r="Q232" s="31" t="s">
        <v>21</v>
      </c>
      <c r="R232" s="31" t="s">
        <v>21</v>
      </c>
      <c r="S232" s="31" t="s">
        <v>21</v>
      </c>
      <c r="T232" s="31" t="s">
        <v>22</v>
      </c>
      <c r="U232" s="31" t="s">
        <v>22</v>
      </c>
      <c r="V232" s="31" t="s">
        <v>22</v>
      </c>
      <c r="W232" s="115"/>
    </row>
    <row r="233" spans="1:23" ht="15.75" x14ac:dyDescent="0.25">
      <c r="A233" s="5">
        <v>1</v>
      </c>
      <c r="B233" s="21" t="s">
        <v>231</v>
      </c>
      <c r="C233" s="20">
        <v>46108</v>
      </c>
      <c r="D233" s="36">
        <v>46185</v>
      </c>
      <c r="E233" s="21">
        <v>2</v>
      </c>
      <c r="F233" s="21">
        <v>0</v>
      </c>
      <c r="G233" s="21"/>
      <c r="H233" s="21"/>
      <c r="I233" s="21"/>
      <c r="J233" s="21">
        <v>115</v>
      </c>
      <c r="K233" s="24">
        <v>120</v>
      </c>
      <c r="L233" s="29"/>
      <c r="M233" s="69">
        <f>AVERAGE(G233:L233)</f>
        <v>117.5</v>
      </c>
      <c r="N233" s="70">
        <v>46204</v>
      </c>
      <c r="O233" s="21">
        <v>2</v>
      </c>
      <c r="P233" s="21">
        <v>0</v>
      </c>
      <c r="Q233" s="21"/>
      <c r="R233" s="21"/>
      <c r="S233" s="21"/>
      <c r="T233" s="21">
        <v>224</v>
      </c>
      <c r="U233" s="21">
        <v>185</v>
      </c>
      <c r="V233" s="21"/>
      <c r="W233" s="22">
        <f>AVERAGE(Q233:V233)</f>
        <v>204.5</v>
      </c>
    </row>
    <row r="234" spans="1:23" ht="15.75" x14ac:dyDescent="0.25">
      <c r="A234" s="6">
        <v>2</v>
      </c>
      <c r="B234" s="21"/>
      <c r="C234" s="13"/>
      <c r="D234" s="8"/>
      <c r="E234" s="8"/>
      <c r="F234" s="8"/>
      <c r="G234" s="8"/>
      <c r="H234" s="8"/>
      <c r="I234" s="8"/>
      <c r="J234" s="8"/>
      <c r="K234" s="25"/>
      <c r="L234" s="30"/>
      <c r="M234" s="57"/>
      <c r="N234" s="26"/>
      <c r="O234" s="8"/>
      <c r="P234" s="8"/>
      <c r="Q234" s="8"/>
      <c r="R234" s="8"/>
      <c r="S234" s="8"/>
      <c r="T234" s="8"/>
      <c r="U234" s="8"/>
      <c r="V234" s="8"/>
      <c r="W234" s="9"/>
    </row>
    <row r="235" spans="1:23" ht="15.75" x14ac:dyDescent="0.25">
      <c r="A235" s="6">
        <v>3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27"/>
      <c r="M235" s="27"/>
      <c r="N235" s="8"/>
      <c r="O235" s="8"/>
      <c r="P235" s="8"/>
      <c r="Q235" s="8"/>
      <c r="R235" s="8"/>
      <c r="S235" s="8"/>
      <c r="T235" s="8"/>
      <c r="U235" s="8"/>
      <c r="V235" s="8"/>
      <c r="W235" s="9"/>
    </row>
    <row r="236" spans="1:23" ht="15.75" x14ac:dyDescent="0.25">
      <c r="A236" s="5">
        <v>4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</row>
    <row r="237" spans="1:23" ht="15.75" x14ac:dyDescent="0.25">
      <c r="A237" s="5">
        <v>5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</row>
    <row r="238" spans="1:23" ht="16.5" thickBot="1" x14ac:dyDescent="0.3">
      <c r="A238" s="7">
        <v>6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</sheetData>
  <mergeCells count="480">
    <mergeCell ref="O123:O124"/>
    <mergeCell ref="P123:P124"/>
    <mergeCell ref="Q123:V123"/>
    <mergeCell ref="W123:W124"/>
    <mergeCell ref="A123:A124"/>
    <mergeCell ref="B123:B124"/>
    <mergeCell ref="C123:C124"/>
    <mergeCell ref="D123:D124"/>
    <mergeCell ref="E123:E124"/>
    <mergeCell ref="F123:F124"/>
    <mergeCell ref="G123:L123"/>
    <mergeCell ref="M123:M124"/>
    <mergeCell ref="N123:N124"/>
    <mergeCell ref="A121:B121"/>
    <mergeCell ref="C121:D121"/>
    <mergeCell ref="E121:F121"/>
    <mergeCell ref="G121:H121"/>
    <mergeCell ref="I121:N121"/>
    <mergeCell ref="O121:P121"/>
    <mergeCell ref="Q121:W121"/>
    <mergeCell ref="A122:B122"/>
    <mergeCell ref="C122:N122"/>
    <mergeCell ref="O122:P122"/>
    <mergeCell ref="Q122:W122"/>
    <mergeCell ref="Q1:W1"/>
    <mergeCell ref="A2:B2"/>
    <mergeCell ref="C2:N2"/>
    <mergeCell ref="O2:P2"/>
    <mergeCell ref="Q2:W2"/>
    <mergeCell ref="A3:A4"/>
    <mergeCell ref="B3:B4"/>
    <mergeCell ref="C3:C4"/>
    <mergeCell ref="D3:D4"/>
    <mergeCell ref="E3:E4"/>
    <mergeCell ref="A1:B1"/>
    <mergeCell ref="C1:D1"/>
    <mergeCell ref="E1:F1"/>
    <mergeCell ref="G1:H1"/>
    <mergeCell ref="I1:N1"/>
    <mergeCell ref="O1:P1"/>
    <mergeCell ref="Q3:V3"/>
    <mergeCell ref="W3:W4"/>
    <mergeCell ref="A13:B13"/>
    <mergeCell ref="C13:D13"/>
    <mergeCell ref="E13:F13"/>
    <mergeCell ref="G13:H13"/>
    <mergeCell ref="I13:N13"/>
    <mergeCell ref="O13:P13"/>
    <mergeCell ref="Q13:W13"/>
    <mergeCell ref="F3:F4"/>
    <mergeCell ref="G3:L3"/>
    <mergeCell ref="M3:M4"/>
    <mergeCell ref="N3:N4"/>
    <mergeCell ref="O3:O4"/>
    <mergeCell ref="P3:P4"/>
    <mergeCell ref="A14:B14"/>
    <mergeCell ref="C14:N14"/>
    <mergeCell ref="O14:P14"/>
    <mergeCell ref="Q14:W14"/>
    <mergeCell ref="A15:A16"/>
    <mergeCell ref="B15:B16"/>
    <mergeCell ref="C15:C16"/>
    <mergeCell ref="D15:D16"/>
    <mergeCell ref="E15:E16"/>
    <mergeCell ref="F15:F16"/>
    <mergeCell ref="W15:W16"/>
    <mergeCell ref="A25:B25"/>
    <mergeCell ref="C25:D25"/>
    <mergeCell ref="E25:F25"/>
    <mergeCell ref="G25:H25"/>
    <mergeCell ref="I25:N25"/>
    <mergeCell ref="O25:P25"/>
    <mergeCell ref="Q25:W25"/>
    <mergeCell ref="G15:L15"/>
    <mergeCell ref="M15:M16"/>
    <mergeCell ref="N15:N16"/>
    <mergeCell ref="O15:O16"/>
    <mergeCell ref="P15:P16"/>
    <mergeCell ref="Q15:V15"/>
    <mergeCell ref="A26:B26"/>
    <mergeCell ref="C26:N26"/>
    <mergeCell ref="O26:P26"/>
    <mergeCell ref="Q26:W26"/>
    <mergeCell ref="A27:A28"/>
    <mergeCell ref="B27:B28"/>
    <mergeCell ref="C27:C28"/>
    <mergeCell ref="D27:D28"/>
    <mergeCell ref="E27:E28"/>
    <mergeCell ref="F27:F28"/>
    <mergeCell ref="W27:W28"/>
    <mergeCell ref="A37:B37"/>
    <mergeCell ref="C37:D37"/>
    <mergeCell ref="E37:F37"/>
    <mergeCell ref="G37:H37"/>
    <mergeCell ref="I37:N37"/>
    <mergeCell ref="O37:P37"/>
    <mergeCell ref="Q37:W37"/>
    <mergeCell ref="G27:L27"/>
    <mergeCell ref="M27:M28"/>
    <mergeCell ref="N27:N28"/>
    <mergeCell ref="O27:O28"/>
    <mergeCell ref="P27:P28"/>
    <mergeCell ref="Q27:V27"/>
    <mergeCell ref="A38:B38"/>
    <mergeCell ref="C38:N38"/>
    <mergeCell ref="O38:P38"/>
    <mergeCell ref="Q38:W38"/>
    <mergeCell ref="A39:A40"/>
    <mergeCell ref="B39:B40"/>
    <mergeCell ref="C39:C40"/>
    <mergeCell ref="D39:D40"/>
    <mergeCell ref="E39:E40"/>
    <mergeCell ref="F39:F40"/>
    <mergeCell ref="W39:W40"/>
    <mergeCell ref="A49:B49"/>
    <mergeCell ref="C49:D49"/>
    <mergeCell ref="E49:F49"/>
    <mergeCell ref="G49:H49"/>
    <mergeCell ref="I49:N49"/>
    <mergeCell ref="O49:P49"/>
    <mergeCell ref="Q49:W49"/>
    <mergeCell ref="G39:L39"/>
    <mergeCell ref="M39:M40"/>
    <mergeCell ref="N39:N40"/>
    <mergeCell ref="O39:O40"/>
    <mergeCell ref="P39:P40"/>
    <mergeCell ref="Q39:V39"/>
    <mergeCell ref="A50:B50"/>
    <mergeCell ref="C50:N50"/>
    <mergeCell ref="O50:P50"/>
    <mergeCell ref="Q50:W50"/>
    <mergeCell ref="A51:A52"/>
    <mergeCell ref="B51:B52"/>
    <mergeCell ref="C51:C52"/>
    <mergeCell ref="D51:D52"/>
    <mergeCell ref="E51:E52"/>
    <mergeCell ref="F51:F52"/>
    <mergeCell ref="W51:W52"/>
    <mergeCell ref="A61:B61"/>
    <mergeCell ref="C61:D61"/>
    <mergeCell ref="E61:F61"/>
    <mergeCell ref="G61:H61"/>
    <mergeCell ref="I61:N61"/>
    <mergeCell ref="O61:P61"/>
    <mergeCell ref="Q61:W61"/>
    <mergeCell ref="G51:L51"/>
    <mergeCell ref="M51:M52"/>
    <mergeCell ref="N51:N52"/>
    <mergeCell ref="O51:O52"/>
    <mergeCell ref="P51:P52"/>
    <mergeCell ref="Q51:V51"/>
    <mergeCell ref="A62:B62"/>
    <mergeCell ref="C62:N62"/>
    <mergeCell ref="O62:P62"/>
    <mergeCell ref="Q62:W62"/>
    <mergeCell ref="A63:A64"/>
    <mergeCell ref="B63:B64"/>
    <mergeCell ref="C63:C64"/>
    <mergeCell ref="D63:D64"/>
    <mergeCell ref="E63:E64"/>
    <mergeCell ref="F63:F64"/>
    <mergeCell ref="W63:W64"/>
    <mergeCell ref="A73:B73"/>
    <mergeCell ref="C73:D73"/>
    <mergeCell ref="E73:F73"/>
    <mergeCell ref="G73:H73"/>
    <mergeCell ref="I73:N73"/>
    <mergeCell ref="O73:P73"/>
    <mergeCell ref="Q73:W73"/>
    <mergeCell ref="G63:L63"/>
    <mergeCell ref="M63:M64"/>
    <mergeCell ref="N63:N64"/>
    <mergeCell ref="O63:O64"/>
    <mergeCell ref="P63:P64"/>
    <mergeCell ref="Q63:V63"/>
    <mergeCell ref="A74:B74"/>
    <mergeCell ref="C74:N74"/>
    <mergeCell ref="O74:P74"/>
    <mergeCell ref="Q74:W74"/>
    <mergeCell ref="A75:A76"/>
    <mergeCell ref="B75:B76"/>
    <mergeCell ref="C75:C76"/>
    <mergeCell ref="D75:D76"/>
    <mergeCell ref="E75:E76"/>
    <mergeCell ref="F75:F76"/>
    <mergeCell ref="W75:W76"/>
    <mergeCell ref="A85:B85"/>
    <mergeCell ref="C85:D85"/>
    <mergeCell ref="E85:F85"/>
    <mergeCell ref="G85:H85"/>
    <mergeCell ref="I85:N85"/>
    <mergeCell ref="O85:P85"/>
    <mergeCell ref="Q85:W85"/>
    <mergeCell ref="G75:L75"/>
    <mergeCell ref="M75:M76"/>
    <mergeCell ref="N75:N76"/>
    <mergeCell ref="O75:O76"/>
    <mergeCell ref="P75:P76"/>
    <mergeCell ref="Q75:V75"/>
    <mergeCell ref="A86:B86"/>
    <mergeCell ref="C86:N86"/>
    <mergeCell ref="O86:P86"/>
    <mergeCell ref="Q86:W86"/>
    <mergeCell ref="A87:A88"/>
    <mergeCell ref="B87:B88"/>
    <mergeCell ref="C87:C88"/>
    <mergeCell ref="D87:D88"/>
    <mergeCell ref="E87:E88"/>
    <mergeCell ref="F87:F88"/>
    <mergeCell ref="W87:W88"/>
    <mergeCell ref="A97:B97"/>
    <mergeCell ref="C97:D97"/>
    <mergeCell ref="E97:F97"/>
    <mergeCell ref="G97:H97"/>
    <mergeCell ref="I97:N97"/>
    <mergeCell ref="O97:P97"/>
    <mergeCell ref="Q97:W97"/>
    <mergeCell ref="G87:L87"/>
    <mergeCell ref="M87:M88"/>
    <mergeCell ref="N87:N88"/>
    <mergeCell ref="O87:O88"/>
    <mergeCell ref="P87:P88"/>
    <mergeCell ref="Q87:V87"/>
    <mergeCell ref="A98:B98"/>
    <mergeCell ref="C98:N98"/>
    <mergeCell ref="O98:P98"/>
    <mergeCell ref="Q98:W98"/>
    <mergeCell ref="A99:A100"/>
    <mergeCell ref="B99:B100"/>
    <mergeCell ref="C99:C100"/>
    <mergeCell ref="D99:D100"/>
    <mergeCell ref="E99:E100"/>
    <mergeCell ref="F99:F100"/>
    <mergeCell ref="W99:W100"/>
    <mergeCell ref="A109:B109"/>
    <mergeCell ref="C109:D109"/>
    <mergeCell ref="E109:F109"/>
    <mergeCell ref="G109:H109"/>
    <mergeCell ref="I109:N109"/>
    <mergeCell ref="O109:P109"/>
    <mergeCell ref="Q109:W109"/>
    <mergeCell ref="G99:L99"/>
    <mergeCell ref="M99:M100"/>
    <mergeCell ref="N99:N100"/>
    <mergeCell ref="O99:O100"/>
    <mergeCell ref="P99:P100"/>
    <mergeCell ref="Q99:V99"/>
    <mergeCell ref="W111:W112"/>
    <mergeCell ref="G111:L111"/>
    <mergeCell ref="M111:M112"/>
    <mergeCell ref="N111:N112"/>
    <mergeCell ref="O111:O112"/>
    <mergeCell ref="P111:P112"/>
    <mergeCell ref="Q111:V111"/>
    <mergeCell ref="A110:B110"/>
    <mergeCell ref="C110:N110"/>
    <mergeCell ref="O110:P110"/>
    <mergeCell ref="Q110:W110"/>
    <mergeCell ref="A111:A112"/>
    <mergeCell ref="B111:B112"/>
    <mergeCell ref="C111:C112"/>
    <mergeCell ref="D111:D112"/>
    <mergeCell ref="E111:E112"/>
    <mergeCell ref="F111:F112"/>
    <mergeCell ref="A133:B133"/>
    <mergeCell ref="C133:D133"/>
    <mergeCell ref="E133:F133"/>
    <mergeCell ref="G133:H133"/>
    <mergeCell ref="I133:N133"/>
    <mergeCell ref="O133:P133"/>
    <mergeCell ref="Q133:W133"/>
    <mergeCell ref="A134:B134"/>
    <mergeCell ref="C134:N134"/>
    <mergeCell ref="O134:P134"/>
    <mergeCell ref="Q134:W134"/>
    <mergeCell ref="O135:O136"/>
    <mergeCell ref="P135:P136"/>
    <mergeCell ref="Q135:V135"/>
    <mergeCell ref="W135:W136"/>
    <mergeCell ref="A145:B145"/>
    <mergeCell ref="C145:D145"/>
    <mergeCell ref="E145:F145"/>
    <mergeCell ref="G145:H145"/>
    <mergeCell ref="I145:N145"/>
    <mergeCell ref="O145:P145"/>
    <mergeCell ref="Q145:W145"/>
    <mergeCell ref="A135:A136"/>
    <mergeCell ref="B135:B136"/>
    <mergeCell ref="C135:C136"/>
    <mergeCell ref="D135:D136"/>
    <mergeCell ref="E135:E136"/>
    <mergeCell ref="F135:F136"/>
    <mergeCell ref="G135:L135"/>
    <mergeCell ref="M135:M136"/>
    <mergeCell ref="N135:N136"/>
    <mergeCell ref="A146:B146"/>
    <mergeCell ref="C146:N146"/>
    <mergeCell ref="O146:P146"/>
    <mergeCell ref="Q146:W146"/>
    <mergeCell ref="A147:A148"/>
    <mergeCell ref="B147:B148"/>
    <mergeCell ref="C147:C148"/>
    <mergeCell ref="D147:D148"/>
    <mergeCell ref="E147:E148"/>
    <mergeCell ref="F147:F148"/>
    <mergeCell ref="G147:L147"/>
    <mergeCell ref="M147:M148"/>
    <mergeCell ref="N147:N148"/>
    <mergeCell ref="O147:O148"/>
    <mergeCell ref="P147:P148"/>
    <mergeCell ref="Q147:V147"/>
    <mergeCell ref="W147:W148"/>
    <mergeCell ref="A157:B157"/>
    <mergeCell ref="C157:D157"/>
    <mergeCell ref="E157:F157"/>
    <mergeCell ref="G157:H157"/>
    <mergeCell ref="I157:N157"/>
    <mergeCell ref="O157:P157"/>
    <mergeCell ref="Q157:W157"/>
    <mergeCell ref="A158:B158"/>
    <mergeCell ref="C158:N158"/>
    <mergeCell ref="O158:P158"/>
    <mergeCell ref="Q158:W158"/>
    <mergeCell ref="O159:O160"/>
    <mergeCell ref="P159:P160"/>
    <mergeCell ref="Q159:V159"/>
    <mergeCell ref="W159:W160"/>
    <mergeCell ref="A169:B169"/>
    <mergeCell ref="C169:D169"/>
    <mergeCell ref="E169:F169"/>
    <mergeCell ref="G169:H169"/>
    <mergeCell ref="I169:N169"/>
    <mergeCell ref="O169:P169"/>
    <mergeCell ref="Q169:W169"/>
    <mergeCell ref="A159:A160"/>
    <mergeCell ref="B159:B160"/>
    <mergeCell ref="C159:C160"/>
    <mergeCell ref="D159:D160"/>
    <mergeCell ref="E159:E160"/>
    <mergeCell ref="F159:F160"/>
    <mergeCell ref="G159:L159"/>
    <mergeCell ref="M159:M160"/>
    <mergeCell ref="N159:N160"/>
    <mergeCell ref="A170:B170"/>
    <mergeCell ref="C170:N170"/>
    <mergeCell ref="O170:P170"/>
    <mergeCell ref="Q170:W170"/>
    <mergeCell ref="A171:A172"/>
    <mergeCell ref="B171:B172"/>
    <mergeCell ref="C171:C172"/>
    <mergeCell ref="D171:D172"/>
    <mergeCell ref="E171:E172"/>
    <mergeCell ref="F171:F172"/>
    <mergeCell ref="G171:L171"/>
    <mergeCell ref="M171:M172"/>
    <mergeCell ref="N171:N172"/>
    <mergeCell ref="O171:O172"/>
    <mergeCell ref="P171:P172"/>
    <mergeCell ref="Q171:V171"/>
    <mergeCell ref="W171:W172"/>
    <mergeCell ref="A181:B181"/>
    <mergeCell ref="C181:D181"/>
    <mergeCell ref="E181:F181"/>
    <mergeCell ref="G181:H181"/>
    <mergeCell ref="I181:N181"/>
    <mergeCell ref="O181:P181"/>
    <mergeCell ref="Q181:W181"/>
    <mergeCell ref="A182:B182"/>
    <mergeCell ref="C182:N182"/>
    <mergeCell ref="O182:P182"/>
    <mergeCell ref="Q182:W182"/>
    <mergeCell ref="O183:O184"/>
    <mergeCell ref="P183:P184"/>
    <mergeCell ref="Q183:V183"/>
    <mergeCell ref="W183:W184"/>
    <mergeCell ref="A193:B193"/>
    <mergeCell ref="C193:D193"/>
    <mergeCell ref="E193:F193"/>
    <mergeCell ref="G193:H193"/>
    <mergeCell ref="I193:N193"/>
    <mergeCell ref="O193:P193"/>
    <mergeCell ref="Q193:W193"/>
    <mergeCell ref="A183:A184"/>
    <mergeCell ref="B183:B184"/>
    <mergeCell ref="C183:C184"/>
    <mergeCell ref="D183:D184"/>
    <mergeCell ref="E183:E184"/>
    <mergeCell ref="F183:F184"/>
    <mergeCell ref="G183:L183"/>
    <mergeCell ref="M183:M184"/>
    <mergeCell ref="N183:N184"/>
    <mergeCell ref="A194:B194"/>
    <mergeCell ref="C194:N194"/>
    <mergeCell ref="O194:P194"/>
    <mergeCell ref="Q194:W194"/>
    <mergeCell ref="A195:A196"/>
    <mergeCell ref="B195:B196"/>
    <mergeCell ref="C195:C196"/>
    <mergeCell ref="D195:D196"/>
    <mergeCell ref="E195:E196"/>
    <mergeCell ref="F195:F196"/>
    <mergeCell ref="G195:L195"/>
    <mergeCell ref="M195:M196"/>
    <mergeCell ref="N195:N196"/>
    <mergeCell ref="O195:O196"/>
    <mergeCell ref="P195:P196"/>
    <mergeCell ref="Q195:V195"/>
    <mergeCell ref="W195:W196"/>
    <mergeCell ref="A205:B205"/>
    <mergeCell ref="C205:D205"/>
    <mergeCell ref="E205:F205"/>
    <mergeCell ref="G205:H205"/>
    <mergeCell ref="I205:N205"/>
    <mergeCell ref="O205:P205"/>
    <mergeCell ref="Q205:W205"/>
    <mergeCell ref="A206:B206"/>
    <mergeCell ref="C206:N206"/>
    <mergeCell ref="O206:P206"/>
    <mergeCell ref="Q206:W206"/>
    <mergeCell ref="O207:O208"/>
    <mergeCell ref="P207:P208"/>
    <mergeCell ref="Q207:V207"/>
    <mergeCell ref="W207:W208"/>
    <mergeCell ref="A217:B217"/>
    <mergeCell ref="C217:D217"/>
    <mergeCell ref="E217:F217"/>
    <mergeCell ref="G217:H217"/>
    <mergeCell ref="I217:N217"/>
    <mergeCell ref="O217:P217"/>
    <mergeCell ref="Q217:W217"/>
    <mergeCell ref="A207:A208"/>
    <mergeCell ref="B207:B208"/>
    <mergeCell ref="C207:C208"/>
    <mergeCell ref="D207:D208"/>
    <mergeCell ref="E207:E208"/>
    <mergeCell ref="F207:F208"/>
    <mergeCell ref="G207:L207"/>
    <mergeCell ref="M207:M208"/>
    <mergeCell ref="N207:N208"/>
    <mergeCell ref="A218:B218"/>
    <mergeCell ref="C218:N218"/>
    <mergeCell ref="O218:P218"/>
    <mergeCell ref="Q218:W218"/>
    <mergeCell ref="A219:A220"/>
    <mergeCell ref="B219:B220"/>
    <mergeCell ref="C219:C220"/>
    <mergeCell ref="D219:D220"/>
    <mergeCell ref="E219:E220"/>
    <mergeCell ref="F219:F220"/>
    <mergeCell ref="G219:L219"/>
    <mergeCell ref="M219:M220"/>
    <mergeCell ref="N219:N220"/>
    <mergeCell ref="O219:O220"/>
    <mergeCell ref="P219:P220"/>
    <mergeCell ref="Q219:V219"/>
    <mergeCell ref="W219:W220"/>
    <mergeCell ref="A229:B229"/>
    <mergeCell ref="C229:D229"/>
    <mergeCell ref="E229:F229"/>
    <mergeCell ref="G229:H229"/>
    <mergeCell ref="I229:N229"/>
    <mergeCell ref="O229:P229"/>
    <mergeCell ref="Q229:W229"/>
    <mergeCell ref="A230:B230"/>
    <mergeCell ref="C230:N230"/>
    <mergeCell ref="O230:P230"/>
    <mergeCell ref="Q230:W230"/>
    <mergeCell ref="O231:O232"/>
    <mergeCell ref="P231:P232"/>
    <mergeCell ref="Q231:V231"/>
    <mergeCell ref="W231:W232"/>
    <mergeCell ref="A231:A232"/>
    <mergeCell ref="B231:B232"/>
    <mergeCell ref="C231:C232"/>
    <mergeCell ref="D231:D232"/>
    <mergeCell ref="E231:E232"/>
    <mergeCell ref="F231:F232"/>
    <mergeCell ref="G231:L231"/>
    <mergeCell ref="M231:M232"/>
    <mergeCell ref="N231:N23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1A1D-BF71-41E5-9100-4FD0C3367422}">
  <dimension ref="A1:W239"/>
  <sheetViews>
    <sheetView topLeftCell="A220" workbookViewId="0">
      <selection activeCell="I134" sqref="I134:N134"/>
    </sheetView>
  </sheetViews>
  <sheetFormatPr baseColWidth="10" defaultRowHeight="15" x14ac:dyDescent="0.25"/>
  <cols>
    <col min="1" max="1" width="10.28515625" customWidth="1"/>
    <col min="2" max="2" width="9.28515625" customWidth="1"/>
    <col min="3" max="3" width="13" customWidth="1"/>
    <col min="4" max="4" width="12.7109375" bestFit="1" customWidth="1"/>
    <col min="5" max="5" width="9.85546875" customWidth="1"/>
    <col min="7" max="7" width="5.7109375" customWidth="1"/>
    <col min="8" max="8" width="5.42578125" customWidth="1"/>
    <col min="9" max="9" width="6.28515625" customWidth="1"/>
    <col min="10" max="10" width="7" customWidth="1"/>
    <col min="11" max="11" width="6.7109375" customWidth="1"/>
    <col min="12" max="12" width="7.28515625" customWidth="1"/>
    <col min="13" max="13" width="9.7109375" customWidth="1"/>
    <col min="14" max="14" width="11.42578125" customWidth="1"/>
    <col min="15" max="15" width="9.42578125" customWidth="1"/>
    <col min="17" max="17" width="5.85546875" customWidth="1"/>
    <col min="18" max="18" width="5.5703125" customWidth="1"/>
    <col min="19" max="19" width="6" customWidth="1"/>
    <col min="20" max="21" width="5.7109375" customWidth="1"/>
    <col min="22" max="22" width="5.42578125" customWidth="1"/>
    <col min="23" max="23" width="10" customWidth="1"/>
  </cols>
  <sheetData>
    <row r="1" spans="1:23" ht="15.75" thickBot="1" x14ac:dyDescent="0.3"/>
    <row r="2" spans="1:23" ht="15.75" x14ac:dyDescent="0.25">
      <c r="A2" s="100" t="s">
        <v>260</v>
      </c>
      <c r="B2" s="101"/>
      <c r="C2" s="111" t="s">
        <v>510</v>
      </c>
      <c r="D2" s="112"/>
      <c r="E2" s="111" t="s">
        <v>511</v>
      </c>
      <c r="F2" s="112"/>
      <c r="G2" s="101" t="s">
        <v>4</v>
      </c>
      <c r="H2" s="101"/>
      <c r="I2" s="102" t="s">
        <v>366</v>
      </c>
      <c r="J2" s="102"/>
      <c r="K2" s="102"/>
      <c r="L2" s="102"/>
      <c r="M2" s="102"/>
      <c r="N2" s="102"/>
      <c r="O2" s="101" t="s">
        <v>6</v>
      </c>
      <c r="P2" s="101"/>
      <c r="Q2" s="103"/>
      <c r="R2" s="104"/>
      <c r="S2" s="104"/>
      <c r="T2" s="104"/>
      <c r="U2" s="104"/>
      <c r="V2" s="104"/>
      <c r="W2" s="105"/>
    </row>
    <row r="3" spans="1:23" ht="15.75" x14ac:dyDescent="0.25">
      <c r="A3" s="106" t="s">
        <v>7</v>
      </c>
      <c r="B3" s="107"/>
      <c r="C3" s="116" t="s">
        <v>44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09"/>
      <c r="P3" s="109"/>
      <c r="Q3" s="107"/>
      <c r="R3" s="107"/>
      <c r="S3" s="107"/>
      <c r="T3" s="107"/>
      <c r="U3" s="107"/>
      <c r="V3" s="107"/>
      <c r="W3" s="110"/>
    </row>
    <row r="4" spans="1:23" x14ac:dyDescent="0.25">
      <c r="A4" s="113" t="s">
        <v>8</v>
      </c>
      <c r="B4" s="114" t="s">
        <v>9</v>
      </c>
      <c r="C4" s="114" t="s">
        <v>10</v>
      </c>
      <c r="D4" s="114" t="s">
        <v>11</v>
      </c>
      <c r="E4" s="114" t="s">
        <v>12</v>
      </c>
      <c r="F4" s="114" t="s">
        <v>13</v>
      </c>
      <c r="G4" s="114" t="s">
        <v>14</v>
      </c>
      <c r="H4" s="114"/>
      <c r="I4" s="114"/>
      <c r="J4" s="114"/>
      <c r="K4" s="114"/>
      <c r="L4" s="114"/>
      <c r="M4" s="114" t="s">
        <v>15</v>
      </c>
      <c r="N4" s="114" t="s">
        <v>16</v>
      </c>
      <c r="O4" s="114" t="s">
        <v>17</v>
      </c>
      <c r="P4" s="114" t="s">
        <v>18</v>
      </c>
      <c r="Q4" s="114" t="s">
        <v>19</v>
      </c>
      <c r="R4" s="114"/>
      <c r="S4" s="114"/>
      <c r="T4" s="114"/>
      <c r="U4" s="114"/>
      <c r="V4" s="114"/>
      <c r="W4" s="115" t="s">
        <v>20</v>
      </c>
    </row>
    <row r="5" spans="1:23" x14ac:dyDescent="0.25">
      <c r="A5" s="113"/>
      <c r="B5" s="114"/>
      <c r="C5" s="114"/>
      <c r="D5" s="114"/>
      <c r="E5" s="114"/>
      <c r="F5" s="114"/>
      <c r="G5" s="31" t="s">
        <v>21</v>
      </c>
      <c r="H5" s="31" t="s">
        <v>21</v>
      </c>
      <c r="I5" s="31" t="s">
        <v>21</v>
      </c>
      <c r="J5" s="31" t="s">
        <v>22</v>
      </c>
      <c r="K5" s="31" t="s">
        <v>22</v>
      </c>
      <c r="L5" s="32" t="s">
        <v>22</v>
      </c>
      <c r="M5" s="138"/>
      <c r="N5" s="114"/>
      <c r="O5" s="114"/>
      <c r="P5" s="114"/>
      <c r="Q5" s="31" t="s">
        <v>21</v>
      </c>
      <c r="R5" s="31" t="s">
        <v>21</v>
      </c>
      <c r="S5" s="31" t="s">
        <v>21</v>
      </c>
      <c r="T5" s="31" t="s">
        <v>22</v>
      </c>
      <c r="U5" s="31" t="s">
        <v>22</v>
      </c>
      <c r="V5" s="31" t="s">
        <v>22</v>
      </c>
      <c r="W5" s="115"/>
    </row>
    <row r="6" spans="1:23" ht="15.75" x14ac:dyDescent="0.25">
      <c r="A6" s="5">
        <v>1</v>
      </c>
      <c r="B6" s="21" t="s">
        <v>251</v>
      </c>
      <c r="C6" s="20">
        <v>46108</v>
      </c>
      <c r="D6" s="36"/>
      <c r="E6" s="21"/>
      <c r="F6" s="21"/>
      <c r="G6" s="21"/>
      <c r="H6" s="21"/>
      <c r="I6" s="21"/>
      <c r="J6" s="21"/>
      <c r="K6" s="24"/>
      <c r="L6" s="29"/>
      <c r="M6" s="57"/>
      <c r="O6" s="21"/>
      <c r="P6" s="21"/>
      <c r="Q6" s="21"/>
      <c r="R6" s="21"/>
      <c r="S6" s="21"/>
      <c r="T6" s="21"/>
      <c r="U6" s="21"/>
      <c r="V6" s="21"/>
      <c r="W6" s="22"/>
    </row>
    <row r="7" spans="1:23" ht="15.75" x14ac:dyDescent="0.25">
      <c r="A7" s="6">
        <v>2</v>
      </c>
      <c r="B7" s="21"/>
      <c r="C7" s="13"/>
      <c r="D7" s="8"/>
      <c r="E7" s="8"/>
      <c r="F7" s="8"/>
      <c r="G7" s="8"/>
      <c r="H7" s="8"/>
      <c r="I7" s="8"/>
      <c r="J7" s="8"/>
      <c r="K7" s="25"/>
      <c r="L7" s="30"/>
      <c r="M7" s="57"/>
      <c r="N7" s="26"/>
      <c r="O7" s="8"/>
      <c r="P7" s="8"/>
      <c r="Q7" s="8"/>
      <c r="R7" s="8"/>
      <c r="S7" s="8"/>
      <c r="T7" s="8"/>
      <c r="U7" s="8"/>
      <c r="V7" s="8"/>
      <c r="W7" s="9"/>
    </row>
    <row r="8" spans="1:23" ht="15.75" x14ac:dyDescent="0.25">
      <c r="A8" s="6">
        <v>3</v>
      </c>
      <c r="B8" s="8"/>
      <c r="C8" s="8"/>
      <c r="D8" s="8"/>
      <c r="E8" s="8"/>
      <c r="F8" s="8"/>
      <c r="G8" s="8"/>
      <c r="H8" s="8"/>
      <c r="I8" s="8"/>
      <c r="J8" s="8"/>
      <c r="K8" s="8"/>
      <c r="L8" s="27"/>
      <c r="M8" s="27"/>
      <c r="N8" s="8"/>
      <c r="O8" s="8"/>
      <c r="P8" s="8"/>
      <c r="Q8" s="8"/>
      <c r="R8" s="8"/>
      <c r="S8" s="8"/>
      <c r="T8" s="8"/>
      <c r="U8" s="8"/>
      <c r="V8" s="8"/>
      <c r="W8" s="9"/>
    </row>
    <row r="9" spans="1:23" ht="15.75" x14ac:dyDescent="0.25">
      <c r="A9" s="5">
        <v>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</row>
    <row r="10" spans="1:23" ht="15.75" x14ac:dyDescent="0.25">
      <c r="A10" s="5">
        <v>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</row>
    <row r="11" spans="1:23" ht="16.5" thickBot="1" x14ac:dyDescent="0.3">
      <c r="A11" s="7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3" spans="1:23" ht="15.75" thickBot="1" x14ac:dyDescent="0.3"/>
    <row r="14" spans="1:23" ht="15.75" x14ac:dyDescent="0.25">
      <c r="A14" s="100" t="s">
        <v>260</v>
      </c>
      <c r="B14" s="101"/>
      <c r="C14" s="111" t="s">
        <v>512</v>
      </c>
      <c r="D14" s="112"/>
      <c r="E14" s="111" t="s">
        <v>511</v>
      </c>
      <c r="F14" s="112"/>
      <c r="G14" s="101" t="s">
        <v>4</v>
      </c>
      <c r="H14" s="101"/>
      <c r="I14" s="102" t="s">
        <v>366</v>
      </c>
      <c r="J14" s="102"/>
      <c r="K14" s="102"/>
      <c r="L14" s="102"/>
      <c r="M14" s="102"/>
      <c r="N14" s="102"/>
      <c r="O14" s="101" t="s">
        <v>6</v>
      </c>
      <c r="P14" s="101"/>
      <c r="Q14" s="103"/>
      <c r="R14" s="104"/>
      <c r="S14" s="104"/>
      <c r="T14" s="104"/>
      <c r="U14" s="104"/>
      <c r="V14" s="104"/>
      <c r="W14" s="105"/>
    </row>
    <row r="15" spans="1:23" ht="15.75" x14ac:dyDescent="0.25">
      <c r="A15" s="106" t="s">
        <v>7</v>
      </c>
      <c r="B15" s="107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7"/>
      <c r="R15" s="107"/>
      <c r="S15" s="107"/>
      <c r="T15" s="107"/>
      <c r="U15" s="107"/>
      <c r="V15" s="107"/>
      <c r="W15" s="110"/>
    </row>
    <row r="16" spans="1:23" x14ac:dyDescent="0.25">
      <c r="A16" s="113" t="s">
        <v>8</v>
      </c>
      <c r="B16" s="114" t="s">
        <v>9</v>
      </c>
      <c r="C16" s="114" t="s">
        <v>10</v>
      </c>
      <c r="D16" s="114" t="s">
        <v>11</v>
      </c>
      <c r="E16" s="114" t="s">
        <v>12</v>
      </c>
      <c r="F16" s="114" t="s">
        <v>13</v>
      </c>
      <c r="G16" s="114" t="s">
        <v>14</v>
      </c>
      <c r="H16" s="114"/>
      <c r="I16" s="114"/>
      <c r="J16" s="114"/>
      <c r="K16" s="114"/>
      <c r="L16" s="114"/>
      <c r="M16" s="114" t="s">
        <v>15</v>
      </c>
      <c r="N16" s="114" t="s">
        <v>16</v>
      </c>
      <c r="O16" s="114" t="s">
        <v>17</v>
      </c>
      <c r="P16" s="114" t="s">
        <v>18</v>
      </c>
      <c r="Q16" s="114" t="s">
        <v>19</v>
      </c>
      <c r="R16" s="114"/>
      <c r="S16" s="114"/>
      <c r="T16" s="114"/>
      <c r="U16" s="114"/>
      <c r="V16" s="114"/>
      <c r="W16" s="115" t="s">
        <v>20</v>
      </c>
    </row>
    <row r="17" spans="1:23" x14ac:dyDescent="0.25">
      <c r="A17" s="113"/>
      <c r="B17" s="114"/>
      <c r="C17" s="114"/>
      <c r="D17" s="114"/>
      <c r="E17" s="114"/>
      <c r="F17" s="114"/>
      <c r="G17" s="31" t="s">
        <v>21</v>
      </c>
      <c r="H17" s="31" t="s">
        <v>21</v>
      </c>
      <c r="I17" s="31" t="s">
        <v>21</v>
      </c>
      <c r="J17" s="31" t="s">
        <v>22</v>
      </c>
      <c r="K17" s="31" t="s">
        <v>22</v>
      </c>
      <c r="L17" s="32" t="s">
        <v>22</v>
      </c>
      <c r="M17" s="138"/>
      <c r="N17" s="114"/>
      <c r="O17" s="114"/>
      <c r="P17" s="114"/>
      <c r="Q17" s="31" t="s">
        <v>21</v>
      </c>
      <c r="R17" s="31" t="s">
        <v>21</v>
      </c>
      <c r="S17" s="31" t="s">
        <v>21</v>
      </c>
      <c r="T17" s="31" t="s">
        <v>22</v>
      </c>
      <c r="U17" s="31" t="s">
        <v>22</v>
      </c>
      <c r="V17" s="31" t="s">
        <v>22</v>
      </c>
      <c r="W17" s="115"/>
    </row>
    <row r="18" spans="1:23" ht="15.75" x14ac:dyDescent="0.25">
      <c r="A18" s="5">
        <v>1</v>
      </c>
      <c r="B18" s="21" t="s">
        <v>251</v>
      </c>
      <c r="C18" s="20">
        <v>46108</v>
      </c>
      <c r="D18" s="36"/>
      <c r="E18" s="21"/>
      <c r="F18" s="21"/>
      <c r="G18" s="21"/>
      <c r="H18" s="21"/>
      <c r="I18" s="21"/>
      <c r="J18" s="21"/>
      <c r="K18" s="24"/>
      <c r="L18" s="29"/>
      <c r="M18" s="57"/>
      <c r="O18" s="21"/>
      <c r="P18" s="21"/>
      <c r="Q18" s="21"/>
      <c r="R18" s="21"/>
      <c r="S18" s="21"/>
      <c r="T18" s="21"/>
      <c r="U18" s="21"/>
      <c r="V18" s="21"/>
      <c r="W18" s="22"/>
    </row>
    <row r="19" spans="1:23" ht="15.75" x14ac:dyDescent="0.25">
      <c r="A19" s="6">
        <v>2</v>
      </c>
      <c r="B19" s="21"/>
      <c r="C19" s="13"/>
      <c r="D19" s="8"/>
      <c r="E19" s="8"/>
      <c r="F19" s="8"/>
      <c r="G19" s="8"/>
      <c r="H19" s="8"/>
      <c r="I19" s="8"/>
      <c r="J19" s="8"/>
      <c r="K19" s="25"/>
      <c r="L19" s="30"/>
      <c r="M19" s="57"/>
      <c r="N19" s="26"/>
      <c r="O19" s="8"/>
      <c r="P19" s="8"/>
      <c r="Q19" s="8"/>
      <c r="R19" s="8"/>
      <c r="S19" s="8"/>
      <c r="T19" s="8"/>
      <c r="U19" s="8"/>
      <c r="V19" s="8"/>
      <c r="W19" s="9"/>
    </row>
    <row r="20" spans="1:23" ht="15.75" x14ac:dyDescent="0.25">
      <c r="A20" s="6">
        <v>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27"/>
      <c r="M20" s="27"/>
      <c r="N20" s="8"/>
      <c r="O20" s="8"/>
      <c r="P20" s="8"/>
      <c r="Q20" s="8"/>
      <c r="R20" s="8"/>
      <c r="S20" s="8"/>
      <c r="T20" s="8"/>
      <c r="U20" s="8"/>
      <c r="V20" s="8"/>
      <c r="W20" s="9"/>
    </row>
    <row r="21" spans="1:23" ht="15.75" x14ac:dyDescent="0.25">
      <c r="A21" s="5">
        <v>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ht="15.75" x14ac:dyDescent="0.25">
      <c r="A22" s="5">
        <v>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</row>
    <row r="23" spans="1:23" ht="16.5" thickBot="1" x14ac:dyDescent="0.3">
      <c r="A23" s="7">
        <v>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5" spans="1:23" ht="15.75" thickBot="1" x14ac:dyDescent="0.3"/>
    <row r="26" spans="1:23" ht="15.75" x14ac:dyDescent="0.25">
      <c r="A26" s="100" t="s">
        <v>260</v>
      </c>
      <c r="B26" s="101"/>
      <c r="C26" s="111" t="s">
        <v>513</v>
      </c>
      <c r="D26" s="112"/>
      <c r="E26" s="111" t="s">
        <v>511</v>
      </c>
      <c r="F26" s="112"/>
      <c r="G26" s="101" t="s">
        <v>4</v>
      </c>
      <c r="H26" s="101"/>
      <c r="I26" s="102" t="s">
        <v>366</v>
      </c>
      <c r="J26" s="102"/>
      <c r="K26" s="102"/>
      <c r="L26" s="102"/>
      <c r="M26" s="102"/>
      <c r="N26" s="102"/>
      <c r="O26" s="101" t="s">
        <v>6</v>
      </c>
      <c r="P26" s="101"/>
      <c r="Q26" s="103"/>
      <c r="R26" s="104"/>
      <c r="S26" s="104"/>
      <c r="T26" s="104"/>
      <c r="U26" s="104"/>
      <c r="V26" s="104"/>
      <c r="W26" s="105"/>
    </row>
    <row r="27" spans="1:23" ht="15.75" x14ac:dyDescent="0.25">
      <c r="A27" s="106" t="s">
        <v>7</v>
      </c>
      <c r="B27" s="107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7"/>
      <c r="R27" s="107"/>
      <c r="S27" s="107"/>
      <c r="T27" s="107"/>
      <c r="U27" s="107"/>
      <c r="V27" s="107"/>
      <c r="W27" s="110"/>
    </row>
    <row r="28" spans="1:23" x14ac:dyDescent="0.25">
      <c r="A28" s="113" t="s">
        <v>8</v>
      </c>
      <c r="B28" s="114" t="s">
        <v>9</v>
      </c>
      <c r="C28" s="114" t="s">
        <v>10</v>
      </c>
      <c r="D28" s="114" t="s">
        <v>11</v>
      </c>
      <c r="E28" s="114" t="s">
        <v>12</v>
      </c>
      <c r="F28" s="114" t="s">
        <v>13</v>
      </c>
      <c r="G28" s="114" t="s">
        <v>14</v>
      </c>
      <c r="H28" s="114"/>
      <c r="I28" s="114"/>
      <c r="J28" s="114"/>
      <c r="K28" s="114"/>
      <c r="L28" s="114"/>
      <c r="M28" s="114" t="s">
        <v>15</v>
      </c>
      <c r="N28" s="114" t="s">
        <v>16</v>
      </c>
      <c r="O28" s="114" t="s">
        <v>17</v>
      </c>
      <c r="P28" s="114" t="s">
        <v>18</v>
      </c>
      <c r="Q28" s="114" t="s">
        <v>19</v>
      </c>
      <c r="R28" s="114"/>
      <c r="S28" s="114"/>
      <c r="T28" s="114"/>
      <c r="U28" s="114"/>
      <c r="V28" s="114"/>
      <c r="W28" s="115" t="s">
        <v>20</v>
      </c>
    </row>
    <row r="29" spans="1:23" x14ac:dyDescent="0.25">
      <c r="A29" s="113"/>
      <c r="B29" s="114"/>
      <c r="C29" s="114"/>
      <c r="D29" s="114"/>
      <c r="E29" s="114"/>
      <c r="F29" s="114"/>
      <c r="G29" s="31" t="s">
        <v>21</v>
      </c>
      <c r="H29" s="31" t="s">
        <v>21</v>
      </c>
      <c r="I29" s="31" t="s">
        <v>21</v>
      </c>
      <c r="J29" s="31" t="s">
        <v>22</v>
      </c>
      <c r="K29" s="31" t="s">
        <v>22</v>
      </c>
      <c r="L29" s="32" t="s">
        <v>22</v>
      </c>
      <c r="M29" s="138"/>
      <c r="N29" s="114"/>
      <c r="O29" s="114"/>
      <c r="P29" s="114"/>
      <c r="Q29" s="31" t="s">
        <v>21</v>
      </c>
      <c r="R29" s="31" t="s">
        <v>21</v>
      </c>
      <c r="S29" s="31" t="s">
        <v>21</v>
      </c>
      <c r="T29" s="31" t="s">
        <v>22</v>
      </c>
      <c r="U29" s="31" t="s">
        <v>22</v>
      </c>
      <c r="V29" s="31" t="s">
        <v>22</v>
      </c>
      <c r="W29" s="115"/>
    </row>
    <row r="30" spans="1:23" ht="15.75" x14ac:dyDescent="0.25">
      <c r="A30" s="5">
        <v>1</v>
      </c>
      <c r="B30" s="21" t="s">
        <v>251</v>
      </c>
      <c r="C30" s="20">
        <v>46108</v>
      </c>
      <c r="D30" s="36"/>
      <c r="E30" s="21"/>
      <c r="F30" s="21"/>
      <c r="G30" s="21"/>
      <c r="H30" s="21"/>
      <c r="I30" s="21"/>
      <c r="J30" s="21"/>
      <c r="K30" s="24"/>
      <c r="L30" s="29"/>
      <c r="M30" s="57"/>
      <c r="O30" s="21"/>
      <c r="P30" s="21"/>
      <c r="Q30" s="21"/>
      <c r="R30" s="21"/>
      <c r="S30" s="21"/>
      <c r="T30" s="21"/>
      <c r="U30" s="21"/>
      <c r="V30" s="21"/>
      <c r="W30" s="22"/>
    </row>
    <row r="31" spans="1:23" ht="15.75" x14ac:dyDescent="0.25">
      <c r="A31" s="6">
        <v>2</v>
      </c>
      <c r="B31" s="21"/>
      <c r="C31" s="13"/>
      <c r="D31" s="8"/>
      <c r="E31" s="8"/>
      <c r="F31" s="8"/>
      <c r="G31" s="8"/>
      <c r="H31" s="8"/>
      <c r="I31" s="8"/>
      <c r="J31" s="8"/>
      <c r="K31" s="25"/>
      <c r="L31" s="30"/>
      <c r="M31" s="57"/>
      <c r="N31" s="26"/>
      <c r="O31" s="8"/>
      <c r="P31" s="8"/>
      <c r="Q31" s="8"/>
      <c r="R31" s="8"/>
      <c r="S31" s="8"/>
      <c r="T31" s="8"/>
      <c r="U31" s="8"/>
      <c r="V31" s="8"/>
      <c r="W31" s="9"/>
    </row>
    <row r="32" spans="1:23" ht="15.75" x14ac:dyDescent="0.25">
      <c r="A32" s="6">
        <v>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27"/>
      <c r="M32" s="27"/>
      <c r="N32" s="8"/>
      <c r="O32" s="8"/>
      <c r="P32" s="8"/>
      <c r="Q32" s="8"/>
      <c r="R32" s="8"/>
      <c r="S32" s="8"/>
      <c r="T32" s="8"/>
      <c r="U32" s="8"/>
      <c r="V32" s="8"/>
      <c r="W32" s="9"/>
    </row>
    <row r="33" spans="1:23" ht="15.75" x14ac:dyDescent="0.25">
      <c r="A33" s="5">
        <v>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</row>
    <row r="34" spans="1:23" ht="15.75" x14ac:dyDescent="0.25">
      <c r="A34" s="5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</row>
    <row r="35" spans="1:23" ht="16.5" thickBot="1" x14ac:dyDescent="0.3">
      <c r="A35" s="7">
        <v>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7" spans="1:23" ht="15.75" thickBot="1" x14ac:dyDescent="0.3"/>
    <row r="38" spans="1:23" ht="15.75" x14ac:dyDescent="0.25">
      <c r="A38" s="100" t="s">
        <v>260</v>
      </c>
      <c r="B38" s="101"/>
      <c r="C38" s="111" t="s">
        <v>514</v>
      </c>
      <c r="D38" s="112"/>
      <c r="E38" s="111" t="s">
        <v>511</v>
      </c>
      <c r="F38" s="112"/>
      <c r="G38" s="101" t="s">
        <v>4</v>
      </c>
      <c r="H38" s="101"/>
      <c r="I38" s="102" t="s">
        <v>366</v>
      </c>
      <c r="J38" s="102"/>
      <c r="K38" s="102"/>
      <c r="L38" s="102"/>
      <c r="M38" s="102"/>
      <c r="N38" s="102"/>
      <c r="O38" s="101" t="s">
        <v>6</v>
      </c>
      <c r="P38" s="101"/>
      <c r="Q38" s="103"/>
      <c r="R38" s="104"/>
      <c r="S38" s="104"/>
      <c r="T38" s="104"/>
      <c r="U38" s="104"/>
      <c r="V38" s="104"/>
      <c r="W38" s="105"/>
    </row>
    <row r="39" spans="1:23" ht="15.75" x14ac:dyDescent="0.25">
      <c r="A39" s="106" t="s">
        <v>7</v>
      </c>
      <c r="B39" s="107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7"/>
      <c r="R39" s="107"/>
      <c r="S39" s="107"/>
      <c r="T39" s="107"/>
      <c r="U39" s="107"/>
      <c r="V39" s="107"/>
      <c r="W39" s="110"/>
    </row>
    <row r="40" spans="1:23" x14ac:dyDescent="0.25">
      <c r="A40" s="113" t="s">
        <v>8</v>
      </c>
      <c r="B40" s="114" t="s">
        <v>9</v>
      </c>
      <c r="C40" s="114" t="s">
        <v>10</v>
      </c>
      <c r="D40" s="114" t="s">
        <v>11</v>
      </c>
      <c r="E40" s="114" t="s">
        <v>12</v>
      </c>
      <c r="F40" s="114" t="s">
        <v>13</v>
      </c>
      <c r="G40" s="114" t="s">
        <v>14</v>
      </c>
      <c r="H40" s="114"/>
      <c r="I40" s="114"/>
      <c r="J40" s="114"/>
      <c r="K40" s="114"/>
      <c r="L40" s="114"/>
      <c r="M40" s="114" t="s">
        <v>15</v>
      </c>
      <c r="N40" s="114" t="s">
        <v>16</v>
      </c>
      <c r="O40" s="114" t="s">
        <v>17</v>
      </c>
      <c r="P40" s="114" t="s">
        <v>18</v>
      </c>
      <c r="Q40" s="114" t="s">
        <v>19</v>
      </c>
      <c r="R40" s="114"/>
      <c r="S40" s="114"/>
      <c r="T40" s="114"/>
      <c r="U40" s="114"/>
      <c r="V40" s="114"/>
      <c r="W40" s="115" t="s">
        <v>20</v>
      </c>
    </row>
    <row r="41" spans="1:23" x14ac:dyDescent="0.25">
      <c r="A41" s="113"/>
      <c r="B41" s="114"/>
      <c r="C41" s="114"/>
      <c r="D41" s="114"/>
      <c r="E41" s="114"/>
      <c r="F41" s="114"/>
      <c r="G41" s="31" t="s">
        <v>21</v>
      </c>
      <c r="H41" s="31" t="s">
        <v>21</v>
      </c>
      <c r="I41" s="31" t="s">
        <v>21</v>
      </c>
      <c r="J41" s="31" t="s">
        <v>22</v>
      </c>
      <c r="K41" s="31" t="s">
        <v>22</v>
      </c>
      <c r="L41" s="32" t="s">
        <v>22</v>
      </c>
      <c r="M41" s="138"/>
      <c r="N41" s="114"/>
      <c r="O41" s="114"/>
      <c r="P41" s="114"/>
      <c r="Q41" s="31" t="s">
        <v>21</v>
      </c>
      <c r="R41" s="31" t="s">
        <v>21</v>
      </c>
      <c r="S41" s="31" t="s">
        <v>21</v>
      </c>
      <c r="T41" s="31" t="s">
        <v>22</v>
      </c>
      <c r="U41" s="31" t="s">
        <v>22</v>
      </c>
      <c r="V41" s="31" t="s">
        <v>22</v>
      </c>
      <c r="W41" s="115"/>
    </row>
    <row r="42" spans="1:23" ht="15.75" x14ac:dyDescent="0.25">
      <c r="A42" s="5">
        <v>1</v>
      </c>
      <c r="B42" s="21" t="s">
        <v>251</v>
      </c>
      <c r="C42" s="20">
        <v>46108</v>
      </c>
      <c r="D42" s="36"/>
      <c r="E42" s="21"/>
      <c r="F42" s="21"/>
      <c r="G42" s="21"/>
      <c r="H42" s="21"/>
      <c r="I42" s="21"/>
      <c r="J42" s="21"/>
      <c r="K42" s="24"/>
      <c r="L42" s="29"/>
      <c r="M42" s="57"/>
      <c r="O42" s="21"/>
      <c r="P42" s="21"/>
      <c r="Q42" s="21"/>
      <c r="R42" s="21"/>
      <c r="S42" s="21"/>
      <c r="T42" s="21"/>
      <c r="U42" s="21"/>
      <c r="V42" s="21"/>
      <c r="W42" s="22"/>
    </row>
    <row r="43" spans="1:23" ht="15.75" x14ac:dyDescent="0.25">
      <c r="A43" s="6">
        <v>2</v>
      </c>
      <c r="B43" s="21"/>
      <c r="C43" s="13"/>
      <c r="D43" s="8"/>
      <c r="E43" s="8"/>
      <c r="F43" s="8"/>
      <c r="G43" s="8"/>
      <c r="H43" s="8"/>
      <c r="I43" s="8"/>
      <c r="J43" s="8"/>
      <c r="K43" s="25"/>
      <c r="L43" s="30"/>
      <c r="M43" s="57"/>
      <c r="N43" s="26"/>
      <c r="O43" s="8"/>
      <c r="P43" s="8"/>
      <c r="Q43" s="8"/>
      <c r="R43" s="8"/>
      <c r="S43" s="8"/>
      <c r="T43" s="8"/>
      <c r="U43" s="8"/>
      <c r="V43" s="8"/>
      <c r="W43" s="9"/>
    </row>
    <row r="44" spans="1:23" ht="15.75" x14ac:dyDescent="0.25">
      <c r="A44" s="6">
        <v>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27"/>
      <c r="M44" s="27"/>
      <c r="N44" s="8"/>
      <c r="O44" s="8"/>
      <c r="P44" s="8"/>
      <c r="Q44" s="8"/>
      <c r="R44" s="8"/>
      <c r="S44" s="8"/>
      <c r="T44" s="8"/>
      <c r="U44" s="8"/>
      <c r="V44" s="8"/>
      <c r="W44" s="9"/>
    </row>
    <row r="45" spans="1:23" ht="15.75" x14ac:dyDescent="0.25">
      <c r="A45" s="5">
        <v>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</row>
    <row r="46" spans="1:23" ht="15.75" x14ac:dyDescent="0.25">
      <c r="A46" s="5">
        <v>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9"/>
    </row>
    <row r="47" spans="1:23" ht="16.5" thickBot="1" x14ac:dyDescent="0.3">
      <c r="A47" s="7">
        <v>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9" spans="1:23" ht="15.75" thickBot="1" x14ac:dyDescent="0.3"/>
    <row r="50" spans="1:23" ht="15.75" x14ac:dyDescent="0.25">
      <c r="A50" s="100" t="s">
        <v>260</v>
      </c>
      <c r="B50" s="101"/>
      <c r="C50" s="111" t="s">
        <v>515</v>
      </c>
      <c r="D50" s="112"/>
      <c r="E50" s="111" t="s">
        <v>511</v>
      </c>
      <c r="F50" s="112"/>
      <c r="G50" s="101" t="s">
        <v>4</v>
      </c>
      <c r="H50" s="101"/>
      <c r="I50" s="102" t="s">
        <v>366</v>
      </c>
      <c r="J50" s="102"/>
      <c r="K50" s="102"/>
      <c r="L50" s="102"/>
      <c r="M50" s="102"/>
      <c r="N50" s="102"/>
      <c r="O50" s="101" t="s">
        <v>6</v>
      </c>
      <c r="P50" s="101"/>
      <c r="Q50" s="103"/>
      <c r="R50" s="104"/>
      <c r="S50" s="104"/>
      <c r="T50" s="104"/>
      <c r="U50" s="104"/>
      <c r="V50" s="104"/>
      <c r="W50" s="105"/>
    </row>
    <row r="51" spans="1:23" ht="15.75" x14ac:dyDescent="0.25">
      <c r="A51" s="106" t="s">
        <v>7</v>
      </c>
      <c r="B51" s="107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7"/>
      <c r="R51" s="107"/>
      <c r="S51" s="107"/>
      <c r="T51" s="107"/>
      <c r="U51" s="107"/>
      <c r="V51" s="107"/>
      <c r="W51" s="110"/>
    </row>
    <row r="52" spans="1:23" x14ac:dyDescent="0.25">
      <c r="A52" s="113" t="s">
        <v>8</v>
      </c>
      <c r="B52" s="114" t="s">
        <v>9</v>
      </c>
      <c r="C52" s="114" t="s">
        <v>10</v>
      </c>
      <c r="D52" s="114" t="s">
        <v>11</v>
      </c>
      <c r="E52" s="114" t="s">
        <v>12</v>
      </c>
      <c r="F52" s="114" t="s">
        <v>13</v>
      </c>
      <c r="G52" s="114" t="s">
        <v>14</v>
      </c>
      <c r="H52" s="114"/>
      <c r="I52" s="114"/>
      <c r="J52" s="114"/>
      <c r="K52" s="114"/>
      <c r="L52" s="114"/>
      <c r="M52" s="114" t="s">
        <v>15</v>
      </c>
      <c r="N52" s="114" t="s">
        <v>16</v>
      </c>
      <c r="O52" s="114" t="s">
        <v>17</v>
      </c>
      <c r="P52" s="114" t="s">
        <v>18</v>
      </c>
      <c r="Q52" s="114" t="s">
        <v>19</v>
      </c>
      <c r="R52" s="114"/>
      <c r="S52" s="114"/>
      <c r="T52" s="114"/>
      <c r="U52" s="114"/>
      <c r="V52" s="114"/>
      <c r="W52" s="115" t="s">
        <v>20</v>
      </c>
    </row>
    <row r="53" spans="1:23" x14ac:dyDescent="0.25">
      <c r="A53" s="113"/>
      <c r="B53" s="114"/>
      <c r="C53" s="114"/>
      <c r="D53" s="114"/>
      <c r="E53" s="114"/>
      <c r="F53" s="114"/>
      <c r="G53" s="31" t="s">
        <v>21</v>
      </c>
      <c r="H53" s="31" t="s">
        <v>21</v>
      </c>
      <c r="I53" s="31" t="s">
        <v>21</v>
      </c>
      <c r="J53" s="31" t="s">
        <v>22</v>
      </c>
      <c r="K53" s="31" t="s">
        <v>22</v>
      </c>
      <c r="L53" s="32" t="s">
        <v>22</v>
      </c>
      <c r="M53" s="138"/>
      <c r="N53" s="114"/>
      <c r="O53" s="114"/>
      <c r="P53" s="114"/>
      <c r="Q53" s="31" t="s">
        <v>21</v>
      </c>
      <c r="R53" s="31" t="s">
        <v>21</v>
      </c>
      <c r="S53" s="31" t="s">
        <v>21</v>
      </c>
      <c r="T53" s="31" t="s">
        <v>22</v>
      </c>
      <c r="U53" s="31" t="s">
        <v>22</v>
      </c>
      <c r="V53" s="31" t="s">
        <v>22</v>
      </c>
      <c r="W53" s="115"/>
    </row>
    <row r="54" spans="1:23" ht="15.75" x14ac:dyDescent="0.25">
      <c r="A54" s="5">
        <v>1</v>
      </c>
      <c r="B54" s="21" t="s">
        <v>251</v>
      </c>
      <c r="C54" s="20">
        <v>46108</v>
      </c>
      <c r="D54" s="36"/>
      <c r="E54" s="21"/>
      <c r="F54" s="21"/>
      <c r="G54" s="21"/>
      <c r="H54" s="21"/>
      <c r="I54" s="21"/>
      <c r="J54" s="21"/>
      <c r="K54" s="24"/>
      <c r="L54" s="29"/>
      <c r="M54" s="57"/>
      <c r="O54" s="21"/>
      <c r="P54" s="21"/>
      <c r="Q54" s="21"/>
      <c r="R54" s="21"/>
      <c r="S54" s="21"/>
      <c r="T54" s="21"/>
      <c r="U54" s="21"/>
      <c r="V54" s="21"/>
      <c r="W54" s="22"/>
    </row>
    <row r="55" spans="1:23" ht="15.75" x14ac:dyDescent="0.25">
      <c r="A55" s="6">
        <v>2</v>
      </c>
      <c r="B55" s="21"/>
      <c r="C55" s="13"/>
      <c r="D55" s="8"/>
      <c r="E55" s="8"/>
      <c r="F55" s="8"/>
      <c r="G55" s="8"/>
      <c r="H55" s="8"/>
      <c r="I55" s="8"/>
      <c r="J55" s="8"/>
      <c r="K55" s="25"/>
      <c r="L55" s="30"/>
      <c r="M55" s="57"/>
      <c r="N55" s="26"/>
      <c r="O55" s="8"/>
      <c r="P55" s="8"/>
      <c r="Q55" s="8"/>
      <c r="R55" s="8"/>
      <c r="S55" s="8"/>
      <c r="T55" s="8"/>
      <c r="U55" s="8"/>
      <c r="V55" s="8"/>
      <c r="W55" s="9"/>
    </row>
    <row r="56" spans="1:23" ht="15.75" x14ac:dyDescent="0.25">
      <c r="A56" s="6">
        <v>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27"/>
      <c r="M56" s="27"/>
      <c r="N56" s="8"/>
      <c r="O56" s="8"/>
      <c r="P56" s="8"/>
      <c r="Q56" s="8"/>
      <c r="R56" s="8"/>
      <c r="S56" s="8"/>
      <c r="T56" s="8"/>
      <c r="U56" s="8"/>
      <c r="V56" s="8"/>
      <c r="W56" s="9"/>
    </row>
    <row r="57" spans="1:23" ht="15.75" x14ac:dyDescent="0.25">
      <c r="A57" s="5">
        <v>4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</row>
    <row r="58" spans="1:23" ht="15.75" x14ac:dyDescent="0.25">
      <c r="A58" s="5">
        <v>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</row>
    <row r="59" spans="1:23" ht="16.5" thickBot="1" x14ac:dyDescent="0.3">
      <c r="A59" s="7">
        <v>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1" spans="1:23" ht="15.75" thickBot="1" x14ac:dyDescent="0.3"/>
    <row r="62" spans="1:23" ht="15.75" x14ac:dyDescent="0.25">
      <c r="A62" s="100" t="s">
        <v>260</v>
      </c>
      <c r="B62" s="101"/>
      <c r="C62" s="111" t="s">
        <v>516</v>
      </c>
      <c r="D62" s="112"/>
      <c r="E62" s="111" t="s">
        <v>505</v>
      </c>
      <c r="F62" s="112"/>
      <c r="G62" s="101" t="s">
        <v>4</v>
      </c>
      <c r="H62" s="101"/>
      <c r="I62" s="102" t="s">
        <v>366</v>
      </c>
      <c r="J62" s="102"/>
      <c r="K62" s="102"/>
      <c r="L62" s="102"/>
      <c r="M62" s="102"/>
      <c r="N62" s="102"/>
      <c r="O62" s="101" t="s">
        <v>6</v>
      </c>
      <c r="P62" s="101"/>
      <c r="Q62" s="103"/>
      <c r="R62" s="104"/>
      <c r="S62" s="104"/>
      <c r="T62" s="104"/>
      <c r="U62" s="104"/>
      <c r="V62" s="104"/>
      <c r="W62" s="105"/>
    </row>
    <row r="63" spans="1:23" ht="15.75" x14ac:dyDescent="0.25">
      <c r="A63" s="106" t="s">
        <v>7</v>
      </c>
      <c r="B63" s="107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7"/>
      <c r="R63" s="107"/>
      <c r="S63" s="107"/>
      <c r="T63" s="107"/>
      <c r="U63" s="107"/>
      <c r="V63" s="107"/>
      <c r="W63" s="110"/>
    </row>
    <row r="64" spans="1:23" x14ac:dyDescent="0.25">
      <c r="A64" s="113" t="s">
        <v>8</v>
      </c>
      <c r="B64" s="114" t="s">
        <v>9</v>
      </c>
      <c r="C64" s="114" t="s">
        <v>10</v>
      </c>
      <c r="D64" s="114" t="s">
        <v>11</v>
      </c>
      <c r="E64" s="114" t="s">
        <v>12</v>
      </c>
      <c r="F64" s="114" t="s">
        <v>13</v>
      </c>
      <c r="G64" s="114" t="s">
        <v>14</v>
      </c>
      <c r="H64" s="114"/>
      <c r="I64" s="114"/>
      <c r="J64" s="114"/>
      <c r="K64" s="114"/>
      <c r="L64" s="114"/>
      <c r="M64" s="114" t="s">
        <v>15</v>
      </c>
      <c r="N64" s="114" t="s">
        <v>16</v>
      </c>
      <c r="O64" s="114" t="s">
        <v>17</v>
      </c>
      <c r="P64" s="114" t="s">
        <v>18</v>
      </c>
      <c r="Q64" s="114" t="s">
        <v>19</v>
      </c>
      <c r="R64" s="114"/>
      <c r="S64" s="114"/>
      <c r="T64" s="114"/>
      <c r="U64" s="114"/>
      <c r="V64" s="114"/>
      <c r="W64" s="115" t="s">
        <v>20</v>
      </c>
    </row>
    <row r="65" spans="1:23" x14ac:dyDescent="0.25">
      <c r="A65" s="113"/>
      <c r="B65" s="114"/>
      <c r="C65" s="114"/>
      <c r="D65" s="114"/>
      <c r="E65" s="114"/>
      <c r="F65" s="114"/>
      <c r="G65" s="31" t="s">
        <v>21</v>
      </c>
      <c r="H65" s="31" t="s">
        <v>21</v>
      </c>
      <c r="I65" s="31" t="s">
        <v>21</v>
      </c>
      <c r="J65" s="31" t="s">
        <v>22</v>
      </c>
      <c r="K65" s="31" t="s">
        <v>22</v>
      </c>
      <c r="L65" s="32" t="s">
        <v>22</v>
      </c>
      <c r="M65" s="138"/>
      <c r="N65" s="114"/>
      <c r="O65" s="114"/>
      <c r="P65" s="114"/>
      <c r="Q65" s="31" t="s">
        <v>21</v>
      </c>
      <c r="R65" s="31" t="s">
        <v>21</v>
      </c>
      <c r="S65" s="31" t="s">
        <v>21</v>
      </c>
      <c r="T65" s="31" t="s">
        <v>22</v>
      </c>
      <c r="U65" s="31" t="s">
        <v>22</v>
      </c>
      <c r="V65" s="31" t="s">
        <v>22</v>
      </c>
      <c r="W65" s="115"/>
    </row>
    <row r="66" spans="1:23" ht="15.75" x14ac:dyDescent="0.25">
      <c r="A66" s="5">
        <v>1</v>
      </c>
      <c r="B66" s="21" t="s">
        <v>251</v>
      </c>
      <c r="C66" s="20">
        <v>46108</v>
      </c>
      <c r="D66" s="36">
        <v>46180</v>
      </c>
      <c r="E66" s="21">
        <v>3</v>
      </c>
      <c r="F66" s="21">
        <v>0</v>
      </c>
      <c r="G66" s="21">
        <v>112</v>
      </c>
      <c r="H66" s="21">
        <v>120</v>
      </c>
      <c r="I66" s="21"/>
      <c r="J66" s="21">
        <v>117</v>
      </c>
      <c r="K66" s="24"/>
      <c r="L66" s="29"/>
      <c r="M66" s="95">
        <f>AVERAGE(G66:L66)</f>
        <v>116.33333333333333</v>
      </c>
      <c r="N66" s="70">
        <v>46204</v>
      </c>
      <c r="O66" s="21">
        <v>2</v>
      </c>
      <c r="P66" s="21">
        <v>1</v>
      </c>
      <c r="Q66" s="21">
        <v>265</v>
      </c>
      <c r="R66" s="21">
        <v>281</v>
      </c>
      <c r="S66" s="21"/>
      <c r="T66" s="21"/>
      <c r="U66" s="21"/>
      <c r="V66" s="21"/>
      <c r="W66" s="22">
        <f>AVERAGE(Q66:V66)</f>
        <v>273</v>
      </c>
    </row>
    <row r="67" spans="1:23" ht="15.75" x14ac:dyDescent="0.25">
      <c r="A67" s="6">
        <v>2</v>
      </c>
      <c r="B67" s="21"/>
      <c r="C67" s="13"/>
      <c r="D67" s="8"/>
      <c r="E67" s="8"/>
      <c r="F67" s="8"/>
      <c r="G67" s="8"/>
      <c r="H67" s="8"/>
      <c r="I67" s="8"/>
      <c r="J67" s="8"/>
      <c r="K67" s="25"/>
      <c r="L67" s="30"/>
      <c r="M67" s="57"/>
      <c r="N67" s="26"/>
      <c r="O67" s="8"/>
      <c r="P67" s="8"/>
      <c r="Q67" s="8"/>
      <c r="R67" s="8"/>
      <c r="S67" s="8"/>
      <c r="T67" s="8"/>
      <c r="U67" s="8"/>
      <c r="V67" s="8"/>
      <c r="W67" s="9"/>
    </row>
    <row r="68" spans="1:23" ht="15.75" x14ac:dyDescent="0.25">
      <c r="A68" s="6">
        <v>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27"/>
      <c r="M68" s="27"/>
      <c r="N68" s="8"/>
      <c r="O68" s="8"/>
      <c r="P68" s="8"/>
      <c r="Q68" s="8"/>
      <c r="R68" s="8"/>
      <c r="S68" s="8"/>
      <c r="T68" s="8"/>
      <c r="U68" s="8"/>
      <c r="V68" s="8"/>
      <c r="W68" s="9"/>
    </row>
    <row r="69" spans="1:23" ht="15.75" x14ac:dyDescent="0.25">
      <c r="A69" s="5">
        <v>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</row>
    <row r="70" spans="1:23" ht="15.75" x14ac:dyDescent="0.25">
      <c r="A70" s="5">
        <v>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</row>
    <row r="71" spans="1:23" ht="16.5" thickBot="1" x14ac:dyDescent="0.3">
      <c r="A71" s="7">
        <v>6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3" spans="1:23" ht="15.75" thickBot="1" x14ac:dyDescent="0.3"/>
    <row r="74" spans="1:23" ht="15.75" x14ac:dyDescent="0.25">
      <c r="A74" s="100" t="s">
        <v>260</v>
      </c>
      <c r="B74" s="101"/>
      <c r="C74" s="111" t="s">
        <v>518</v>
      </c>
      <c r="D74" s="112"/>
      <c r="E74" s="111" t="s">
        <v>517</v>
      </c>
      <c r="F74" s="112"/>
      <c r="G74" s="101" t="s">
        <v>4</v>
      </c>
      <c r="H74" s="101"/>
      <c r="I74" s="102" t="s">
        <v>359</v>
      </c>
      <c r="J74" s="102"/>
      <c r="K74" s="102"/>
      <c r="L74" s="102"/>
      <c r="M74" s="102"/>
      <c r="N74" s="102"/>
      <c r="O74" s="101" t="s">
        <v>6</v>
      </c>
      <c r="P74" s="101"/>
      <c r="Q74" s="103"/>
      <c r="R74" s="104"/>
      <c r="S74" s="104"/>
      <c r="T74" s="104"/>
      <c r="U74" s="104"/>
      <c r="V74" s="104"/>
      <c r="W74" s="105"/>
    </row>
    <row r="75" spans="1:23" ht="15.75" x14ac:dyDescent="0.25">
      <c r="A75" s="106" t="s">
        <v>7</v>
      </c>
      <c r="B75" s="107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7"/>
      <c r="R75" s="107"/>
      <c r="S75" s="107"/>
      <c r="T75" s="107"/>
      <c r="U75" s="107"/>
      <c r="V75" s="107"/>
      <c r="W75" s="110"/>
    </row>
    <row r="76" spans="1:23" x14ac:dyDescent="0.25">
      <c r="A76" s="113" t="s">
        <v>8</v>
      </c>
      <c r="B76" s="114" t="s">
        <v>9</v>
      </c>
      <c r="C76" s="114" t="s">
        <v>10</v>
      </c>
      <c r="D76" s="114" t="s">
        <v>11</v>
      </c>
      <c r="E76" s="114" t="s">
        <v>12</v>
      </c>
      <c r="F76" s="114" t="s">
        <v>13</v>
      </c>
      <c r="G76" s="114" t="s">
        <v>14</v>
      </c>
      <c r="H76" s="114"/>
      <c r="I76" s="114"/>
      <c r="J76" s="114"/>
      <c r="K76" s="114"/>
      <c r="L76" s="114"/>
      <c r="M76" s="114" t="s">
        <v>15</v>
      </c>
      <c r="N76" s="114" t="s">
        <v>16</v>
      </c>
      <c r="O76" s="114" t="s">
        <v>17</v>
      </c>
      <c r="P76" s="114" t="s">
        <v>18</v>
      </c>
      <c r="Q76" s="114" t="s">
        <v>19</v>
      </c>
      <c r="R76" s="114"/>
      <c r="S76" s="114"/>
      <c r="T76" s="114"/>
      <c r="U76" s="114"/>
      <c r="V76" s="114"/>
      <c r="W76" s="115" t="s">
        <v>20</v>
      </c>
    </row>
    <row r="77" spans="1:23" x14ac:dyDescent="0.25">
      <c r="A77" s="113"/>
      <c r="B77" s="114"/>
      <c r="C77" s="114"/>
      <c r="D77" s="114"/>
      <c r="E77" s="114"/>
      <c r="F77" s="114"/>
      <c r="G77" s="31" t="s">
        <v>21</v>
      </c>
      <c r="H77" s="31" t="s">
        <v>21</v>
      </c>
      <c r="I77" s="31" t="s">
        <v>21</v>
      </c>
      <c r="J77" s="31" t="s">
        <v>22</v>
      </c>
      <c r="K77" s="31" t="s">
        <v>22</v>
      </c>
      <c r="L77" s="32" t="s">
        <v>22</v>
      </c>
      <c r="M77" s="138"/>
      <c r="N77" s="114"/>
      <c r="O77" s="114"/>
      <c r="P77" s="114"/>
      <c r="Q77" s="31" t="s">
        <v>21</v>
      </c>
      <c r="R77" s="31" t="s">
        <v>21</v>
      </c>
      <c r="S77" s="31" t="s">
        <v>21</v>
      </c>
      <c r="T77" s="31" t="s">
        <v>22</v>
      </c>
      <c r="U77" s="31" t="s">
        <v>22</v>
      </c>
      <c r="V77" s="31" t="s">
        <v>22</v>
      </c>
      <c r="W77" s="115"/>
    </row>
    <row r="78" spans="1:23" ht="15.75" x14ac:dyDescent="0.25">
      <c r="A78" s="5">
        <v>1</v>
      </c>
      <c r="B78" s="21" t="s">
        <v>449</v>
      </c>
      <c r="C78" s="20">
        <v>46108</v>
      </c>
      <c r="D78" s="36">
        <v>46181</v>
      </c>
      <c r="E78" s="21">
        <v>2</v>
      </c>
      <c r="F78" s="21">
        <v>0</v>
      </c>
      <c r="G78" s="21">
        <v>120</v>
      </c>
      <c r="H78" s="21">
        <v>122</v>
      </c>
      <c r="I78" s="21"/>
      <c r="J78" s="21"/>
      <c r="K78" s="24"/>
      <c r="L78" s="29"/>
      <c r="M78" s="69">
        <f>AVERAGE(G78:L78)</f>
        <v>121</v>
      </c>
      <c r="O78" s="21">
        <v>0</v>
      </c>
      <c r="P78" s="21">
        <v>2</v>
      </c>
      <c r="Q78" s="21"/>
      <c r="R78" s="21"/>
      <c r="S78" s="21"/>
      <c r="T78" s="21"/>
      <c r="U78" s="21"/>
      <c r="V78" s="21"/>
      <c r="W78" s="22"/>
    </row>
    <row r="79" spans="1:23" ht="15.75" x14ac:dyDescent="0.25">
      <c r="A79" s="6">
        <v>2</v>
      </c>
      <c r="B79" s="21"/>
      <c r="C79" s="13"/>
      <c r="D79" s="8"/>
      <c r="E79" s="8"/>
      <c r="F79" s="8"/>
      <c r="G79" s="8"/>
      <c r="H79" s="8"/>
      <c r="I79" s="8"/>
      <c r="J79" s="8"/>
      <c r="K79" s="25"/>
      <c r="L79" s="30"/>
      <c r="M79" s="57"/>
      <c r="N79" s="26"/>
      <c r="O79" s="8"/>
      <c r="P79" s="8"/>
      <c r="Q79" s="8"/>
      <c r="R79" s="8"/>
      <c r="S79" s="8"/>
      <c r="T79" s="8"/>
      <c r="U79" s="8"/>
      <c r="V79" s="8"/>
      <c r="W79" s="9"/>
    </row>
    <row r="80" spans="1:23" ht="15.75" x14ac:dyDescent="0.25">
      <c r="A80" s="6">
        <v>3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27"/>
      <c r="M80" s="27"/>
      <c r="N80" s="8"/>
      <c r="O80" s="8"/>
      <c r="P80" s="8"/>
      <c r="Q80" s="8"/>
      <c r="R80" s="8"/>
      <c r="S80" s="8"/>
      <c r="T80" s="8"/>
      <c r="U80" s="8"/>
      <c r="V80" s="8"/>
      <c r="W80" s="9"/>
    </row>
    <row r="81" spans="1:23" ht="15.75" x14ac:dyDescent="0.25">
      <c r="A81" s="5">
        <v>4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3" ht="15.75" x14ac:dyDescent="0.25">
      <c r="A82" s="5">
        <v>5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</row>
    <row r="83" spans="1:23" ht="16.5" thickBot="1" x14ac:dyDescent="0.3">
      <c r="A83" s="7">
        <v>6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5" spans="1:23" ht="15.75" thickBot="1" x14ac:dyDescent="0.3"/>
    <row r="86" spans="1:23" ht="15.75" x14ac:dyDescent="0.25">
      <c r="A86" s="100" t="s">
        <v>260</v>
      </c>
      <c r="B86" s="101"/>
      <c r="C86" s="111" t="s">
        <v>519</v>
      </c>
      <c r="D86" s="112"/>
      <c r="E86" s="111" t="s">
        <v>517</v>
      </c>
      <c r="F86" s="112"/>
      <c r="G86" s="101" t="s">
        <v>4</v>
      </c>
      <c r="H86" s="101"/>
      <c r="I86" s="102" t="s">
        <v>359</v>
      </c>
      <c r="J86" s="102"/>
      <c r="K86" s="102"/>
      <c r="L86" s="102"/>
      <c r="M86" s="102"/>
      <c r="N86" s="102"/>
      <c r="O86" s="101" t="s">
        <v>6</v>
      </c>
      <c r="P86" s="101"/>
      <c r="Q86" s="103"/>
      <c r="R86" s="104"/>
      <c r="S86" s="104"/>
      <c r="T86" s="104"/>
      <c r="U86" s="104"/>
      <c r="V86" s="104"/>
      <c r="W86" s="105"/>
    </row>
    <row r="87" spans="1:23" ht="15.75" x14ac:dyDescent="0.25">
      <c r="A87" s="106" t="s">
        <v>7</v>
      </c>
      <c r="B87" s="107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7"/>
      <c r="R87" s="107"/>
      <c r="S87" s="107"/>
      <c r="T87" s="107"/>
      <c r="U87" s="107"/>
      <c r="V87" s="107"/>
      <c r="W87" s="110"/>
    </row>
    <row r="88" spans="1:23" x14ac:dyDescent="0.25">
      <c r="A88" s="113" t="s">
        <v>8</v>
      </c>
      <c r="B88" s="114" t="s">
        <v>9</v>
      </c>
      <c r="C88" s="114" t="s">
        <v>10</v>
      </c>
      <c r="D88" s="114" t="s">
        <v>11</v>
      </c>
      <c r="E88" s="114" t="s">
        <v>12</v>
      </c>
      <c r="F88" s="114" t="s">
        <v>13</v>
      </c>
      <c r="G88" s="114" t="s">
        <v>14</v>
      </c>
      <c r="H88" s="114"/>
      <c r="I88" s="114"/>
      <c r="J88" s="114"/>
      <c r="K88" s="114"/>
      <c r="L88" s="114"/>
      <c r="M88" s="114" t="s">
        <v>15</v>
      </c>
      <c r="N88" s="114" t="s">
        <v>16</v>
      </c>
      <c r="O88" s="114" t="s">
        <v>17</v>
      </c>
      <c r="P88" s="114" t="s">
        <v>18</v>
      </c>
      <c r="Q88" s="114" t="s">
        <v>19</v>
      </c>
      <c r="R88" s="114"/>
      <c r="S88" s="114"/>
      <c r="T88" s="114"/>
      <c r="U88" s="114"/>
      <c r="V88" s="114"/>
      <c r="W88" s="115" t="s">
        <v>20</v>
      </c>
    </row>
    <row r="89" spans="1:23" x14ac:dyDescent="0.25">
      <c r="A89" s="113"/>
      <c r="B89" s="114"/>
      <c r="C89" s="114"/>
      <c r="D89" s="114"/>
      <c r="E89" s="114"/>
      <c r="F89" s="114"/>
      <c r="G89" s="31" t="s">
        <v>21</v>
      </c>
      <c r="H89" s="31" t="s">
        <v>21</v>
      </c>
      <c r="I89" s="31" t="s">
        <v>21</v>
      </c>
      <c r="J89" s="31" t="s">
        <v>22</v>
      </c>
      <c r="K89" s="31" t="s">
        <v>22</v>
      </c>
      <c r="L89" s="32" t="s">
        <v>22</v>
      </c>
      <c r="M89" s="138"/>
      <c r="N89" s="114"/>
      <c r="O89" s="114"/>
      <c r="P89" s="114"/>
      <c r="Q89" s="31" t="s">
        <v>21</v>
      </c>
      <c r="R89" s="31" t="s">
        <v>21</v>
      </c>
      <c r="S89" s="31" t="s">
        <v>21</v>
      </c>
      <c r="T89" s="31" t="s">
        <v>22</v>
      </c>
      <c r="U89" s="31" t="s">
        <v>22</v>
      </c>
      <c r="V89" s="31" t="s">
        <v>22</v>
      </c>
      <c r="W89" s="115"/>
    </row>
    <row r="90" spans="1:23" ht="15.75" x14ac:dyDescent="0.25">
      <c r="A90" s="5">
        <v>1</v>
      </c>
      <c r="B90" s="21" t="s">
        <v>449</v>
      </c>
      <c r="C90" s="20">
        <v>46108</v>
      </c>
      <c r="D90" s="36"/>
      <c r="E90" s="21"/>
      <c r="F90" s="21"/>
      <c r="G90" s="21"/>
      <c r="H90" s="21"/>
      <c r="I90" s="21"/>
      <c r="J90" s="21"/>
      <c r="K90" s="24"/>
      <c r="L90" s="29"/>
      <c r="M90" s="57"/>
      <c r="O90" s="21"/>
      <c r="P90" s="21"/>
      <c r="Q90" s="21"/>
      <c r="R90" s="21"/>
      <c r="S90" s="21"/>
      <c r="T90" s="21"/>
      <c r="U90" s="21"/>
      <c r="V90" s="21"/>
      <c r="W90" s="22"/>
    </row>
    <row r="91" spans="1:23" ht="15.75" x14ac:dyDescent="0.25">
      <c r="A91" s="6">
        <v>2</v>
      </c>
      <c r="B91" s="21"/>
      <c r="C91" s="13"/>
      <c r="D91" s="8"/>
      <c r="E91" s="8"/>
      <c r="F91" s="8"/>
      <c r="G91" s="8"/>
      <c r="H91" s="8"/>
      <c r="I91" s="8"/>
      <c r="J91" s="8"/>
      <c r="K91" s="25"/>
      <c r="L91" s="30"/>
      <c r="M91" s="57"/>
      <c r="N91" s="26"/>
      <c r="O91" s="8"/>
      <c r="P91" s="8"/>
      <c r="Q91" s="8"/>
      <c r="R91" s="8"/>
      <c r="S91" s="8"/>
      <c r="T91" s="8"/>
      <c r="U91" s="8"/>
      <c r="V91" s="8"/>
      <c r="W91" s="9"/>
    </row>
    <row r="92" spans="1:23" ht="15.75" x14ac:dyDescent="0.25">
      <c r="A92" s="6">
        <v>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27"/>
      <c r="M92" s="27"/>
      <c r="N92" s="8"/>
      <c r="O92" s="8"/>
      <c r="P92" s="8"/>
      <c r="Q92" s="8"/>
      <c r="R92" s="8"/>
      <c r="S92" s="8"/>
      <c r="T92" s="8"/>
      <c r="U92" s="8"/>
      <c r="V92" s="8"/>
      <c r="W92" s="9"/>
    </row>
    <row r="93" spans="1:23" ht="15.75" x14ac:dyDescent="0.25">
      <c r="A93" s="5">
        <v>4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5.75" x14ac:dyDescent="0.25">
      <c r="A94" s="5">
        <v>5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</row>
    <row r="95" spans="1:23" ht="16.5" thickBot="1" x14ac:dyDescent="0.3">
      <c r="A95" s="7">
        <v>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7" spans="1:23" ht="15.75" thickBot="1" x14ac:dyDescent="0.3"/>
    <row r="98" spans="1:23" ht="15.75" x14ac:dyDescent="0.25">
      <c r="A98" s="100" t="s">
        <v>260</v>
      </c>
      <c r="B98" s="101"/>
      <c r="C98" s="111" t="s">
        <v>520</v>
      </c>
      <c r="D98" s="112"/>
      <c r="E98" s="111" t="s">
        <v>517</v>
      </c>
      <c r="F98" s="112"/>
      <c r="G98" s="101" t="s">
        <v>4</v>
      </c>
      <c r="H98" s="101"/>
      <c r="I98" s="102" t="s">
        <v>359</v>
      </c>
      <c r="J98" s="102"/>
      <c r="K98" s="102"/>
      <c r="L98" s="102"/>
      <c r="M98" s="102"/>
      <c r="N98" s="102"/>
      <c r="O98" s="101" t="s">
        <v>6</v>
      </c>
      <c r="P98" s="101"/>
      <c r="Q98" s="103"/>
      <c r="R98" s="104"/>
      <c r="S98" s="104"/>
      <c r="T98" s="104"/>
      <c r="U98" s="104"/>
      <c r="V98" s="104"/>
      <c r="W98" s="105"/>
    </row>
    <row r="99" spans="1:23" ht="15.75" x14ac:dyDescent="0.25">
      <c r="A99" s="106" t="s">
        <v>7</v>
      </c>
      <c r="B99" s="107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7"/>
      <c r="R99" s="107"/>
      <c r="S99" s="107"/>
      <c r="T99" s="107"/>
      <c r="U99" s="107"/>
      <c r="V99" s="107"/>
      <c r="W99" s="110"/>
    </row>
    <row r="100" spans="1:23" x14ac:dyDescent="0.25">
      <c r="A100" s="113" t="s">
        <v>8</v>
      </c>
      <c r="B100" s="114" t="s">
        <v>9</v>
      </c>
      <c r="C100" s="114" t="s">
        <v>10</v>
      </c>
      <c r="D100" s="114" t="s">
        <v>11</v>
      </c>
      <c r="E100" s="114" t="s">
        <v>12</v>
      </c>
      <c r="F100" s="114" t="s">
        <v>13</v>
      </c>
      <c r="G100" s="114" t="s">
        <v>14</v>
      </c>
      <c r="H100" s="114"/>
      <c r="I100" s="114"/>
      <c r="J100" s="114"/>
      <c r="K100" s="114"/>
      <c r="L100" s="114"/>
      <c r="M100" s="114" t="s">
        <v>15</v>
      </c>
      <c r="N100" s="114" t="s">
        <v>16</v>
      </c>
      <c r="O100" s="114" t="s">
        <v>17</v>
      </c>
      <c r="P100" s="114" t="s">
        <v>18</v>
      </c>
      <c r="Q100" s="114" t="s">
        <v>19</v>
      </c>
      <c r="R100" s="114"/>
      <c r="S100" s="114"/>
      <c r="T100" s="114"/>
      <c r="U100" s="114"/>
      <c r="V100" s="114"/>
      <c r="W100" s="115" t="s">
        <v>20</v>
      </c>
    </row>
    <row r="101" spans="1:23" x14ac:dyDescent="0.25">
      <c r="A101" s="113"/>
      <c r="B101" s="114"/>
      <c r="C101" s="114"/>
      <c r="D101" s="114"/>
      <c r="E101" s="114"/>
      <c r="F101" s="114"/>
      <c r="G101" s="31" t="s">
        <v>21</v>
      </c>
      <c r="H101" s="31" t="s">
        <v>21</v>
      </c>
      <c r="I101" s="31" t="s">
        <v>21</v>
      </c>
      <c r="J101" s="31" t="s">
        <v>22</v>
      </c>
      <c r="K101" s="31" t="s">
        <v>22</v>
      </c>
      <c r="L101" s="32" t="s">
        <v>22</v>
      </c>
      <c r="M101" s="138"/>
      <c r="N101" s="114"/>
      <c r="O101" s="114"/>
      <c r="P101" s="114"/>
      <c r="Q101" s="31" t="s">
        <v>21</v>
      </c>
      <c r="R101" s="31" t="s">
        <v>21</v>
      </c>
      <c r="S101" s="31" t="s">
        <v>21</v>
      </c>
      <c r="T101" s="31" t="s">
        <v>22</v>
      </c>
      <c r="U101" s="31" t="s">
        <v>22</v>
      </c>
      <c r="V101" s="31" t="s">
        <v>22</v>
      </c>
      <c r="W101" s="115"/>
    </row>
    <row r="102" spans="1:23" ht="15.75" x14ac:dyDescent="0.25">
      <c r="A102" s="5">
        <v>1</v>
      </c>
      <c r="B102" s="21" t="s">
        <v>449</v>
      </c>
      <c r="C102" s="20">
        <v>46108</v>
      </c>
      <c r="D102" s="36">
        <v>46187</v>
      </c>
      <c r="E102" s="21">
        <v>1</v>
      </c>
      <c r="F102" s="21">
        <v>0</v>
      </c>
      <c r="G102" s="21">
        <v>120</v>
      </c>
      <c r="H102" s="21"/>
      <c r="I102" s="21"/>
      <c r="J102" s="21"/>
      <c r="K102" s="24"/>
      <c r="L102" s="29"/>
      <c r="M102" s="57">
        <v>120</v>
      </c>
      <c r="N102" s="70">
        <v>46204</v>
      </c>
      <c r="O102" s="21">
        <v>1</v>
      </c>
      <c r="P102" s="21">
        <v>0</v>
      </c>
      <c r="Q102" s="21">
        <v>286</v>
      </c>
      <c r="R102" s="21"/>
      <c r="S102" s="21"/>
      <c r="T102" s="21"/>
      <c r="U102" s="21"/>
      <c r="V102" s="21"/>
      <c r="W102" s="22">
        <v>286</v>
      </c>
    </row>
    <row r="103" spans="1:23" ht="15.75" x14ac:dyDescent="0.25">
      <c r="A103" s="6">
        <v>2</v>
      </c>
      <c r="B103" s="21"/>
      <c r="C103" s="13"/>
      <c r="D103" s="8"/>
      <c r="E103" s="8"/>
      <c r="F103" s="8"/>
      <c r="G103" s="8"/>
      <c r="H103" s="8"/>
      <c r="I103" s="8"/>
      <c r="J103" s="8"/>
      <c r="K103" s="25"/>
      <c r="L103" s="30"/>
      <c r="M103" s="57"/>
      <c r="N103" s="26"/>
      <c r="O103" s="8"/>
      <c r="P103" s="8"/>
      <c r="Q103" s="8"/>
      <c r="R103" s="8"/>
      <c r="S103" s="8"/>
      <c r="T103" s="8"/>
      <c r="U103" s="8"/>
      <c r="V103" s="8"/>
      <c r="W103" s="9"/>
    </row>
    <row r="104" spans="1:23" ht="15.75" x14ac:dyDescent="0.25">
      <c r="A104" s="6">
        <v>3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27"/>
      <c r="M104" s="27"/>
      <c r="N104" s="8"/>
      <c r="O104" s="8"/>
      <c r="P104" s="8"/>
      <c r="Q104" s="8"/>
      <c r="R104" s="8"/>
      <c r="S104" s="8"/>
      <c r="T104" s="8"/>
      <c r="U104" s="8"/>
      <c r="V104" s="8"/>
      <c r="W104" s="9"/>
    </row>
    <row r="105" spans="1:23" ht="15.75" x14ac:dyDescent="0.25">
      <c r="A105" s="5">
        <v>4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5.75" x14ac:dyDescent="0.25">
      <c r="A106" s="5">
        <v>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</row>
    <row r="107" spans="1:23" ht="16.5" thickBot="1" x14ac:dyDescent="0.3">
      <c r="A107" s="7">
        <v>6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9" spans="1:23" ht="15.75" thickBot="1" x14ac:dyDescent="0.3"/>
    <row r="110" spans="1:23" ht="15.75" x14ac:dyDescent="0.25">
      <c r="A110" s="100" t="s">
        <v>260</v>
      </c>
      <c r="B110" s="101"/>
      <c r="C110" s="111" t="s">
        <v>521</v>
      </c>
      <c r="D110" s="112"/>
      <c r="E110" s="111" t="s">
        <v>517</v>
      </c>
      <c r="F110" s="112"/>
      <c r="G110" s="101" t="s">
        <v>4</v>
      </c>
      <c r="H110" s="101"/>
      <c r="I110" s="102" t="s">
        <v>359</v>
      </c>
      <c r="J110" s="102"/>
      <c r="K110" s="102"/>
      <c r="L110" s="102"/>
      <c r="M110" s="102"/>
      <c r="N110" s="102"/>
      <c r="O110" s="101" t="s">
        <v>6</v>
      </c>
      <c r="P110" s="101"/>
      <c r="Q110" s="103"/>
      <c r="R110" s="104"/>
      <c r="S110" s="104"/>
      <c r="T110" s="104"/>
      <c r="U110" s="104"/>
      <c r="V110" s="104"/>
      <c r="W110" s="105"/>
    </row>
    <row r="111" spans="1:23" ht="15.75" x14ac:dyDescent="0.25">
      <c r="A111" s="106" t="s">
        <v>7</v>
      </c>
      <c r="B111" s="107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7"/>
      <c r="R111" s="107"/>
      <c r="S111" s="107"/>
      <c r="T111" s="107"/>
      <c r="U111" s="107"/>
      <c r="V111" s="107"/>
      <c r="W111" s="110"/>
    </row>
    <row r="112" spans="1:23" x14ac:dyDescent="0.25">
      <c r="A112" s="113" t="s">
        <v>8</v>
      </c>
      <c r="B112" s="114" t="s">
        <v>9</v>
      </c>
      <c r="C112" s="114" t="s">
        <v>10</v>
      </c>
      <c r="D112" s="114" t="s">
        <v>11</v>
      </c>
      <c r="E112" s="114" t="s">
        <v>12</v>
      </c>
      <c r="F112" s="114" t="s">
        <v>13</v>
      </c>
      <c r="G112" s="114" t="s">
        <v>14</v>
      </c>
      <c r="H112" s="114"/>
      <c r="I112" s="114"/>
      <c r="J112" s="114"/>
      <c r="K112" s="114"/>
      <c r="L112" s="114"/>
      <c r="M112" s="114" t="s">
        <v>15</v>
      </c>
      <c r="N112" s="114" t="s">
        <v>16</v>
      </c>
      <c r="O112" s="114" t="s">
        <v>17</v>
      </c>
      <c r="P112" s="114" t="s">
        <v>18</v>
      </c>
      <c r="Q112" s="114" t="s">
        <v>19</v>
      </c>
      <c r="R112" s="114"/>
      <c r="S112" s="114"/>
      <c r="T112" s="114"/>
      <c r="U112" s="114"/>
      <c r="V112" s="114"/>
      <c r="W112" s="115" t="s">
        <v>20</v>
      </c>
    </row>
    <row r="113" spans="1:23" x14ac:dyDescent="0.25">
      <c r="A113" s="113"/>
      <c r="B113" s="114"/>
      <c r="C113" s="114"/>
      <c r="D113" s="114"/>
      <c r="E113" s="114"/>
      <c r="F113" s="114"/>
      <c r="G113" s="31" t="s">
        <v>21</v>
      </c>
      <c r="H113" s="31" t="s">
        <v>21</v>
      </c>
      <c r="I113" s="31" t="s">
        <v>21</v>
      </c>
      <c r="J113" s="31" t="s">
        <v>22</v>
      </c>
      <c r="K113" s="31" t="s">
        <v>22</v>
      </c>
      <c r="L113" s="32" t="s">
        <v>22</v>
      </c>
      <c r="M113" s="138"/>
      <c r="N113" s="114"/>
      <c r="O113" s="114"/>
      <c r="P113" s="114"/>
      <c r="Q113" s="31" t="s">
        <v>21</v>
      </c>
      <c r="R113" s="31" t="s">
        <v>21</v>
      </c>
      <c r="S113" s="31" t="s">
        <v>21</v>
      </c>
      <c r="T113" s="31" t="s">
        <v>22</v>
      </c>
      <c r="U113" s="31" t="s">
        <v>22</v>
      </c>
      <c r="V113" s="31" t="s">
        <v>22</v>
      </c>
      <c r="W113" s="115"/>
    </row>
    <row r="114" spans="1:23" ht="15.75" x14ac:dyDescent="0.25">
      <c r="A114" s="5">
        <v>1</v>
      </c>
      <c r="B114" s="21" t="s">
        <v>449</v>
      </c>
      <c r="C114" s="20">
        <v>46108</v>
      </c>
      <c r="D114" s="36"/>
      <c r="E114" s="21"/>
      <c r="F114" s="21"/>
      <c r="G114" s="21"/>
      <c r="H114" s="21"/>
      <c r="I114" s="21"/>
      <c r="J114" s="21"/>
      <c r="K114" s="24"/>
      <c r="L114" s="29"/>
      <c r="M114" s="57"/>
      <c r="O114" s="21"/>
      <c r="P114" s="21"/>
      <c r="Q114" s="21"/>
      <c r="R114" s="21"/>
      <c r="S114" s="21"/>
      <c r="T114" s="21"/>
      <c r="U114" s="21"/>
      <c r="V114" s="21"/>
      <c r="W114" s="22"/>
    </row>
    <row r="115" spans="1:23" ht="15.75" x14ac:dyDescent="0.25">
      <c r="A115" s="6">
        <v>2</v>
      </c>
      <c r="B115" s="21"/>
      <c r="C115" s="13"/>
      <c r="D115" s="8"/>
      <c r="E115" s="8"/>
      <c r="F115" s="8"/>
      <c r="G115" s="8"/>
      <c r="H115" s="8"/>
      <c r="I115" s="8"/>
      <c r="J115" s="8"/>
      <c r="K115" s="25"/>
      <c r="L115" s="30"/>
      <c r="M115" s="57"/>
      <c r="N115" s="26"/>
      <c r="O115" s="8"/>
      <c r="P115" s="8"/>
      <c r="Q115" s="8"/>
      <c r="R115" s="8"/>
      <c r="S115" s="8"/>
      <c r="T115" s="8"/>
      <c r="U115" s="8"/>
      <c r="V115" s="8"/>
      <c r="W115" s="9"/>
    </row>
    <row r="116" spans="1:23" ht="15.75" x14ac:dyDescent="0.25">
      <c r="A116" s="6">
        <v>3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27"/>
      <c r="M116" s="27"/>
      <c r="N116" s="8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5">
        <v>4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5.75" x14ac:dyDescent="0.25">
      <c r="A118" s="5">
        <v>5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</row>
    <row r="119" spans="1:23" ht="16.5" thickBot="1" x14ac:dyDescent="0.3">
      <c r="A119" s="7">
        <v>6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1" spans="1:23" ht="15.75" thickBot="1" x14ac:dyDescent="0.3"/>
    <row r="122" spans="1:23" ht="15.75" x14ac:dyDescent="0.25">
      <c r="A122" s="100" t="s">
        <v>260</v>
      </c>
      <c r="B122" s="101"/>
      <c r="C122" s="111" t="s">
        <v>522</v>
      </c>
      <c r="D122" s="112"/>
      <c r="E122" s="111" t="s">
        <v>517</v>
      </c>
      <c r="F122" s="112"/>
      <c r="G122" s="101" t="s">
        <v>4</v>
      </c>
      <c r="H122" s="101"/>
      <c r="I122" s="102" t="s">
        <v>359</v>
      </c>
      <c r="J122" s="102"/>
      <c r="K122" s="102"/>
      <c r="L122" s="102"/>
      <c r="M122" s="102"/>
      <c r="N122" s="102"/>
      <c r="O122" s="101" t="s">
        <v>6</v>
      </c>
      <c r="P122" s="101"/>
      <c r="Q122" s="103"/>
      <c r="R122" s="104"/>
      <c r="S122" s="104"/>
      <c r="T122" s="104"/>
      <c r="U122" s="104"/>
      <c r="V122" s="104"/>
      <c r="W122" s="105"/>
    </row>
    <row r="123" spans="1:23" ht="15.75" x14ac:dyDescent="0.25">
      <c r="A123" s="106" t="s">
        <v>7</v>
      </c>
      <c r="B123" s="107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7"/>
      <c r="R123" s="107"/>
      <c r="S123" s="107"/>
      <c r="T123" s="107"/>
      <c r="U123" s="107"/>
      <c r="V123" s="107"/>
      <c r="W123" s="110"/>
    </row>
    <row r="124" spans="1:23" x14ac:dyDescent="0.25">
      <c r="A124" s="113" t="s">
        <v>8</v>
      </c>
      <c r="B124" s="114" t="s">
        <v>9</v>
      </c>
      <c r="C124" s="114" t="s">
        <v>10</v>
      </c>
      <c r="D124" s="114" t="s">
        <v>11</v>
      </c>
      <c r="E124" s="114" t="s">
        <v>12</v>
      </c>
      <c r="F124" s="114" t="s">
        <v>13</v>
      </c>
      <c r="G124" s="114" t="s">
        <v>14</v>
      </c>
      <c r="H124" s="114"/>
      <c r="I124" s="114"/>
      <c r="J124" s="114"/>
      <c r="K124" s="114"/>
      <c r="L124" s="114"/>
      <c r="M124" s="114" t="s">
        <v>15</v>
      </c>
      <c r="N124" s="114" t="s">
        <v>16</v>
      </c>
      <c r="O124" s="114" t="s">
        <v>17</v>
      </c>
      <c r="P124" s="114" t="s">
        <v>18</v>
      </c>
      <c r="Q124" s="114" t="s">
        <v>19</v>
      </c>
      <c r="R124" s="114"/>
      <c r="S124" s="114"/>
      <c r="T124" s="114"/>
      <c r="U124" s="114"/>
      <c r="V124" s="114"/>
      <c r="W124" s="115" t="s">
        <v>20</v>
      </c>
    </row>
    <row r="125" spans="1:23" x14ac:dyDescent="0.25">
      <c r="A125" s="113"/>
      <c r="B125" s="114"/>
      <c r="C125" s="114"/>
      <c r="D125" s="114"/>
      <c r="E125" s="114"/>
      <c r="F125" s="114"/>
      <c r="G125" s="31" t="s">
        <v>21</v>
      </c>
      <c r="H125" s="31" t="s">
        <v>21</v>
      </c>
      <c r="I125" s="31" t="s">
        <v>21</v>
      </c>
      <c r="J125" s="31" t="s">
        <v>22</v>
      </c>
      <c r="K125" s="31" t="s">
        <v>22</v>
      </c>
      <c r="L125" s="32" t="s">
        <v>22</v>
      </c>
      <c r="M125" s="138"/>
      <c r="N125" s="114"/>
      <c r="O125" s="114"/>
      <c r="P125" s="114"/>
      <c r="Q125" s="31" t="s">
        <v>21</v>
      </c>
      <c r="R125" s="31" t="s">
        <v>21</v>
      </c>
      <c r="S125" s="31" t="s">
        <v>21</v>
      </c>
      <c r="T125" s="31" t="s">
        <v>22</v>
      </c>
      <c r="U125" s="31" t="s">
        <v>22</v>
      </c>
      <c r="V125" s="31" t="s">
        <v>22</v>
      </c>
      <c r="W125" s="115"/>
    </row>
    <row r="126" spans="1:23" ht="15.75" x14ac:dyDescent="0.25">
      <c r="A126" s="5">
        <v>1</v>
      </c>
      <c r="B126" s="21" t="s">
        <v>449</v>
      </c>
      <c r="C126" s="20">
        <v>46108</v>
      </c>
      <c r="D126" s="36">
        <v>46182</v>
      </c>
      <c r="E126" s="21">
        <v>2</v>
      </c>
      <c r="F126" s="21">
        <v>0</v>
      </c>
      <c r="G126" s="21">
        <v>125</v>
      </c>
      <c r="H126" s="21"/>
      <c r="I126" s="21"/>
      <c r="J126" s="21">
        <v>120</v>
      </c>
      <c r="K126" s="24"/>
      <c r="L126" s="29"/>
      <c r="M126" s="69">
        <f>AVERAGE(G126:L126)</f>
        <v>122.5</v>
      </c>
      <c r="N126" s="70">
        <v>46204</v>
      </c>
      <c r="O126" s="21">
        <v>2</v>
      </c>
      <c r="P126" s="21">
        <v>0</v>
      </c>
      <c r="Q126" s="80">
        <v>363</v>
      </c>
      <c r="R126" s="80"/>
      <c r="S126" s="80"/>
      <c r="T126" s="80">
        <v>316</v>
      </c>
      <c r="U126" s="80"/>
      <c r="V126" s="80"/>
      <c r="W126" s="68">
        <f>AVERAGE(Q126:V126)</f>
        <v>339.5</v>
      </c>
    </row>
    <row r="127" spans="1:23" ht="15.75" x14ac:dyDescent="0.25">
      <c r="A127" s="6">
        <v>2</v>
      </c>
      <c r="B127" s="21"/>
      <c r="C127" s="13"/>
      <c r="D127" s="8"/>
      <c r="E127" s="8"/>
      <c r="F127" s="8"/>
      <c r="G127" s="8"/>
      <c r="H127" s="8"/>
      <c r="I127" s="8"/>
      <c r="J127" s="8"/>
      <c r="K127" s="25"/>
      <c r="L127" s="30"/>
      <c r="M127" s="57"/>
      <c r="N127" s="26"/>
      <c r="O127" s="8"/>
      <c r="P127" s="8"/>
      <c r="Q127" s="8"/>
      <c r="R127" s="8"/>
      <c r="S127" s="8"/>
      <c r="T127" s="8"/>
      <c r="U127" s="8"/>
      <c r="V127" s="8"/>
      <c r="W127" s="9"/>
    </row>
    <row r="128" spans="1:23" ht="15.75" x14ac:dyDescent="0.25">
      <c r="A128" s="6">
        <v>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27"/>
      <c r="M128" s="27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spans="1:23" ht="15.75" x14ac:dyDescent="0.25">
      <c r="A129" s="5">
        <v>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</row>
    <row r="130" spans="1:23" ht="15.75" x14ac:dyDescent="0.25">
      <c r="A130" s="5">
        <v>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9"/>
    </row>
    <row r="131" spans="1:23" ht="16.5" thickBot="1" x14ac:dyDescent="0.3">
      <c r="A131" s="7">
        <v>6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3" spans="1:23" ht="15.75" thickBot="1" x14ac:dyDescent="0.3"/>
    <row r="134" spans="1:23" ht="15.75" x14ac:dyDescent="0.25">
      <c r="A134" s="100" t="s">
        <v>260</v>
      </c>
      <c r="B134" s="101"/>
      <c r="C134" s="111" t="s">
        <v>523</v>
      </c>
      <c r="D134" s="112"/>
      <c r="E134" s="111" t="s">
        <v>517</v>
      </c>
      <c r="F134" s="112"/>
      <c r="G134" s="101" t="s">
        <v>4</v>
      </c>
      <c r="H134" s="101"/>
      <c r="I134" s="102" t="s">
        <v>359</v>
      </c>
      <c r="J134" s="102"/>
      <c r="K134" s="102"/>
      <c r="L134" s="102"/>
      <c r="M134" s="102"/>
      <c r="N134" s="102"/>
      <c r="O134" s="101" t="s">
        <v>6</v>
      </c>
      <c r="P134" s="101"/>
      <c r="Q134" s="103"/>
      <c r="R134" s="104"/>
      <c r="S134" s="104"/>
      <c r="T134" s="104"/>
      <c r="U134" s="104"/>
      <c r="V134" s="104"/>
      <c r="W134" s="105"/>
    </row>
    <row r="135" spans="1:23" ht="15.75" x14ac:dyDescent="0.25">
      <c r="A135" s="106" t="s">
        <v>7</v>
      </c>
      <c r="B135" s="107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7"/>
      <c r="R135" s="107"/>
      <c r="S135" s="107"/>
      <c r="T135" s="107"/>
      <c r="U135" s="107"/>
      <c r="V135" s="107"/>
      <c r="W135" s="110"/>
    </row>
    <row r="136" spans="1:23" x14ac:dyDescent="0.25">
      <c r="A136" s="113" t="s">
        <v>8</v>
      </c>
      <c r="B136" s="114" t="s">
        <v>9</v>
      </c>
      <c r="C136" s="114" t="s">
        <v>10</v>
      </c>
      <c r="D136" s="114" t="s">
        <v>11</v>
      </c>
      <c r="E136" s="114" t="s">
        <v>12</v>
      </c>
      <c r="F136" s="114" t="s">
        <v>13</v>
      </c>
      <c r="G136" s="114" t="s">
        <v>14</v>
      </c>
      <c r="H136" s="114"/>
      <c r="I136" s="114"/>
      <c r="J136" s="114"/>
      <c r="K136" s="114"/>
      <c r="L136" s="114"/>
      <c r="M136" s="114" t="s">
        <v>15</v>
      </c>
      <c r="N136" s="114" t="s">
        <v>16</v>
      </c>
      <c r="O136" s="114" t="s">
        <v>17</v>
      </c>
      <c r="P136" s="114" t="s">
        <v>18</v>
      </c>
      <c r="Q136" s="114" t="s">
        <v>19</v>
      </c>
      <c r="R136" s="114"/>
      <c r="S136" s="114"/>
      <c r="T136" s="114"/>
      <c r="U136" s="114"/>
      <c r="V136" s="114"/>
      <c r="W136" s="115" t="s">
        <v>20</v>
      </c>
    </row>
    <row r="137" spans="1:23" x14ac:dyDescent="0.25">
      <c r="A137" s="113"/>
      <c r="B137" s="114"/>
      <c r="C137" s="114"/>
      <c r="D137" s="114"/>
      <c r="E137" s="114"/>
      <c r="F137" s="114"/>
      <c r="G137" s="31" t="s">
        <v>21</v>
      </c>
      <c r="H137" s="31" t="s">
        <v>21</v>
      </c>
      <c r="I137" s="31" t="s">
        <v>21</v>
      </c>
      <c r="J137" s="31" t="s">
        <v>22</v>
      </c>
      <c r="K137" s="31" t="s">
        <v>22</v>
      </c>
      <c r="L137" s="32" t="s">
        <v>22</v>
      </c>
      <c r="M137" s="138"/>
      <c r="N137" s="114"/>
      <c r="O137" s="114"/>
      <c r="P137" s="114"/>
      <c r="Q137" s="31" t="s">
        <v>21</v>
      </c>
      <c r="R137" s="31" t="s">
        <v>21</v>
      </c>
      <c r="S137" s="31" t="s">
        <v>21</v>
      </c>
      <c r="T137" s="31" t="s">
        <v>22</v>
      </c>
      <c r="U137" s="31" t="s">
        <v>22</v>
      </c>
      <c r="V137" s="31" t="s">
        <v>22</v>
      </c>
      <c r="W137" s="115"/>
    </row>
    <row r="138" spans="1:23" ht="15.75" x14ac:dyDescent="0.25">
      <c r="A138" s="5">
        <v>1</v>
      </c>
      <c r="B138" s="21" t="s">
        <v>449</v>
      </c>
      <c r="C138" s="20">
        <v>46108</v>
      </c>
      <c r="D138" s="36">
        <v>46196</v>
      </c>
      <c r="E138" s="21">
        <v>1</v>
      </c>
      <c r="F138" s="21">
        <v>0</v>
      </c>
      <c r="G138" s="21"/>
      <c r="H138" s="21"/>
      <c r="I138" s="21"/>
      <c r="J138" s="21">
        <v>118</v>
      </c>
      <c r="K138" s="24"/>
      <c r="L138" s="29"/>
      <c r="M138" s="57">
        <v>118</v>
      </c>
      <c r="N138" s="70">
        <v>46216</v>
      </c>
      <c r="O138" s="21">
        <v>1</v>
      </c>
      <c r="P138" s="21">
        <v>0</v>
      </c>
      <c r="Q138" s="21"/>
      <c r="R138" s="21"/>
      <c r="S138" s="21"/>
      <c r="T138" s="21">
        <v>290</v>
      </c>
      <c r="U138" s="21"/>
      <c r="V138" s="21"/>
      <c r="W138" s="22">
        <v>290</v>
      </c>
    </row>
    <row r="139" spans="1:23" ht="15.75" x14ac:dyDescent="0.25">
      <c r="A139" s="6">
        <v>2</v>
      </c>
      <c r="B139" s="21"/>
      <c r="C139" s="13"/>
      <c r="D139" s="8"/>
      <c r="E139" s="8"/>
      <c r="F139" s="8"/>
      <c r="G139" s="8"/>
      <c r="H139" s="8"/>
      <c r="I139" s="8"/>
      <c r="J139" s="8"/>
      <c r="K139" s="25"/>
      <c r="L139" s="30"/>
      <c r="M139" s="57"/>
      <c r="N139" s="26"/>
      <c r="O139" s="8"/>
      <c r="P139" s="8"/>
      <c r="Q139" s="8"/>
      <c r="R139" s="8"/>
      <c r="S139" s="8"/>
      <c r="T139" s="8"/>
      <c r="U139" s="8"/>
      <c r="V139" s="8"/>
      <c r="W139" s="9"/>
    </row>
    <row r="140" spans="1:23" ht="15.75" x14ac:dyDescent="0.25">
      <c r="A140" s="6">
        <v>3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27"/>
      <c r="M140" s="27"/>
      <c r="N140" s="8"/>
      <c r="O140" s="8"/>
      <c r="P140" s="8"/>
      <c r="Q140" s="8"/>
      <c r="R140" s="8"/>
      <c r="S140" s="8"/>
      <c r="T140" s="8"/>
      <c r="U140" s="8"/>
      <c r="V140" s="8"/>
      <c r="W140" s="9"/>
    </row>
    <row r="141" spans="1:23" ht="15.75" x14ac:dyDescent="0.25">
      <c r="A141" s="5">
        <v>4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spans="1:23" ht="15.75" x14ac:dyDescent="0.25">
      <c r="A142" s="5">
        <v>5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</row>
    <row r="143" spans="1:23" ht="16.5" thickBot="1" x14ac:dyDescent="0.3">
      <c r="A143" s="7">
        <v>6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5" spans="1:23" ht="15.75" thickBot="1" x14ac:dyDescent="0.3"/>
    <row r="146" spans="1:23" ht="15.75" x14ac:dyDescent="0.25">
      <c r="A146" s="100" t="s">
        <v>260</v>
      </c>
      <c r="B146" s="101"/>
      <c r="C146" s="111" t="s">
        <v>524</v>
      </c>
      <c r="D146" s="112"/>
      <c r="E146" s="111" t="s">
        <v>517</v>
      </c>
      <c r="F146" s="112"/>
      <c r="G146" s="101" t="s">
        <v>4</v>
      </c>
      <c r="H146" s="101"/>
      <c r="I146" s="102" t="s">
        <v>359</v>
      </c>
      <c r="J146" s="102"/>
      <c r="K146" s="102"/>
      <c r="L146" s="102"/>
      <c r="M146" s="102"/>
      <c r="N146" s="102"/>
      <c r="O146" s="101" t="s">
        <v>6</v>
      </c>
      <c r="P146" s="101"/>
      <c r="Q146" s="103"/>
      <c r="R146" s="104"/>
      <c r="S146" s="104"/>
      <c r="T146" s="104"/>
      <c r="U146" s="104"/>
      <c r="V146" s="104"/>
      <c r="W146" s="105"/>
    </row>
    <row r="147" spans="1:23" ht="15.75" x14ac:dyDescent="0.25">
      <c r="A147" s="106" t="s">
        <v>7</v>
      </c>
      <c r="B147" s="107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7"/>
      <c r="R147" s="107"/>
      <c r="S147" s="107"/>
      <c r="T147" s="107"/>
      <c r="U147" s="107"/>
      <c r="V147" s="107"/>
      <c r="W147" s="110"/>
    </row>
    <row r="148" spans="1:23" x14ac:dyDescent="0.25">
      <c r="A148" s="113" t="s">
        <v>8</v>
      </c>
      <c r="B148" s="114" t="s">
        <v>9</v>
      </c>
      <c r="C148" s="114" t="s">
        <v>10</v>
      </c>
      <c r="D148" s="114" t="s">
        <v>11</v>
      </c>
      <c r="E148" s="114" t="s">
        <v>12</v>
      </c>
      <c r="F148" s="114" t="s">
        <v>13</v>
      </c>
      <c r="G148" s="114" t="s">
        <v>14</v>
      </c>
      <c r="H148" s="114"/>
      <c r="I148" s="114"/>
      <c r="J148" s="114"/>
      <c r="K148" s="114"/>
      <c r="L148" s="114"/>
      <c r="M148" s="114" t="s">
        <v>15</v>
      </c>
      <c r="N148" s="114" t="s">
        <v>16</v>
      </c>
      <c r="O148" s="114" t="s">
        <v>17</v>
      </c>
      <c r="P148" s="114" t="s">
        <v>18</v>
      </c>
      <c r="Q148" s="114" t="s">
        <v>19</v>
      </c>
      <c r="R148" s="114"/>
      <c r="S148" s="114"/>
      <c r="T148" s="114"/>
      <c r="U148" s="114"/>
      <c r="V148" s="114"/>
      <c r="W148" s="115" t="s">
        <v>20</v>
      </c>
    </row>
    <row r="149" spans="1:23" x14ac:dyDescent="0.25">
      <c r="A149" s="113"/>
      <c r="B149" s="114"/>
      <c r="C149" s="114"/>
      <c r="D149" s="114"/>
      <c r="E149" s="114"/>
      <c r="F149" s="114"/>
      <c r="G149" s="31" t="s">
        <v>21</v>
      </c>
      <c r="H149" s="31" t="s">
        <v>21</v>
      </c>
      <c r="I149" s="31" t="s">
        <v>21</v>
      </c>
      <c r="J149" s="31" t="s">
        <v>22</v>
      </c>
      <c r="K149" s="31" t="s">
        <v>22</v>
      </c>
      <c r="L149" s="32" t="s">
        <v>22</v>
      </c>
      <c r="M149" s="138"/>
      <c r="N149" s="114"/>
      <c r="O149" s="114"/>
      <c r="P149" s="114"/>
      <c r="Q149" s="31" t="s">
        <v>21</v>
      </c>
      <c r="R149" s="31" t="s">
        <v>21</v>
      </c>
      <c r="S149" s="31" t="s">
        <v>21</v>
      </c>
      <c r="T149" s="31" t="s">
        <v>22</v>
      </c>
      <c r="U149" s="31" t="s">
        <v>22</v>
      </c>
      <c r="V149" s="31" t="s">
        <v>22</v>
      </c>
      <c r="W149" s="115"/>
    </row>
    <row r="150" spans="1:23" ht="15.75" x14ac:dyDescent="0.25">
      <c r="A150" s="5">
        <v>1</v>
      </c>
      <c r="B150" s="21" t="s">
        <v>449</v>
      </c>
      <c r="C150" s="20">
        <v>46108</v>
      </c>
      <c r="D150" s="36">
        <v>46184</v>
      </c>
      <c r="E150" s="21">
        <v>1</v>
      </c>
      <c r="F150" s="21">
        <v>0</v>
      </c>
      <c r="G150" s="21">
        <v>128</v>
      </c>
      <c r="H150" s="21"/>
      <c r="I150" s="21"/>
      <c r="J150" s="21"/>
      <c r="K150" s="24"/>
      <c r="L150" s="29"/>
      <c r="M150" s="57">
        <v>128</v>
      </c>
      <c r="N150" s="70">
        <v>46204</v>
      </c>
      <c r="O150" s="21">
        <v>1</v>
      </c>
      <c r="P150" s="21">
        <v>0</v>
      </c>
      <c r="Q150" s="21">
        <v>339</v>
      </c>
      <c r="R150" s="21"/>
      <c r="S150" s="21"/>
      <c r="T150" s="21"/>
      <c r="U150" s="21"/>
      <c r="V150" s="21"/>
      <c r="W150" s="22">
        <v>339</v>
      </c>
    </row>
    <row r="151" spans="1:23" ht="15.75" x14ac:dyDescent="0.25">
      <c r="A151" s="6">
        <v>2</v>
      </c>
      <c r="B151" s="21"/>
      <c r="C151" s="13"/>
      <c r="D151" s="8"/>
      <c r="E151" s="8"/>
      <c r="F151" s="8"/>
      <c r="G151" s="8"/>
      <c r="H151" s="8"/>
      <c r="I151" s="8"/>
      <c r="J151" s="8"/>
      <c r="K151" s="25"/>
      <c r="L151" s="30"/>
      <c r="M151" s="57"/>
      <c r="N151" s="26"/>
      <c r="O151" s="8"/>
      <c r="P151" s="8"/>
      <c r="Q151" s="8"/>
      <c r="R151" s="8"/>
      <c r="S151" s="8"/>
      <c r="T151" s="8"/>
      <c r="U151" s="8"/>
      <c r="V151" s="8"/>
      <c r="W151" s="9"/>
    </row>
    <row r="152" spans="1:23" ht="15.75" x14ac:dyDescent="0.25">
      <c r="A152" s="6">
        <v>3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27"/>
      <c r="M152" s="27"/>
      <c r="N152" s="8"/>
      <c r="O152" s="8"/>
      <c r="P152" s="8"/>
      <c r="Q152" s="8"/>
      <c r="R152" s="8"/>
      <c r="S152" s="8"/>
      <c r="T152" s="8"/>
      <c r="U152" s="8"/>
      <c r="V152" s="8"/>
      <c r="W152" s="9"/>
    </row>
    <row r="153" spans="1:23" ht="15.75" x14ac:dyDescent="0.25">
      <c r="A153" s="5">
        <v>4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</row>
    <row r="154" spans="1:23" ht="15.75" x14ac:dyDescent="0.25">
      <c r="A154" s="5">
        <v>5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</row>
    <row r="155" spans="1:23" ht="16.5" thickBot="1" x14ac:dyDescent="0.3">
      <c r="A155" s="7">
        <v>6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7" spans="1:23" ht="15.75" thickBot="1" x14ac:dyDescent="0.3"/>
    <row r="158" spans="1:23" ht="15.75" x14ac:dyDescent="0.25">
      <c r="A158" s="100" t="s">
        <v>260</v>
      </c>
      <c r="B158" s="101"/>
      <c r="C158" s="111" t="s">
        <v>526</v>
      </c>
      <c r="D158" s="112"/>
      <c r="E158" s="111" t="s">
        <v>525</v>
      </c>
      <c r="F158" s="112"/>
      <c r="G158" s="101" t="s">
        <v>4</v>
      </c>
      <c r="H158" s="101"/>
      <c r="I158" s="102" t="s">
        <v>425</v>
      </c>
      <c r="J158" s="102"/>
      <c r="K158" s="102"/>
      <c r="L158" s="102"/>
      <c r="M158" s="102"/>
      <c r="N158" s="102"/>
      <c r="O158" s="101" t="s">
        <v>6</v>
      </c>
      <c r="P158" s="101"/>
      <c r="Q158" s="103"/>
      <c r="R158" s="104"/>
      <c r="S158" s="104"/>
      <c r="T158" s="104"/>
      <c r="U158" s="104"/>
      <c r="V158" s="104"/>
      <c r="W158" s="105"/>
    </row>
    <row r="159" spans="1:23" ht="15.75" x14ac:dyDescent="0.25">
      <c r="A159" s="106" t="s">
        <v>7</v>
      </c>
      <c r="B159" s="107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7"/>
      <c r="R159" s="107"/>
      <c r="S159" s="107"/>
      <c r="T159" s="107"/>
      <c r="U159" s="107"/>
      <c r="V159" s="107"/>
      <c r="W159" s="110"/>
    </row>
    <row r="160" spans="1:23" x14ac:dyDescent="0.25">
      <c r="A160" s="113" t="s">
        <v>8</v>
      </c>
      <c r="B160" s="114" t="s">
        <v>9</v>
      </c>
      <c r="C160" s="114" t="s">
        <v>10</v>
      </c>
      <c r="D160" s="114" t="s">
        <v>11</v>
      </c>
      <c r="E160" s="114" t="s">
        <v>12</v>
      </c>
      <c r="F160" s="114" t="s">
        <v>13</v>
      </c>
      <c r="G160" s="114" t="s">
        <v>14</v>
      </c>
      <c r="H160" s="114"/>
      <c r="I160" s="114"/>
      <c r="J160" s="114"/>
      <c r="K160" s="114"/>
      <c r="L160" s="114"/>
      <c r="M160" s="114" t="s">
        <v>15</v>
      </c>
      <c r="N160" s="114" t="s">
        <v>16</v>
      </c>
      <c r="O160" s="114" t="s">
        <v>17</v>
      </c>
      <c r="P160" s="114" t="s">
        <v>18</v>
      </c>
      <c r="Q160" s="114" t="s">
        <v>19</v>
      </c>
      <c r="R160" s="114"/>
      <c r="S160" s="114"/>
      <c r="T160" s="114"/>
      <c r="U160" s="114"/>
      <c r="V160" s="114"/>
      <c r="W160" s="115" t="s">
        <v>20</v>
      </c>
    </row>
    <row r="161" spans="1:23" x14ac:dyDescent="0.25">
      <c r="A161" s="113"/>
      <c r="B161" s="114"/>
      <c r="C161" s="114"/>
      <c r="D161" s="114"/>
      <c r="E161" s="114"/>
      <c r="F161" s="114"/>
      <c r="G161" s="31" t="s">
        <v>21</v>
      </c>
      <c r="H161" s="31" t="s">
        <v>21</v>
      </c>
      <c r="I161" s="31" t="s">
        <v>21</v>
      </c>
      <c r="J161" s="31" t="s">
        <v>22</v>
      </c>
      <c r="K161" s="31" t="s">
        <v>22</v>
      </c>
      <c r="L161" s="32" t="s">
        <v>22</v>
      </c>
      <c r="M161" s="138"/>
      <c r="N161" s="114"/>
      <c r="O161" s="114"/>
      <c r="P161" s="114"/>
      <c r="Q161" s="31" t="s">
        <v>21</v>
      </c>
      <c r="R161" s="31" t="s">
        <v>21</v>
      </c>
      <c r="S161" s="31" t="s">
        <v>21</v>
      </c>
      <c r="T161" s="31" t="s">
        <v>22</v>
      </c>
      <c r="U161" s="31" t="s">
        <v>22</v>
      </c>
      <c r="V161" s="31" t="s">
        <v>22</v>
      </c>
      <c r="W161" s="115"/>
    </row>
    <row r="162" spans="1:23" ht="15.75" x14ac:dyDescent="0.25">
      <c r="A162" s="5">
        <v>1</v>
      </c>
      <c r="B162" s="21" t="s">
        <v>527</v>
      </c>
      <c r="C162" s="20">
        <v>46108</v>
      </c>
      <c r="D162" s="36"/>
      <c r="E162" s="21"/>
      <c r="F162" s="21"/>
      <c r="G162" s="21"/>
      <c r="H162" s="21"/>
      <c r="I162" s="21"/>
      <c r="J162" s="21"/>
      <c r="K162" s="24"/>
      <c r="L162" s="29"/>
      <c r="M162" s="57"/>
      <c r="O162" s="21"/>
      <c r="P162" s="21"/>
      <c r="Q162" s="21"/>
      <c r="R162" s="21"/>
      <c r="S162" s="21"/>
      <c r="T162" s="21"/>
      <c r="U162" s="21"/>
      <c r="V162" s="21"/>
      <c r="W162" s="22"/>
    </row>
    <row r="163" spans="1:23" ht="15.75" x14ac:dyDescent="0.25">
      <c r="A163" s="6">
        <v>2</v>
      </c>
      <c r="B163" s="21"/>
      <c r="C163" s="13"/>
      <c r="D163" s="8"/>
      <c r="E163" s="8"/>
      <c r="F163" s="8"/>
      <c r="G163" s="8"/>
      <c r="H163" s="8"/>
      <c r="I163" s="8"/>
      <c r="J163" s="8"/>
      <c r="K163" s="25"/>
      <c r="L163" s="30"/>
      <c r="M163" s="57"/>
      <c r="N163" s="26"/>
      <c r="O163" s="8"/>
      <c r="P163" s="8"/>
      <c r="Q163" s="8"/>
      <c r="R163" s="8"/>
      <c r="S163" s="8"/>
      <c r="T163" s="8"/>
      <c r="U163" s="8"/>
      <c r="V163" s="8"/>
      <c r="W163" s="9"/>
    </row>
    <row r="164" spans="1:23" ht="15.75" x14ac:dyDescent="0.25">
      <c r="A164" s="6">
        <v>3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27"/>
      <c r="M164" s="27"/>
      <c r="N164" s="8"/>
      <c r="O164" s="8"/>
      <c r="P164" s="8"/>
      <c r="Q164" s="8"/>
      <c r="R164" s="8"/>
      <c r="S164" s="8"/>
      <c r="T164" s="8"/>
      <c r="U164" s="8"/>
      <c r="V164" s="8"/>
      <c r="W164" s="9"/>
    </row>
    <row r="165" spans="1:23" ht="15.75" x14ac:dyDescent="0.25">
      <c r="A165" s="5">
        <v>4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spans="1:23" ht="15.75" x14ac:dyDescent="0.25">
      <c r="A166" s="5">
        <v>5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</row>
    <row r="167" spans="1:23" ht="16.5" thickBot="1" x14ac:dyDescent="0.3">
      <c r="A167" s="7">
        <v>6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9" spans="1:23" ht="15.75" thickBot="1" x14ac:dyDescent="0.3"/>
    <row r="170" spans="1:23" ht="15.75" x14ac:dyDescent="0.25">
      <c r="A170" s="100" t="s">
        <v>260</v>
      </c>
      <c r="B170" s="101"/>
      <c r="C170" s="111" t="s">
        <v>528</v>
      </c>
      <c r="D170" s="112"/>
      <c r="E170" s="111" t="s">
        <v>525</v>
      </c>
      <c r="F170" s="112"/>
      <c r="G170" s="101" t="s">
        <v>4</v>
      </c>
      <c r="H170" s="101"/>
      <c r="I170" s="102" t="s">
        <v>425</v>
      </c>
      <c r="J170" s="102"/>
      <c r="K170" s="102"/>
      <c r="L170" s="102"/>
      <c r="M170" s="102"/>
      <c r="N170" s="102"/>
      <c r="O170" s="101" t="s">
        <v>6</v>
      </c>
      <c r="P170" s="101"/>
      <c r="Q170" s="103"/>
      <c r="R170" s="104"/>
      <c r="S170" s="104"/>
      <c r="T170" s="104"/>
      <c r="U170" s="104"/>
      <c r="V170" s="104"/>
      <c r="W170" s="105"/>
    </row>
    <row r="171" spans="1:23" ht="15.75" x14ac:dyDescent="0.25">
      <c r="A171" s="106" t="s">
        <v>7</v>
      </c>
      <c r="B171" s="107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7"/>
      <c r="R171" s="107"/>
      <c r="S171" s="107"/>
      <c r="T171" s="107"/>
      <c r="U171" s="107"/>
      <c r="V171" s="107"/>
      <c r="W171" s="110"/>
    </row>
    <row r="172" spans="1:23" x14ac:dyDescent="0.25">
      <c r="A172" s="113" t="s">
        <v>8</v>
      </c>
      <c r="B172" s="114" t="s">
        <v>9</v>
      </c>
      <c r="C172" s="114" t="s">
        <v>10</v>
      </c>
      <c r="D172" s="114" t="s">
        <v>11</v>
      </c>
      <c r="E172" s="114" t="s">
        <v>12</v>
      </c>
      <c r="F172" s="114" t="s">
        <v>13</v>
      </c>
      <c r="G172" s="114" t="s">
        <v>14</v>
      </c>
      <c r="H172" s="114"/>
      <c r="I172" s="114"/>
      <c r="J172" s="114"/>
      <c r="K172" s="114"/>
      <c r="L172" s="114"/>
      <c r="M172" s="114" t="s">
        <v>15</v>
      </c>
      <c r="N172" s="114" t="s">
        <v>16</v>
      </c>
      <c r="O172" s="114" t="s">
        <v>17</v>
      </c>
      <c r="P172" s="114" t="s">
        <v>18</v>
      </c>
      <c r="Q172" s="114" t="s">
        <v>19</v>
      </c>
      <c r="R172" s="114"/>
      <c r="S172" s="114"/>
      <c r="T172" s="114"/>
      <c r="U172" s="114"/>
      <c r="V172" s="114"/>
      <c r="W172" s="115" t="s">
        <v>20</v>
      </c>
    </row>
    <row r="173" spans="1:23" x14ac:dyDescent="0.25">
      <c r="A173" s="113"/>
      <c r="B173" s="114"/>
      <c r="C173" s="114"/>
      <c r="D173" s="114"/>
      <c r="E173" s="114"/>
      <c r="F173" s="114"/>
      <c r="G173" s="31" t="s">
        <v>21</v>
      </c>
      <c r="H173" s="31" t="s">
        <v>21</v>
      </c>
      <c r="I173" s="31" t="s">
        <v>21</v>
      </c>
      <c r="J173" s="31" t="s">
        <v>22</v>
      </c>
      <c r="K173" s="31" t="s">
        <v>22</v>
      </c>
      <c r="L173" s="32" t="s">
        <v>22</v>
      </c>
      <c r="M173" s="138"/>
      <c r="N173" s="114"/>
      <c r="O173" s="114"/>
      <c r="P173" s="114"/>
      <c r="Q173" s="31" t="s">
        <v>21</v>
      </c>
      <c r="R173" s="31" t="s">
        <v>21</v>
      </c>
      <c r="S173" s="31" t="s">
        <v>21</v>
      </c>
      <c r="T173" s="31" t="s">
        <v>22</v>
      </c>
      <c r="U173" s="31" t="s">
        <v>22</v>
      </c>
      <c r="V173" s="31" t="s">
        <v>22</v>
      </c>
      <c r="W173" s="115"/>
    </row>
    <row r="174" spans="1:23" ht="15.75" x14ac:dyDescent="0.25">
      <c r="A174" s="5">
        <v>1</v>
      </c>
      <c r="B174" s="21" t="s">
        <v>527</v>
      </c>
      <c r="C174" s="20">
        <v>46108</v>
      </c>
      <c r="D174" s="36"/>
      <c r="E174" s="21"/>
      <c r="F174" s="21"/>
      <c r="G174" s="21"/>
      <c r="H174" s="21"/>
      <c r="I174" s="21"/>
      <c r="J174" s="21"/>
      <c r="K174" s="24"/>
      <c r="L174" s="29"/>
      <c r="M174" s="57"/>
      <c r="O174" s="21"/>
      <c r="P174" s="21"/>
      <c r="Q174" s="21"/>
      <c r="R174" s="21"/>
      <c r="S174" s="21"/>
      <c r="T174" s="21"/>
      <c r="U174" s="21"/>
      <c r="V174" s="21"/>
      <c r="W174" s="22"/>
    </row>
    <row r="175" spans="1:23" ht="15.75" x14ac:dyDescent="0.25">
      <c r="A175" s="6">
        <v>2</v>
      </c>
      <c r="B175" s="21"/>
      <c r="C175" s="13"/>
      <c r="D175" s="8"/>
      <c r="E175" s="8"/>
      <c r="F175" s="8"/>
      <c r="G175" s="8"/>
      <c r="H175" s="8"/>
      <c r="I175" s="8"/>
      <c r="J175" s="8"/>
      <c r="K175" s="25"/>
      <c r="L175" s="30"/>
      <c r="M175" s="57"/>
      <c r="N175" s="26"/>
      <c r="O175" s="8"/>
      <c r="P175" s="8"/>
      <c r="Q175" s="8"/>
      <c r="R175" s="8"/>
      <c r="S175" s="8"/>
      <c r="T175" s="8"/>
      <c r="U175" s="8"/>
      <c r="V175" s="8"/>
      <c r="W175" s="9"/>
    </row>
    <row r="176" spans="1:23" ht="15.75" x14ac:dyDescent="0.25">
      <c r="A176" s="6">
        <v>3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27"/>
      <c r="M176" s="27"/>
      <c r="N176" s="8"/>
      <c r="O176" s="8"/>
      <c r="P176" s="8"/>
      <c r="Q176" s="8"/>
      <c r="R176" s="8"/>
      <c r="S176" s="8"/>
      <c r="T176" s="8"/>
      <c r="U176" s="8"/>
      <c r="V176" s="8"/>
      <c r="W176" s="9"/>
    </row>
    <row r="177" spans="1:23" ht="15.75" x14ac:dyDescent="0.25">
      <c r="A177" s="5">
        <v>4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</row>
    <row r="178" spans="1:23" ht="15.75" x14ac:dyDescent="0.25">
      <c r="A178" s="5">
        <v>5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</row>
    <row r="179" spans="1:23" ht="16.5" thickBot="1" x14ac:dyDescent="0.3">
      <c r="A179" s="7">
        <v>6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1" spans="1:23" ht="15.75" thickBot="1" x14ac:dyDescent="0.3"/>
    <row r="182" spans="1:23" ht="15.75" x14ac:dyDescent="0.25">
      <c r="A182" s="100" t="s">
        <v>260</v>
      </c>
      <c r="B182" s="101"/>
      <c r="C182" s="111" t="s">
        <v>529</v>
      </c>
      <c r="D182" s="112"/>
      <c r="E182" s="111" t="s">
        <v>525</v>
      </c>
      <c r="F182" s="112"/>
      <c r="G182" s="101" t="s">
        <v>4</v>
      </c>
      <c r="H182" s="101"/>
      <c r="I182" s="102" t="s">
        <v>425</v>
      </c>
      <c r="J182" s="102"/>
      <c r="K182" s="102"/>
      <c r="L182" s="102"/>
      <c r="M182" s="102"/>
      <c r="N182" s="102"/>
      <c r="O182" s="101" t="s">
        <v>6</v>
      </c>
      <c r="P182" s="101"/>
      <c r="Q182" s="103"/>
      <c r="R182" s="104"/>
      <c r="S182" s="104"/>
      <c r="T182" s="104"/>
      <c r="U182" s="104"/>
      <c r="V182" s="104"/>
      <c r="W182" s="105"/>
    </row>
    <row r="183" spans="1:23" ht="15.75" x14ac:dyDescent="0.25">
      <c r="A183" s="106" t="s">
        <v>7</v>
      </c>
      <c r="B183" s="107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7"/>
      <c r="R183" s="107"/>
      <c r="S183" s="107"/>
      <c r="T183" s="107"/>
      <c r="U183" s="107"/>
      <c r="V183" s="107"/>
      <c r="W183" s="110"/>
    </row>
    <row r="184" spans="1:23" x14ac:dyDescent="0.25">
      <c r="A184" s="113" t="s">
        <v>8</v>
      </c>
      <c r="B184" s="114" t="s">
        <v>9</v>
      </c>
      <c r="C184" s="114" t="s">
        <v>10</v>
      </c>
      <c r="D184" s="114" t="s">
        <v>11</v>
      </c>
      <c r="E184" s="114" t="s">
        <v>12</v>
      </c>
      <c r="F184" s="114" t="s">
        <v>13</v>
      </c>
      <c r="G184" s="114" t="s">
        <v>14</v>
      </c>
      <c r="H184" s="114"/>
      <c r="I184" s="114"/>
      <c r="J184" s="114"/>
      <c r="K184" s="114"/>
      <c r="L184" s="114"/>
      <c r="M184" s="114" t="s">
        <v>15</v>
      </c>
      <c r="N184" s="114" t="s">
        <v>16</v>
      </c>
      <c r="O184" s="114" t="s">
        <v>17</v>
      </c>
      <c r="P184" s="114" t="s">
        <v>18</v>
      </c>
      <c r="Q184" s="114" t="s">
        <v>19</v>
      </c>
      <c r="R184" s="114"/>
      <c r="S184" s="114"/>
      <c r="T184" s="114"/>
      <c r="U184" s="114"/>
      <c r="V184" s="114"/>
      <c r="W184" s="115" t="s">
        <v>20</v>
      </c>
    </row>
    <row r="185" spans="1:23" x14ac:dyDescent="0.25">
      <c r="A185" s="113"/>
      <c r="B185" s="114"/>
      <c r="C185" s="114"/>
      <c r="D185" s="114"/>
      <c r="E185" s="114"/>
      <c r="F185" s="114"/>
      <c r="G185" s="31" t="s">
        <v>21</v>
      </c>
      <c r="H185" s="31" t="s">
        <v>21</v>
      </c>
      <c r="I185" s="31" t="s">
        <v>21</v>
      </c>
      <c r="J185" s="31" t="s">
        <v>22</v>
      </c>
      <c r="K185" s="31" t="s">
        <v>22</v>
      </c>
      <c r="L185" s="32" t="s">
        <v>22</v>
      </c>
      <c r="M185" s="138"/>
      <c r="N185" s="114"/>
      <c r="O185" s="114"/>
      <c r="P185" s="114"/>
      <c r="Q185" s="31" t="s">
        <v>21</v>
      </c>
      <c r="R185" s="31" t="s">
        <v>21</v>
      </c>
      <c r="S185" s="31" t="s">
        <v>21</v>
      </c>
      <c r="T185" s="31" t="s">
        <v>22</v>
      </c>
      <c r="U185" s="31" t="s">
        <v>22</v>
      </c>
      <c r="V185" s="31" t="s">
        <v>22</v>
      </c>
      <c r="W185" s="115"/>
    </row>
    <row r="186" spans="1:23" ht="15.75" x14ac:dyDescent="0.25">
      <c r="A186" s="5">
        <v>1</v>
      </c>
      <c r="B186" s="21" t="s">
        <v>527</v>
      </c>
      <c r="C186" s="20">
        <v>46108</v>
      </c>
      <c r="D186" s="36"/>
      <c r="E186" s="21"/>
      <c r="F186" s="21"/>
      <c r="G186" s="21"/>
      <c r="H186" s="21"/>
      <c r="I186" s="21"/>
      <c r="J186" s="21"/>
      <c r="K186" s="24"/>
      <c r="L186" s="29"/>
      <c r="M186" s="57"/>
      <c r="O186" s="21"/>
      <c r="P186" s="21"/>
      <c r="Q186" s="21"/>
      <c r="R186" s="21"/>
      <c r="S186" s="21"/>
      <c r="T186" s="21"/>
      <c r="U186" s="21"/>
      <c r="V186" s="21"/>
      <c r="W186" s="22"/>
    </row>
    <row r="187" spans="1:23" ht="15.75" x14ac:dyDescent="0.25">
      <c r="A187" s="6">
        <v>2</v>
      </c>
      <c r="B187" s="21"/>
      <c r="C187" s="13"/>
      <c r="D187" s="8"/>
      <c r="E187" s="8"/>
      <c r="F187" s="8"/>
      <c r="G187" s="8"/>
      <c r="H187" s="8"/>
      <c r="I187" s="8"/>
      <c r="J187" s="8"/>
      <c r="K187" s="25"/>
      <c r="L187" s="30"/>
      <c r="M187" s="57"/>
      <c r="N187" s="26"/>
      <c r="O187" s="8"/>
      <c r="P187" s="8"/>
      <c r="Q187" s="8"/>
      <c r="R187" s="8"/>
      <c r="S187" s="8"/>
      <c r="T187" s="8"/>
      <c r="U187" s="8"/>
      <c r="V187" s="8"/>
      <c r="W187" s="9"/>
    </row>
    <row r="188" spans="1:23" ht="15.75" x14ac:dyDescent="0.25">
      <c r="A188" s="6">
        <v>3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27"/>
      <c r="M188" s="27"/>
      <c r="N188" s="8"/>
      <c r="O188" s="8"/>
      <c r="P188" s="8"/>
      <c r="Q188" s="8"/>
      <c r="R188" s="8"/>
      <c r="S188" s="8"/>
      <c r="T188" s="8"/>
      <c r="U188" s="8"/>
      <c r="V188" s="8"/>
      <c r="W188" s="9"/>
    </row>
    <row r="189" spans="1:23" ht="15.75" x14ac:dyDescent="0.25">
      <c r="A189" s="5">
        <v>4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</row>
    <row r="190" spans="1:23" ht="15.75" x14ac:dyDescent="0.25">
      <c r="A190" s="5">
        <v>5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</row>
    <row r="191" spans="1:23" ht="16.5" thickBot="1" x14ac:dyDescent="0.3">
      <c r="A191" s="7">
        <v>6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3" spans="1:23" ht="15.75" thickBot="1" x14ac:dyDescent="0.3"/>
    <row r="194" spans="1:23" ht="15.75" x14ac:dyDescent="0.25">
      <c r="A194" s="100" t="s">
        <v>260</v>
      </c>
      <c r="B194" s="101"/>
      <c r="C194" s="111" t="s">
        <v>530</v>
      </c>
      <c r="D194" s="112"/>
      <c r="E194" s="111" t="s">
        <v>374</v>
      </c>
      <c r="F194" s="112"/>
      <c r="G194" s="101" t="s">
        <v>4</v>
      </c>
      <c r="H194" s="101"/>
      <c r="I194" s="102" t="s">
        <v>135</v>
      </c>
      <c r="J194" s="102"/>
      <c r="K194" s="102"/>
      <c r="L194" s="102"/>
      <c r="M194" s="102"/>
      <c r="N194" s="102"/>
      <c r="O194" s="101" t="s">
        <v>6</v>
      </c>
      <c r="P194" s="101"/>
      <c r="Q194" s="103"/>
      <c r="R194" s="104"/>
      <c r="S194" s="104"/>
      <c r="T194" s="104"/>
      <c r="U194" s="104"/>
      <c r="V194" s="104"/>
      <c r="W194" s="105"/>
    </row>
    <row r="195" spans="1:23" ht="15.75" x14ac:dyDescent="0.25">
      <c r="A195" s="106" t="s">
        <v>7</v>
      </c>
      <c r="B195" s="107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7"/>
      <c r="R195" s="107"/>
      <c r="S195" s="107"/>
      <c r="T195" s="107"/>
      <c r="U195" s="107"/>
      <c r="V195" s="107"/>
      <c r="W195" s="110"/>
    </row>
    <row r="196" spans="1:23" x14ac:dyDescent="0.25">
      <c r="A196" s="113" t="s">
        <v>8</v>
      </c>
      <c r="B196" s="114" t="s">
        <v>9</v>
      </c>
      <c r="C196" s="114" t="s">
        <v>10</v>
      </c>
      <c r="D196" s="114" t="s">
        <v>11</v>
      </c>
      <c r="E196" s="114" t="s">
        <v>12</v>
      </c>
      <c r="F196" s="114" t="s">
        <v>13</v>
      </c>
      <c r="G196" s="114" t="s">
        <v>14</v>
      </c>
      <c r="H196" s="114"/>
      <c r="I196" s="114"/>
      <c r="J196" s="114"/>
      <c r="K196" s="114"/>
      <c r="L196" s="114"/>
      <c r="M196" s="114" t="s">
        <v>15</v>
      </c>
      <c r="N196" s="114" t="s">
        <v>16</v>
      </c>
      <c r="O196" s="114" t="s">
        <v>17</v>
      </c>
      <c r="P196" s="114" t="s">
        <v>18</v>
      </c>
      <c r="Q196" s="114" t="s">
        <v>19</v>
      </c>
      <c r="R196" s="114"/>
      <c r="S196" s="114"/>
      <c r="T196" s="114"/>
      <c r="U196" s="114"/>
      <c r="V196" s="114"/>
      <c r="W196" s="115" t="s">
        <v>20</v>
      </c>
    </row>
    <row r="197" spans="1:23" x14ac:dyDescent="0.25">
      <c r="A197" s="113"/>
      <c r="B197" s="114"/>
      <c r="C197" s="114"/>
      <c r="D197" s="114"/>
      <c r="E197" s="114"/>
      <c r="F197" s="114"/>
      <c r="G197" s="31" t="s">
        <v>21</v>
      </c>
      <c r="H197" s="31" t="s">
        <v>21</v>
      </c>
      <c r="I197" s="31" t="s">
        <v>21</v>
      </c>
      <c r="J197" s="31" t="s">
        <v>22</v>
      </c>
      <c r="K197" s="31" t="s">
        <v>22</v>
      </c>
      <c r="L197" s="32" t="s">
        <v>22</v>
      </c>
      <c r="M197" s="138"/>
      <c r="N197" s="114"/>
      <c r="O197" s="114"/>
      <c r="P197" s="114"/>
      <c r="Q197" s="31" t="s">
        <v>21</v>
      </c>
      <c r="R197" s="31" t="s">
        <v>21</v>
      </c>
      <c r="S197" s="31" t="s">
        <v>21</v>
      </c>
      <c r="T197" s="31" t="s">
        <v>22</v>
      </c>
      <c r="U197" s="31" t="s">
        <v>22</v>
      </c>
      <c r="V197" s="31" t="s">
        <v>22</v>
      </c>
      <c r="W197" s="115"/>
    </row>
    <row r="198" spans="1:23" ht="15.75" x14ac:dyDescent="0.25">
      <c r="A198" s="5">
        <v>1</v>
      </c>
      <c r="B198" s="21" t="s">
        <v>295</v>
      </c>
      <c r="C198" s="20">
        <v>46148</v>
      </c>
      <c r="D198" s="36"/>
      <c r="E198" s="21"/>
      <c r="F198" s="21"/>
      <c r="G198" s="21"/>
      <c r="H198" s="21"/>
      <c r="I198" s="21"/>
      <c r="J198" s="21"/>
      <c r="K198" s="24"/>
      <c r="L198" s="29"/>
      <c r="M198" s="57"/>
      <c r="O198" s="21"/>
      <c r="P198" s="21"/>
      <c r="Q198" s="21"/>
      <c r="R198" s="21"/>
      <c r="S198" s="21"/>
      <c r="T198" s="21"/>
      <c r="U198" s="21"/>
      <c r="V198" s="21"/>
      <c r="W198" s="22"/>
    </row>
    <row r="199" spans="1:23" ht="15.75" x14ac:dyDescent="0.25">
      <c r="A199" s="6">
        <v>2</v>
      </c>
      <c r="B199" s="21"/>
      <c r="C199" s="13"/>
      <c r="D199" s="8"/>
      <c r="E199" s="8"/>
      <c r="F199" s="8"/>
      <c r="G199" s="8"/>
      <c r="H199" s="8"/>
      <c r="I199" s="8"/>
      <c r="J199" s="8"/>
      <c r="K199" s="25"/>
      <c r="L199" s="30"/>
      <c r="M199" s="57"/>
      <c r="N199" s="26"/>
      <c r="O199" s="8"/>
      <c r="P199" s="8"/>
      <c r="Q199" s="8"/>
      <c r="R199" s="8"/>
      <c r="S199" s="8"/>
      <c r="T199" s="8"/>
      <c r="U199" s="8"/>
      <c r="V199" s="8"/>
      <c r="W199" s="9"/>
    </row>
    <row r="200" spans="1:23" ht="15.75" x14ac:dyDescent="0.25">
      <c r="A200" s="6">
        <v>3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27"/>
      <c r="M200" s="27"/>
      <c r="N200" s="8"/>
      <c r="O200" s="8"/>
      <c r="P200" s="8"/>
      <c r="Q200" s="8"/>
      <c r="R200" s="8"/>
      <c r="S200" s="8"/>
      <c r="T200" s="8"/>
      <c r="U200" s="8"/>
      <c r="V200" s="8"/>
      <c r="W200" s="9"/>
    </row>
    <row r="201" spans="1:23" ht="15.75" x14ac:dyDescent="0.25">
      <c r="A201" s="5">
        <v>4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</row>
    <row r="202" spans="1:23" ht="15.75" x14ac:dyDescent="0.25">
      <c r="A202" s="5">
        <v>5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</row>
    <row r="203" spans="1:23" ht="16.5" thickBot="1" x14ac:dyDescent="0.3">
      <c r="A203" s="7">
        <v>6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5" spans="1:23" ht="15.75" thickBot="1" x14ac:dyDescent="0.3"/>
    <row r="206" spans="1:23" ht="15.75" x14ac:dyDescent="0.25">
      <c r="A206" s="100" t="s">
        <v>260</v>
      </c>
      <c r="B206" s="101"/>
      <c r="C206" s="111" t="s">
        <v>531</v>
      </c>
      <c r="D206" s="112"/>
      <c r="E206" s="111" t="s">
        <v>374</v>
      </c>
      <c r="F206" s="112"/>
      <c r="G206" s="101" t="s">
        <v>4</v>
      </c>
      <c r="H206" s="101"/>
      <c r="I206" s="102" t="s">
        <v>135</v>
      </c>
      <c r="J206" s="102"/>
      <c r="K206" s="102"/>
      <c r="L206" s="102"/>
      <c r="M206" s="102"/>
      <c r="N206" s="102"/>
      <c r="O206" s="101" t="s">
        <v>6</v>
      </c>
      <c r="P206" s="101"/>
      <c r="Q206" s="103"/>
      <c r="R206" s="104"/>
      <c r="S206" s="104"/>
      <c r="T206" s="104"/>
      <c r="U206" s="104"/>
      <c r="V206" s="104"/>
      <c r="W206" s="105"/>
    </row>
    <row r="207" spans="1:23" ht="15.75" x14ac:dyDescent="0.25">
      <c r="A207" s="106" t="s">
        <v>7</v>
      </c>
      <c r="B207" s="107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7"/>
      <c r="R207" s="107"/>
      <c r="S207" s="107"/>
      <c r="T207" s="107"/>
      <c r="U207" s="107"/>
      <c r="V207" s="107"/>
      <c r="W207" s="110"/>
    </row>
    <row r="208" spans="1:23" x14ac:dyDescent="0.25">
      <c r="A208" s="113" t="s">
        <v>8</v>
      </c>
      <c r="B208" s="114" t="s">
        <v>9</v>
      </c>
      <c r="C208" s="114" t="s">
        <v>10</v>
      </c>
      <c r="D208" s="114" t="s">
        <v>11</v>
      </c>
      <c r="E208" s="114" t="s">
        <v>12</v>
      </c>
      <c r="F208" s="114" t="s">
        <v>13</v>
      </c>
      <c r="G208" s="114" t="s">
        <v>14</v>
      </c>
      <c r="H208" s="114"/>
      <c r="I208" s="114"/>
      <c r="J208" s="114"/>
      <c r="K208" s="114"/>
      <c r="L208" s="114"/>
      <c r="M208" s="114" t="s">
        <v>15</v>
      </c>
      <c r="N208" s="114" t="s">
        <v>16</v>
      </c>
      <c r="O208" s="114" t="s">
        <v>17</v>
      </c>
      <c r="P208" s="114" t="s">
        <v>18</v>
      </c>
      <c r="Q208" s="114" t="s">
        <v>19</v>
      </c>
      <c r="R208" s="114"/>
      <c r="S208" s="114"/>
      <c r="T208" s="114"/>
      <c r="U208" s="114"/>
      <c r="V208" s="114"/>
      <c r="W208" s="115" t="s">
        <v>20</v>
      </c>
    </row>
    <row r="209" spans="1:23" x14ac:dyDescent="0.25">
      <c r="A209" s="113"/>
      <c r="B209" s="114"/>
      <c r="C209" s="114"/>
      <c r="D209" s="114"/>
      <c r="E209" s="114"/>
      <c r="F209" s="114"/>
      <c r="G209" s="31" t="s">
        <v>21</v>
      </c>
      <c r="H209" s="31" t="s">
        <v>21</v>
      </c>
      <c r="I209" s="31" t="s">
        <v>21</v>
      </c>
      <c r="J209" s="31" t="s">
        <v>22</v>
      </c>
      <c r="K209" s="31" t="s">
        <v>22</v>
      </c>
      <c r="L209" s="32" t="s">
        <v>22</v>
      </c>
      <c r="M209" s="138"/>
      <c r="N209" s="114"/>
      <c r="O209" s="114"/>
      <c r="P209" s="114"/>
      <c r="Q209" s="31" t="s">
        <v>21</v>
      </c>
      <c r="R209" s="31" t="s">
        <v>21</v>
      </c>
      <c r="S209" s="31" t="s">
        <v>21</v>
      </c>
      <c r="T209" s="31" t="s">
        <v>22</v>
      </c>
      <c r="U209" s="31" t="s">
        <v>22</v>
      </c>
      <c r="V209" s="31" t="s">
        <v>22</v>
      </c>
      <c r="W209" s="115"/>
    </row>
    <row r="210" spans="1:23" ht="15.75" x14ac:dyDescent="0.25">
      <c r="A210" s="5">
        <v>1</v>
      </c>
      <c r="B210" s="21" t="s">
        <v>295</v>
      </c>
      <c r="C210" s="20">
        <v>46148</v>
      </c>
      <c r="D210" s="36"/>
      <c r="E210" s="21"/>
      <c r="F210" s="21"/>
      <c r="G210" s="21"/>
      <c r="H210" s="21"/>
      <c r="I210" s="21"/>
      <c r="J210" s="21"/>
      <c r="K210" s="24"/>
      <c r="L210" s="29"/>
      <c r="M210" s="57"/>
      <c r="O210" s="21"/>
      <c r="P210" s="21"/>
      <c r="Q210" s="21"/>
      <c r="R210" s="21"/>
      <c r="S210" s="21"/>
      <c r="T210" s="21"/>
      <c r="U210" s="21"/>
      <c r="V210" s="21"/>
      <c r="W210" s="22"/>
    </row>
    <row r="211" spans="1:23" ht="15.75" x14ac:dyDescent="0.25">
      <c r="A211" s="6">
        <v>2</v>
      </c>
      <c r="B211" s="21"/>
      <c r="C211" s="13"/>
      <c r="D211" s="8"/>
      <c r="E211" s="8"/>
      <c r="F211" s="8"/>
      <c r="G211" s="8"/>
      <c r="H211" s="8"/>
      <c r="I211" s="8"/>
      <c r="J211" s="8"/>
      <c r="K211" s="25"/>
      <c r="L211" s="30"/>
      <c r="M211" s="57"/>
      <c r="N211" s="26"/>
      <c r="O211" s="8"/>
      <c r="P211" s="8"/>
      <c r="Q211" s="8"/>
      <c r="R211" s="8"/>
      <c r="S211" s="8"/>
      <c r="T211" s="8"/>
      <c r="U211" s="8"/>
      <c r="V211" s="8"/>
      <c r="W211" s="9"/>
    </row>
    <row r="212" spans="1:23" ht="15.75" x14ac:dyDescent="0.25">
      <c r="A212" s="6">
        <v>3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27"/>
      <c r="M212" s="27"/>
      <c r="N212" s="8"/>
      <c r="O212" s="8"/>
      <c r="P212" s="8"/>
      <c r="Q212" s="8"/>
      <c r="R212" s="8"/>
      <c r="S212" s="8"/>
      <c r="T212" s="8"/>
      <c r="U212" s="8"/>
      <c r="V212" s="8"/>
      <c r="W212" s="9"/>
    </row>
    <row r="213" spans="1:23" ht="15.75" x14ac:dyDescent="0.25">
      <c r="A213" s="5">
        <v>4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</row>
    <row r="214" spans="1:23" ht="15.75" x14ac:dyDescent="0.25">
      <c r="A214" s="5">
        <v>5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</row>
    <row r="215" spans="1:23" ht="16.5" thickBot="1" x14ac:dyDescent="0.3">
      <c r="A215" s="7">
        <v>6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7" spans="1:23" ht="15.75" thickBot="1" x14ac:dyDescent="0.3"/>
    <row r="218" spans="1:23" ht="15.75" x14ac:dyDescent="0.25">
      <c r="A218" s="100" t="s">
        <v>260</v>
      </c>
      <c r="B218" s="101"/>
      <c r="C218" s="111" t="s">
        <v>532</v>
      </c>
      <c r="D218" s="112"/>
      <c r="E218" s="111" t="s">
        <v>374</v>
      </c>
      <c r="F218" s="112"/>
      <c r="G218" s="101" t="s">
        <v>4</v>
      </c>
      <c r="H218" s="101"/>
      <c r="I218" s="102" t="s">
        <v>135</v>
      </c>
      <c r="J218" s="102"/>
      <c r="K218" s="102"/>
      <c r="L218" s="102"/>
      <c r="M218" s="102"/>
      <c r="N218" s="102"/>
      <c r="O218" s="101" t="s">
        <v>6</v>
      </c>
      <c r="P218" s="101"/>
      <c r="Q218" s="103"/>
      <c r="R218" s="104"/>
      <c r="S218" s="104"/>
      <c r="T218" s="104"/>
      <c r="U218" s="104"/>
      <c r="V218" s="104"/>
      <c r="W218" s="105"/>
    </row>
    <row r="219" spans="1:23" ht="15.75" x14ac:dyDescent="0.25">
      <c r="A219" s="106" t="s">
        <v>7</v>
      </c>
      <c r="B219" s="107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7"/>
      <c r="R219" s="107"/>
      <c r="S219" s="107"/>
      <c r="T219" s="107"/>
      <c r="U219" s="107"/>
      <c r="V219" s="107"/>
      <c r="W219" s="110"/>
    </row>
    <row r="220" spans="1:23" x14ac:dyDescent="0.25">
      <c r="A220" s="113" t="s">
        <v>8</v>
      </c>
      <c r="B220" s="114" t="s">
        <v>9</v>
      </c>
      <c r="C220" s="114" t="s">
        <v>10</v>
      </c>
      <c r="D220" s="114" t="s">
        <v>11</v>
      </c>
      <c r="E220" s="114" t="s">
        <v>12</v>
      </c>
      <c r="F220" s="114" t="s">
        <v>13</v>
      </c>
      <c r="G220" s="114" t="s">
        <v>14</v>
      </c>
      <c r="H220" s="114"/>
      <c r="I220" s="114"/>
      <c r="J220" s="114"/>
      <c r="K220" s="114"/>
      <c r="L220" s="114"/>
      <c r="M220" s="114" t="s">
        <v>15</v>
      </c>
      <c r="N220" s="114" t="s">
        <v>16</v>
      </c>
      <c r="O220" s="114" t="s">
        <v>17</v>
      </c>
      <c r="P220" s="114" t="s">
        <v>18</v>
      </c>
      <c r="Q220" s="114" t="s">
        <v>19</v>
      </c>
      <c r="R220" s="114"/>
      <c r="S220" s="114"/>
      <c r="T220" s="114"/>
      <c r="U220" s="114"/>
      <c r="V220" s="114"/>
      <c r="W220" s="115" t="s">
        <v>20</v>
      </c>
    </row>
    <row r="221" spans="1:23" x14ac:dyDescent="0.25">
      <c r="A221" s="113"/>
      <c r="B221" s="114"/>
      <c r="C221" s="114"/>
      <c r="D221" s="114"/>
      <c r="E221" s="114"/>
      <c r="F221" s="114"/>
      <c r="G221" s="31" t="s">
        <v>21</v>
      </c>
      <c r="H221" s="31" t="s">
        <v>21</v>
      </c>
      <c r="I221" s="31" t="s">
        <v>21</v>
      </c>
      <c r="J221" s="31" t="s">
        <v>22</v>
      </c>
      <c r="K221" s="31" t="s">
        <v>22</v>
      </c>
      <c r="L221" s="32" t="s">
        <v>22</v>
      </c>
      <c r="M221" s="138"/>
      <c r="N221" s="114"/>
      <c r="O221" s="114"/>
      <c r="P221" s="114"/>
      <c r="Q221" s="31" t="s">
        <v>21</v>
      </c>
      <c r="R221" s="31" t="s">
        <v>21</v>
      </c>
      <c r="S221" s="31" t="s">
        <v>21</v>
      </c>
      <c r="T221" s="31" t="s">
        <v>22</v>
      </c>
      <c r="U221" s="31" t="s">
        <v>22</v>
      </c>
      <c r="V221" s="31" t="s">
        <v>22</v>
      </c>
      <c r="W221" s="115"/>
    </row>
    <row r="222" spans="1:23" ht="15.75" x14ac:dyDescent="0.25">
      <c r="A222" s="5">
        <v>1</v>
      </c>
      <c r="B222" s="21" t="s">
        <v>295</v>
      </c>
      <c r="C222" s="20">
        <v>46148</v>
      </c>
      <c r="D222" s="36"/>
      <c r="E222" s="21"/>
      <c r="F222" s="21"/>
      <c r="G222" s="21"/>
      <c r="H222" s="21"/>
      <c r="I222" s="21"/>
      <c r="J222" s="21"/>
      <c r="K222" s="24"/>
      <c r="L222" s="29"/>
      <c r="M222" s="57"/>
      <c r="O222" s="21"/>
      <c r="P222" s="21"/>
      <c r="Q222" s="21"/>
      <c r="R222" s="21"/>
      <c r="S222" s="21"/>
      <c r="T222" s="21"/>
      <c r="U222" s="21"/>
      <c r="V222" s="21"/>
      <c r="W222" s="22"/>
    </row>
    <row r="223" spans="1:23" ht="15.75" x14ac:dyDescent="0.25">
      <c r="A223" s="6">
        <v>2</v>
      </c>
      <c r="B223" s="21"/>
      <c r="C223" s="13"/>
      <c r="D223" s="8"/>
      <c r="E223" s="8"/>
      <c r="F223" s="8"/>
      <c r="G223" s="8"/>
      <c r="H223" s="8"/>
      <c r="I223" s="8"/>
      <c r="J223" s="8"/>
      <c r="K223" s="25"/>
      <c r="L223" s="30"/>
      <c r="M223" s="57"/>
      <c r="N223" s="26"/>
      <c r="O223" s="8"/>
      <c r="P223" s="8"/>
      <c r="Q223" s="8"/>
      <c r="R223" s="8"/>
      <c r="S223" s="8"/>
      <c r="T223" s="8"/>
      <c r="U223" s="8"/>
      <c r="V223" s="8"/>
      <c r="W223" s="9"/>
    </row>
    <row r="224" spans="1:23" ht="15.75" x14ac:dyDescent="0.25">
      <c r="A224" s="6">
        <v>3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27"/>
      <c r="M224" s="27"/>
      <c r="N224" s="8"/>
      <c r="O224" s="8"/>
      <c r="P224" s="8"/>
      <c r="Q224" s="8"/>
      <c r="R224" s="8"/>
      <c r="S224" s="8"/>
      <c r="T224" s="8"/>
      <c r="U224" s="8"/>
      <c r="V224" s="8"/>
      <c r="W224" s="9"/>
    </row>
    <row r="225" spans="1:23" ht="15.75" x14ac:dyDescent="0.25">
      <c r="A225" s="5">
        <v>4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</row>
    <row r="226" spans="1:23" ht="15.75" x14ac:dyDescent="0.25">
      <c r="A226" s="5">
        <v>5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</row>
    <row r="227" spans="1:23" ht="16.5" thickBot="1" x14ac:dyDescent="0.3">
      <c r="A227" s="7">
        <v>6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9" spans="1:23" ht="15.75" thickBot="1" x14ac:dyDescent="0.3"/>
    <row r="230" spans="1:23" ht="15.75" x14ac:dyDescent="0.25">
      <c r="A230" s="100" t="s">
        <v>260</v>
      </c>
      <c r="B230" s="101"/>
      <c r="C230" s="111" t="s">
        <v>533</v>
      </c>
      <c r="D230" s="112"/>
      <c r="E230" s="111" t="s">
        <v>374</v>
      </c>
      <c r="F230" s="112"/>
      <c r="G230" s="101" t="s">
        <v>4</v>
      </c>
      <c r="H230" s="101"/>
      <c r="I230" s="102" t="s">
        <v>135</v>
      </c>
      <c r="J230" s="102"/>
      <c r="K230" s="102"/>
      <c r="L230" s="102"/>
      <c r="M230" s="102"/>
      <c r="N230" s="102"/>
      <c r="O230" s="101" t="s">
        <v>6</v>
      </c>
      <c r="P230" s="101"/>
      <c r="Q230" s="103"/>
      <c r="R230" s="104"/>
      <c r="S230" s="104"/>
      <c r="T230" s="104"/>
      <c r="U230" s="104"/>
      <c r="V230" s="104"/>
      <c r="W230" s="105"/>
    </row>
    <row r="231" spans="1:23" ht="15.75" x14ac:dyDescent="0.25">
      <c r="A231" s="106" t="s">
        <v>7</v>
      </c>
      <c r="B231" s="107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7"/>
      <c r="R231" s="107"/>
      <c r="S231" s="107"/>
      <c r="T231" s="107"/>
      <c r="U231" s="107"/>
      <c r="V231" s="107"/>
      <c r="W231" s="110"/>
    </row>
    <row r="232" spans="1:23" x14ac:dyDescent="0.25">
      <c r="A232" s="113" t="s">
        <v>8</v>
      </c>
      <c r="B232" s="114" t="s">
        <v>9</v>
      </c>
      <c r="C232" s="114" t="s">
        <v>10</v>
      </c>
      <c r="D232" s="114" t="s">
        <v>11</v>
      </c>
      <c r="E232" s="114" t="s">
        <v>12</v>
      </c>
      <c r="F232" s="114" t="s">
        <v>13</v>
      </c>
      <c r="G232" s="114" t="s">
        <v>14</v>
      </c>
      <c r="H232" s="114"/>
      <c r="I232" s="114"/>
      <c r="J232" s="114"/>
      <c r="K232" s="114"/>
      <c r="L232" s="114"/>
      <c r="M232" s="114" t="s">
        <v>15</v>
      </c>
      <c r="N232" s="114" t="s">
        <v>16</v>
      </c>
      <c r="O232" s="114" t="s">
        <v>17</v>
      </c>
      <c r="P232" s="114" t="s">
        <v>18</v>
      </c>
      <c r="Q232" s="114" t="s">
        <v>19</v>
      </c>
      <c r="R232" s="114"/>
      <c r="S232" s="114"/>
      <c r="T232" s="114"/>
      <c r="U232" s="114"/>
      <c r="V232" s="114"/>
      <c r="W232" s="115" t="s">
        <v>20</v>
      </c>
    </row>
    <row r="233" spans="1:23" x14ac:dyDescent="0.25">
      <c r="A233" s="113"/>
      <c r="B233" s="114"/>
      <c r="C233" s="114"/>
      <c r="D233" s="114"/>
      <c r="E233" s="114"/>
      <c r="F233" s="114"/>
      <c r="G233" s="31" t="s">
        <v>21</v>
      </c>
      <c r="H233" s="31" t="s">
        <v>21</v>
      </c>
      <c r="I233" s="31" t="s">
        <v>21</v>
      </c>
      <c r="J233" s="31" t="s">
        <v>22</v>
      </c>
      <c r="K233" s="31" t="s">
        <v>22</v>
      </c>
      <c r="L233" s="32" t="s">
        <v>22</v>
      </c>
      <c r="M233" s="138"/>
      <c r="N233" s="114"/>
      <c r="O233" s="114"/>
      <c r="P233" s="114"/>
      <c r="Q233" s="31" t="s">
        <v>21</v>
      </c>
      <c r="R233" s="31" t="s">
        <v>21</v>
      </c>
      <c r="S233" s="31" t="s">
        <v>21</v>
      </c>
      <c r="T233" s="31" t="s">
        <v>22</v>
      </c>
      <c r="U233" s="31" t="s">
        <v>22</v>
      </c>
      <c r="V233" s="31" t="s">
        <v>22</v>
      </c>
      <c r="W233" s="115"/>
    </row>
    <row r="234" spans="1:23" ht="15.75" x14ac:dyDescent="0.25">
      <c r="A234" s="5">
        <v>1</v>
      </c>
      <c r="B234" s="21" t="s">
        <v>295</v>
      </c>
      <c r="C234" s="20">
        <v>46148</v>
      </c>
      <c r="D234" s="36"/>
      <c r="E234" s="21"/>
      <c r="F234" s="21"/>
      <c r="G234" s="21"/>
      <c r="H234" s="21"/>
      <c r="I234" s="21"/>
      <c r="J234" s="21"/>
      <c r="K234" s="24"/>
      <c r="L234" s="29"/>
      <c r="M234" s="57"/>
      <c r="O234" s="21"/>
      <c r="P234" s="21"/>
      <c r="Q234" s="21"/>
      <c r="R234" s="21"/>
      <c r="S234" s="21"/>
      <c r="T234" s="21"/>
      <c r="U234" s="21"/>
      <c r="V234" s="21"/>
      <c r="W234" s="22"/>
    </row>
    <row r="235" spans="1:23" ht="15.75" x14ac:dyDescent="0.25">
      <c r="A235" s="6">
        <v>2</v>
      </c>
      <c r="B235" s="21"/>
      <c r="C235" s="13"/>
      <c r="D235" s="8"/>
      <c r="E235" s="8"/>
      <c r="F235" s="8"/>
      <c r="G235" s="8"/>
      <c r="H235" s="8"/>
      <c r="I235" s="8"/>
      <c r="J235" s="8"/>
      <c r="K235" s="25"/>
      <c r="L235" s="30"/>
      <c r="M235" s="57"/>
      <c r="N235" s="26"/>
      <c r="O235" s="8"/>
      <c r="P235" s="8"/>
      <c r="Q235" s="8"/>
      <c r="R235" s="8"/>
      <c r="S235" s="8"/>
      <c r="T235" s="8"/>
      <c r="U235" s="8"/>
      <c r="V235" s="8"/>
      <c r="W235" s="9"/>
    </row>
    <row r="236" spans="1:23" ht="15.75" x14ac:dyDescent="0.25">
      <c r="A236" s="6">
        <v>3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27"/>
      <c r="M236" s="27"/>
      <c r="N236" s="8"/>
      <c r="O236" s="8"/>
      <c r="P236" s="8"/>
      <c r="Q236" s="8"/>
      <c r="R236" s="8"/>
      <c r="S236" s="8"/>
      <c r="T236" s="8"/>
      <c r="U236" s="8"/>
      <c r="V236" s="8"/>
      <c r="W236" s="9"/>
    </row>
    <row r="237" spans="1:23" ht="15.75" x14ac:dyDescent="0.25">
      <c r="A237" s="5">
        <v>4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</row>
    <row r="238" spans="1:23" ht="15.75" x14ac:dyDescent="0.25">
      <c r="A238" s="5">
        <v>5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</row>
    <row r="239" spans="1:23" ht="16.5" thickBot="1" x14ac:dyDescent="0.3">
      <c r="A239" s="7">
        <v>6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</sheetData>
  <mergeCells count="480">
    <mergeCell ref="Q2:W2"/>
    <mergeCell ref="A3:B3"/>
    <mergeCell ref="C3:N3"/>
    <mergeCell ref="O3:P3"/>
    <mergeCell ref="Q3:W3"/>
    <mergeCell ref="A4:A5"/>
    <mergeCell ref="B4:B5"/>
    <mergeCell ref="C4:C5"/>
    <mergeCell ref="D4:D5"/>
    <mergeCell ref="E4:E5"/>
    <mergeCell ref="A2:B2"/>
    <mergeCell ref="C2:D2"/>
    <mergeCell ref="E2:F2"/>
    <mergeCell ref="G2:H2"/>
    <mergeCell ref="I2:N2"/>
    <mergeCell ref="O2:P2"/>
    <mergeCell ref="Q4:V4"/>
    <mergeCell ref="W4:W5"/>
    <mergeCell ref="A14:B14"/>
    <mergeCell ref="C14:D14"/>
    <mergeCell ref="E14:F14"/>
    <mergeCell ref="G14:H14"/>
    <mergeCell ref="I14:N14"/>
    <mergeCell ref="O14:P14"/>
    <mergeCell ref="Q14:W14"/>
    <mergeCell ref="F4:F5"/>
    <mergeCell ref="G4:L4"/>
    <mergeCell ref="M4:M5"/>
    <mergeCell ref="N4:N5"/>
    <mergeCell ref="O4:O5"/>
    <mergeCell ref="P4:P5"/>
    <mergeCell ref="A15:B15"/>
    <mergeCell ref="C15:N15"/>
    <mergeCell ref="O15:P15"/>
    <mergeCell ref="Q15:W15"/>
    <mergeCell ref="A16:A17"/>
    <mergeCell ref="B16:B17"/>
    <mergeCell ref="C16:C17"/>
    <mergeCell ref="D16:D17"/>
    <mergeCell ref="E16:E17"/>
    <mergeCell ref="F16:F17"/>
    <mergeCell ref="W16:W17"/>
    <mergeCell ref="A26:B26"/>
    <mergeCell ref="C26:D26"/>
    <mergeCell ref="E26:F26"/>
    <mergeCell ref="G26:H26"/>
    <mergeCell ref="I26:N26"/>
    <mergeCell ref="O26:P26"/>
    <mergeCell ref="Q26:W26"/>
    <mergeCell ref="G16:L16"/>
    <mergeCell ref="M16:M17"/>
    <mergeCell ref="N16:N17"/>
    <mergeCell ref="O16:O17"/>
    <mergeCell ref="P16:P17"/>
    <mergeCell ref="Q16:V16"/>
    <mergeCell ref="A27:B27"/>
    <mergeCell ref="C27:N27"/>
    <mergeCell ref="O27:P27"/>
    <mergeCell ref="Q27:W27"/>
    <mergeCell ref="A28:A29"/>
    <mergeCell ref="B28:B29"/>
    <mergeCell ref="C28:C29"/>
    <mergeCell ref="D28:D29"/>
    <mergeCell ref="E28:E29"/>
    <mergeCell ref="F28:F29"/>
    <mergeCell ref="W28:W29"/>
    <mergeCell ref="A38:B38"/>
    <mergeCell ref="C38:D38"/>
    <mergeCell ref="E38:F38"/>
    <mergeCell ref="G38:H38"/>
    <mergeCell ref="I38:N38"/>
    <mergeCell ref="O38:P38"/>
    <mergeCell ref="Q38:W38"/>
    <mergeCell ref="G28:L28"/>
    <mergeCell ref="M28:M29"/>
    <mergeCell ref="N28:N29"/>
    <mergeCell ref="O28:O29"/>
    <mergeCell ref="P28:P29"/>
    <mergeCell ref="Q28:V28"/>
    <mergeCell ref="A39:B39"/>
    <mergeCell ref="C39:N39"/>
    <mergeCell ref="O39:P39"/>
    <mergeCell ref="Q39:W39"/>
    <mergeCell ref="A40:A41"/>
    <mergeCell ref="B40:B41"/>
    <mergeCell ref="C40:C41"/>
    <mergeCell ref="D40:D41"/>
    <mergeCell ref="E40:E41"/>
    <mergeCell ref="F40:F41"/>
    <mergeCell ref="W40:W41"/>
    <mergeCell ref="A50:B50"/>
    <mergeCell ref="C50:D50"/>
    <mergeCell ref="E50:F50"/>
    <mergeCell ref="G50:H50"/>
    <mergeCell ref="I50:N50"/>
    <mergeCell ref="O50:P50"/>
    <mergeCell ref="Q50:W50"/>
    <mergeCell ref="G40:L40"/>
    <mergeCell ref="M40:M41"/>
    <mergeCell ref="N40:N41"/>
    <mergeCell ref="O40:O41"/>
    <mergeCell ref="P40:P41"/>
    <mergeCell ref="Q40:V40"/>
    <mergeCell ref="A51:B51"/>
    <mergeCell ref="C51:N51"/>
    <mergeCell ref="O51:P51"/>
    <mergeCell ref="Q51:W51"/>
    <mergeCell ref="A52:A53"/>
    <mergeCell ref="B52:B53"/>
    <mergeCell ref="C52:C53"/>
    <mergeCell ref="D52:D53"/>
    <mergeCell ref="E52:E53"/>
    <mergeCell ref="F52:F53"/>
    <mergeCell ref="W52:W53"/>
    <mergeCell ref="A62:B62"/>
    <mergeCell ref="C62:D62"/>
    <mergeCell ref="E62:F62"/>
    <mergeCell ref="G62:H62"/>
    <mergeCell ref="I62:N62"/>
    <mergeCell ref="O62:P62"/>
    <mergeCell ref="Q62:W62"/>
    <mergeCell ref="G52:L52"/>
    <mergeCell ref="M52:M53"/>
    <mergeCell ref="N52:N53"/>
    <mergeCell ref="O52:O53"/>
    <mergeCell ref="P52:P53"/>
    <mergeCell ref="Q52:V52"/>
    <mergeCell ref="A63:B63"/>
    <mergeCell ref="C63:N63"/>
    <mergeCell ref="O63:P63"/>
    <mergeCell ref="Q63:W63"/>
    <mergeCell ref="A64:A65"/>
    <mergeCell ref="B64:B65"/>
    <mergeCell ref="C64:C65"/>
    <mergeCell ref="D64:D65"/>
    <mergeCell ref="E64:E65"/>
    <mergeCell ref="F64:F65"/>
    <mergeCell ref="W64:W65"/>
    <mergeCell ref="A74:B74"/>
    <mergeCell ref="C74:D74"/>
    <mergeCell ref="E74:F74"/>
    <mergeCell ref="G74:H74"/>
    <mergeCell ref="I74:N74"/>
    <mergeCell ref="O74:P74"/>
    <mergeCell ref="Q74:W74"/>
    <mergeCell ref="G64:L64"/>
    <mergeCell ref="M64:M65"/>
    <mergeCell ref="N64:N65"/>
    <mergeCell ref="O64:O65"/>
    <mergeCell ref="P64:P65"/>
    <mergeCell ref="Q64:V64"/>
    <mergeCell ref="A75:B75"/>
    <mergeCell ref="C75:N75"/>
    <mergeCell ref="O75:P75"/>
    <mergeCell ref="Q75:W75"/>
    <mergeCell ref="A76:A77"/>
    <mergeCell ref="B76:B77"/>
    <mergeCell ref="C76:C77"/>
    <mergeCell ref="D76:D77"/>
    <mergeCell ref="E76:E77"/>
    <mergeCell ref="F76:F77"/>
    <mergeCell ref="W76:W77"/>
    <mergeCell ref="A86:B86"/>
    <mergeCell ref="C86:D86"/>
    <mergeCell ref="E86:F86"/>
    <mergeCell ref="G86:H86"/>
    <mergeCell ref="I86:N86"/>
    <mergeCell ref="O86:P86"/>
    <mergeCell ref="Q86:W86"/>
    <mergeCell ref="G76:L76"/>
    <mergeCell ref="M76:M77"/>
    <mergeCell ref="N76:N77"/>
    <mergeCell ref="O76:O77"/>
    <mergeCell ref="P76:P77"/>
    <mergeCell ref="Q76:V76"/>
    <mergeCell ref="A87:B87"/>
    <mergeCell ref="C87:N87"/>
    <mergeCell ref="O87:P87"/>
    <mergeCell ref="Q87:W87"/>
    <mergeCell ref="A88:A89"/>
    <mergeCell ref="B88:B89"/>
    <mergeCell ref="C88:C89"/>
    <mergeCell ref="D88:D89"/>
    <mergeCell ref="E88:E89"/>
    <mergeCell ref="F88:F89"/>
    <mergeCell ref="W88:W89"/>
    <mergeCell ref="A98:B98"/>
    <mergeCell ref="C98:D98"/>
    <mergeCell ref="E98:F98"/>
    <mergeCell ref="G98:H98"/>
    <mergeCell ref="I98:N98"/>
    <mergeCell ref="O98:P98"/>
    <mergeCell ref="Q98:W98"/>
    <mergeCell ref="G88:L88"/>
    <mergeCell ref="M88:M89"/>
    <mergeCell ref="N88:N89"/>
    <mergeCell ref="O88:O89"/>
    <mergeCell ref="P88:P89"/>
    <mergeCell ref="Q88:V88"/>
    <mergeCell ref="A99:B99"/>
    <mergeCell ref="C99:N99"/>
    <mergeCell ref="O99:P99"/>
    <mergeCell ref="Q99:W99"/>
    <mergeCell ref="A100:A101"/>
    <mergeCell ref="B100:B101"/>
    <mergeCell ref="C100:C101"/>
    <mergeCell ref="D100:D101"/>
    <mergeCell ref="E100:E101"/>
    <mergeCell ref="F100:F101"/>
    <mergeCell ref="W100:W101"/>
    <mergeCell ref="A110:B110"/>
    <mergeCell ref="C110:D110"/>
    <mergeCell ref="E110:F110"/>
    <mergeCell ref="G110:H110"/>
    <mergeCell ref="I110:N110"/>
    <mergeCell ref="O110:P110"/>
    <mergeCell ref="Q110:W110"/>
    <mergeCell ref="G100:L100"/>
    <mergeCell ref="M100:M101"/>
    <mergeCell ref="N100:N101"/>
    <mergeCell ref="O100:O101"/>
    <mergeCell ref="P100:P101"/>
    <mergeCell ref="Q100:V100"/>
    <mergeCell ref="A111:B111"/>
    <mergeCell ref="C111:N111"/>
    <mergeCell ref="O111:P111"/>
    <mergeCell ref="Q111:W111"/>
    <mergeCell ref="A112:A113"/>
    <mergeCell ref="B112:B113"/>
    <mergeCell ref="C112:C113"/>
    <mergeCell ref="D112:D113"/>
    <mergeCell ref="E112:E113"/>
    <mergeCell ref="F112:F113"/>
    <mergeCell ref="W112:W113"/>
    <mergeCell ref="A122:B122"/>
    <mergeCell ref="C122:D122"/>
    <mergeCell ref="E122:F122"/>
    <mergeCell ref="G122:H122"/>
    <mergeCell ref="I122:N122"/>
    <mergeCell ref="O122:P122"/>
    <mergeCell ref="Q122:W122"/>
    <mergeCell ref="G112:L112"/>
    <mergeCell ref="M112:M113"/>
    <mergeCell ref="N112:N113"/>
    <mergeCell ref="O112:O113"/>
    <mergeCell ref="P112:P113"/>
    <mergeCell ref="Q112:V112"/>
    <mergeCell ref="A123:B123"/>
    <mergeCell ref="C123:N123"/>
    <mergeCell ref="O123:P123"/>
    <mergeCell ref="Q123:W123"/>
    <mergeCell ref="A124:A125"/>
    <mergeCell ref="B124:B125"/>
    <mergeCell ref="C124:C125"/>
    <mergeCell ref="D124:D125"/>
    <mergeCell ref="E124:E125"/>
    <mergeCell ref="F124:F125"/>
    <mergeCell ref="W124:W125"/>
    <mergeCell ref="A134:B134"/>
    <mergeCell ref="C134:D134"/>
    <mergeCell ref="E134:F134"/>
    <mergeCell ref="G134:H134"/>
    <mergeCell ref="I134:N134"/>
    <mergeCell ref="O134:P134"/>
    <mergeCell ref="Q134:W134"/>
    <mergeCell ref="G124:L124"/>
    <mergeCell ref="M124:M125"/>
    <mergeCell ref="N124:N125"/>
    <mergeCell ref="O124:O125"/>
    <mergeCell ref="P124:P125"/>
    <mergeCell ref="Q124:V124"/>
    <mergeCell ref="A135:B135"/>
    <mergeCell ref="C135:N135"/>
    <mergeCell ref="O135:P135"/>
    <mergeCell ref="Q135:W135"/>
    <mergeCell ref="A136:A137"/>
    <mergeCell ref="B136:B137"/>
    <mergeCell ref="C136:C137"/>
    <mergeCell ref="D136:D137"/>
    <mergeCell ref="E136:E137"/>
    <mergeCell ref="F136:F137"/>
    <mergeCell ref="W136:W137"/>
    <mergeCell ref="A146:B146"/>
    <mergeCell ref="C146:D146"/>
    <mergeCell ref="E146:F146"/>
    <mergeCell ref="G146:H146"/>
    <mergeCell ref="I146:N146"/>
    <mergeCell ref="O146:P146"/>
    <mergeCell ref="Q146:W146"/>
    <mergeCell ref="G136:L136"/>
    <mergeCell ref="M136:M137"/>
    <mergeCell ref="N136:N137"/>
    <mergeCell ref="O136:O137"/>
    <mergeCell ref="P136:P137"/>
    <mergeCell ref="Q136:V136"/>
    <mergeCell ref="A147:B147"/>
    <mergeCell ref="C147:N147"/>
    <mergeCell ref="O147:P147"/>
    <mergeCell ref="Q147:W147"/>
    <mergeCell ref="A148:A149"/>
    <mergeCell ref="B148:B149"/>
    <mergeCell ref="C148:C149"/>
    <mergeCell ref="D148:D149"/>
    <mergeCell ref="E148:E149"/>
    <mergeCell ref="F148:F149"/>
    <mergeCell ref="W148:W149"/>
    <mergeCell ref="A158:B158"/>
    <mergeCell ref="C158:D158"/>
    <mergeCell ref="E158:F158"/>
    <mergeCell ref="G158:H158"/>
    <mergeCell ref="I158:N158"/>
    <mergeCell ref="O158:P158"/>
    <mergeCell ref="Q158:W158"/>
    <mergeCell ref="G148:L148"/>
    <mergeCell ref="M148:M149"/>
    <mergeCell ref="N148:N149"/>
    <mergeCell ref="O148:O149"/>
    <mergeCell ref="P148:P149"/>
    <mergeCell ref="Q148:V148"/>
    <mergeCell ref="A159:B159"/>
    <mergeCell ref="C159:N159"/>
    <mergeCell ref="O159:P159"/>
    <mergeCell ref="Q159:W159"/>
    <mergeCell ref="A160:A161"/>
    <mergeCell ref="B160:B161"/>
    <mergeCell ref="C160:C161"/>
    <mergeCell ref="D160:D161"/>
    <mergeCell ref="E160:E161"/>
    <mergeCell ref="F160:F161"/>
    <mergeCell ref="W160:W161"/>
    <mergeCell ref="A170:B170"/>
    <mergeCell ref="C170:D170"/>
    <mergeCell ref="E170:F170"/>
    <mergeCell ref="G170:H170"/>
    <mergeCell ref="I170:N170"/>
    <mergeCell ref="O170:P170"/>
    <mergeCell ref="Q170:W170"/>
    <mergeCell ref="G160:L160"/>
    <mergeCell ref="M160:M161"/>
    <mergeCell ref="N160:N161"/>
    <mergeCell ref="O160:O161"/>
    <mergeCell ref="P160:P161"/>
    <mergeCell ref="Q160:V160"/>
    <mergeCell ref="A171:B171"/>
    <mergeCell ref="C171:N171"/>
    <mergeCell ref="O171:P171"/>
    <mergeCell ref="Q171:W171"/>
    <mergeCell ref="A172:A173"/>
    <mergeCell ref="B172:B173"/>
    <mergeCell ref="C172:C173"/>
    <mergeCell ref="D172:D173"/>
    <mergeCell ref="E172:E173"/>
    <mergeCell ref="F172:F173"/>
    <mergeCell ref="W172:W173"/>
    <mergeCell ref="A182:B182"/>
    <mergeCell ref="C182:D182"/>
    <mergeCell ref="E182:F182"/>
    <mergeCell ref="G182:H182"/>
    <mergeCell ref="I182:N182"/>
    <mergeCell ref="O182:P182"/>
    <mergeCell ref="Q182:W182"/>
    <mergeCell ref="G172:L172"/>
    <mergeCell ref="M172:M173"/>
    <mergeCell ref="N172:N173"/>
    <mergeCell ref="O172:O173"/>
    <mergeCell ref="P172:P173"/>
    <mergeCell ref="Q172:V172"/>
    <mergeCell ref="A183:B183"/>
    <mergeCell ref="C183:N183"/>
    <mergeCell ref="O183:P183"/>
    <mergeCell ref="Q183:W183"/>
    <mergeCell ref="A184:A185"/>
    <mergeCell ref="B184:B185"/>
    <mergeCell ref="C184:C185"/>
    <mergeCell ref="D184:D185"/>
    <mergeCell ref="E184:E185"/>
    <mergeCell ref="F184:F185"/>
    <mergeCell ref="W184:W185"/>
    <mergeCell ref="A194:B194"/>
    <mergeCell ref="C194:D194"/>
    <mergeCell ref="E194:F194"/>
    <mergeCell ref="G194:H194"/>
    <mergeCell ref="I194:N194"/>
    <mergeCell ref="O194:P194"/>
    <mergeCell ref="Q194:W194"/>
    <mergeCell ref="G184:L184"/>
    <mergeCell ref="M184:M185"/>
    <mergeCell ref="N184:N185"/>
    <mergeCell ref="O184:O185"/>
    <mergeCell ref="P184:P185"/>
    <mergeCell ref="Q184:V184"/>
    <mergeCell ref="A195:B195"/>
    <mergeCell ref="C195:N195"/>
    <mergeCell ref="O195:P195"/>
    <mergeCell ref="Q195:W195"/>
    <mergeCell ref="A196:A197"/>
    <mergeCell ref="B196:B197"/>
    <mergeCell ref="C196:C197"/>
    <mergeCell ref="D196:D197"/>
    <mergeCell ref="E196:E197"/>
    <mergeCell ref="F196:F197"/>
    <mergeCell ref="W196:W197"/>
    <mergeCell ref="A206:B206"/>
    <mergeCell ref="C206:D206"/>
    <mergeCell ref="E206:F206"/>
    <mergeCell ref="G206:H206"/>
    <mergeCell ref="I206:N206"/>
    <mergeCell ref="O206:P206"/>
    <mergeCell ref="Q206:W206"/>
    <mergeCell ref="G196:L196"/>
    <mergeCell ref="M196:M197"/>
    <mergeCell ref="N196:N197"/>
    <mergeCell ref="O196:O197"/>
    <mergeCell ref="P196:P197"/>
    <mergeCell ref="Q196:V196"/>
    <mergeCell ref="A207:B207"/>
    <mergeCell ref="C207:N207"/>
    <mergeCell ref="O207:P207"/>
    <mergeCell ref="Q207:W207"/>
    <mergeCell ref="A208:A209"/>
    <mergeCell ref="B208:B209"/>
    <mergeCell ref="C208:C209"/>
    <mergeCell ref="D208:D209"/>
    <mergeCell ref="E208:E209"/>
    <mergeCell ref="F208:F209"/>
    <mergeCell ref="W208:W209"/>
    <mergeCell ref="A218:B218"/>
    <mergeCell ref="C218:D218"/>
    <mergeCell ref="E218:F218"/>
    <mergeCell ref="G218:H218"/>
    <mergeCell ref="I218:N218"/>
    <mergeCell ref="O218:P218"/>
    <mergeCell ref="Q218:W218"/>
    <mergeCell ref="G208:L208"/>
    <mergeCell ref="M208:M209"/>
    <mergeCell ref="N208:N209"/>
    <mergeCell ref="O208:O209"/>
    <mergeCell ref="P208:P209"/>
    <mergeCell ref="Q208:V208"/>
    <mergeCell ref="A219:B219"/>
    <mergeCell ref="C219:N219"/>
    <mergeCell ref="O219:P219"/>
    <mergeCell ref="Q219:W219"/>
    <mergeCell ref="A220:A221"/>
    <mergeCell ref="B220:B221"/>
    <mergeCell ref="C220:C221"/>
    <mergeCell ref="D220:D221"/>
    <mergeCell ref="E220:E221"/>
    <mergeCell ref="F220:F221"/>
    <mergeCell ref="W220:W221"/>
    <mergeCell ref="A230:B230"/>
    <mergeCell ref="C230:D230"/>
    <mergeCell ref="E230:F230"/>
    <mergeCell ref="G230:H230"/>
    <mergeCell ref="I230:N230"/>
    <mergeCell ref="O230:P230"/>
    <mergeCell ref="Q230:W230"/>
    <mergeCell ref="G220:L220"/>
    <mergeCell ref="M220:M221"/>
    <mergeCell ref="N220:N221"/>
    <mergeCell ref="O220:O221"/>
    <mergeCell ref="P220:P221"/>
    <mergeCell ref="Q220:V220"/>
    <mergeCell ref="W232:W233"/>
    <mergeCell ref="G232:L232"/>
    <mergeCell ref="M232:M233"/>
    <mergeCell ref="N232:N233"/>
    <mergeCell ref="O232:O233"/>
    <mergeCell ref="P232:P233"/>
    <mergeCell ref="Q232:V232"/>
    <mergeCell ref="A231:B231"/>
    <mergeCell ref="C231:N231"/>
    <mergeCell ref="O231:P231"/>
    <mergeCell ref="Q231:W231"/>
    <mergeCell ref="A232:A233"/>
    <mergeCell ref="B232:B233"/>
    <mergeCell ref="C232:C233"/>
    <mergeCell ref="D232:D233"/>
    <mergeCell ref="E232:E233"/>
    <mergeCell ref="F232:F2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BFD4-439D-4733-B71C-0E5F97F38A05}">
  <dimension ref="A1:W239"/>
  <sheetViews>
    <sheetView topLeftCell="A220" workbookViewId="0">
      <selection activeCell="C123" sqref="C123:N123"/>
    </sheetView>
  </sheetViews>
  <sheetFormatPr baseColWidth="10" defaultRowHeight="15" x14ac:dyDescent="0.25"/>
  <cols>
    <col min="1" max="1" width="8.5703125" customWidth="1"/>
    <col min="2" max="2" width="11.42578125" customWidth="1"/>
    <col min="3" max="3" width="13.42578125" customWidth="1"/>
    <col min="5" max="5" width="9.85546875" customWidth="1"/>
    <col min="7" max="7" width="6.42578125" customWidth="1"/>
    <col min="8" max="10" width="6.140625" customWidth="1"/>
    <col min="11" max="11" width="6" customWidth="1"/>
    <col min="12" max="12" width="5.5703125" customWidth="1"/>
    <col min="13" max="13" width="9.5703125" customWidth="1"/>
    <col min="14" max="14" width="10.42578125" customWidth="1"/>
    <col min="15" max="15" width="8.5703125" customWidth="1"/>
    <col min="16" max="16" width="11" customWidth="1"/>
    <col min="17" max="17" width="5.85546875" customWidth="1"/>
    <col min="18" max="18" width="5.28515625" customWidth="1"/>
    <col min="19" max="19" width="6.140625" customWidth="1"/>
    <col min="20" max="20" width="6.28515625" customWidth="1"/>
    <col min="21" max="21" width="5.85546875" customWidth="1"/>
    <col min="22" max="22" width="6.140625" customWidth="1"/>
    <col min="23" max="23" width="10.5703125" customWidth="1"/>
  </cols>
  <sheetData>
    <row r="1" spans="1:23" ht="15.75" thickBot="1" x14ac:dyDescent="0.3"/>
    <row r="2" spans="1:23" ht="15.75" x14ac:dyDescent="0.25">
      <c r="A2" s="100" t="s">
        <v>260</v>
      </c>
      <c r="B2" s="101"/>
      <c r="C2" s="111" t="s">
        <v>534</v>
      </c>
      <c r="D2" s="112"/>
      <c r="E2" s="111" t="s">
        <v>374</v>
      </c>
      <c r="F2" s="112"/>
      <c r="G2" s="101" t="s">
        <v>4</v>
      </c>
      <c r="H2" s="101"/>
      <c r="I2" s="102" t="s">
        <v>135</v>
      </c>
      <c r="J2" s="102"/>
      <c r="K2" s="102"/>
      <c r="L2" s="102"/>
      <c r="M2" s="102"/>
      <c r="N2" s="102"/>
      <c r="O2" s="101" t="s">
        <v>6</v>
      </c>
      <c r="P2" s="101"/>
      <c r="Q2" s="103"/>
      <c r="R2" s="104"/>
      <c r="S2" s="104"/>
      <c r="T2" s="104"/>
      <c r="U2" s="104"/>
      <c r="V2" s="104"/>
      <c r="W2" s="105"/>
    </row>
    <row r="3" spans="1:23" ht="15.75" x14ac:dyDescent="0.25">
      <c r="A3" s="106" t="s">
        <v>7</v>
      </c>
      <c r="B3" s="107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7"/>
      <c r="R3" s="107"/>
      <c r="S3" s="107"/>
      <c r="T3" s="107"/>
      <c r="U3" s="107"/>
      <c r="V3" s="107"/>
      <c r="W3" s="110"/>
    </row>
    <row r="4" spans="1:23" x14ac:dyDescent="0.25">
      <c r="A4" s="113" t="s">
        <v>8</v>
      </c>
      <c r="B4" s="114" t="s">
        <v>9</v>
      </c>
      <c r="C4" s="114" t="s">
        <v>10</v>
      </c>
      <c r="D4" s="114" t="s">
        <v>11</v>
      </c>
      <c r="E4" s="114" t="s">
        <v>12</v>
      </c>
      <c r="F4" s="114" t="s">
        <v>13</v>
      </c>
      <c r="G4" s="114" t="s">
        <v>14</v>
      </c>
      <c r="H4" s="114"/>
      <c r="I4" s="114"/>
      <c r="J4" s="114"/>
      <c r="K4" s="114"/>
      <c r="L4" s="114"/>
      <c r="M4" s="114" t="s">
        <v>15</v>
      </c>
      <c r="N4" s="114" t="s">
        <v>16</v>
      </c>
      <c r="O4" s="114" t="s">
        <v>17</v>
      </c>
      <c r="P4" s="114" t="s">
        <v>18</v>
      </c>
      <c r="Q4" s="114" t="s">
        <v>19</v>
      </c>
      <c r="R4" s="114"/>
      <c r="S4" s="114"/>
      <c r="T4" s="114"/>
      <c r="U4" s="114"/>
      <c r="V4" s="114"/>
      <c r="W4" s="115" t="s">
        <v>20</v>
      </c>
    </row>
    <row r="5" spans="1:23" x14ac:dyDescent="0.25">
      <c r="A5" s="113"/>
      <c r="B5" s="114"/>
      <c r="C5" s="114"/>
      <c r="D5" s="114"/>
      <c r="E5" s="114"/>
      <c r="F5" s="114"/>
      <c r="G5" s="31" t="s">
        <v>21</v>
      </c>
      <c r="H5" s="31" t="s">
        <v>21</v>
      </c>
      <c r="I5" s="31" t="s">
        <v>21</v>
      </c>
      <c r="J5" s="31" t="s">
        <v>22</v>
      </c>
      <c r="K5" s="31" t="s">
        <v>22</v>
      </c>
      <c r="L5" s="32" t="s">
        <v>22</v>
      </c>
      <c r="M5" s="138"/>
      <c r="N5" s="114"/>
      <c r="O5" s="114"/>
      <c r="P5" s="114"/>
      <c r="Q5" s="31" t="s">
        <v>21</v>
      </c>
      <c r="R5" s="31" t="s">
        <v>21</v>
      </c>
      <c r="S5" s="31" t="s">
        <v>21</v>
      </c>
      <c r="T5" s="31" t="s">
        <v>22</v>
      </c>
      <c r="U5" s="31" t="s">
        <v>22</v>
      </c>
      <c r="V5" s="31" t="s">
        <v>22</v>
      </c>
      <c r="W5" s="115"/>
    </row>
    <row r="6" spans="1:23" ht="15.75" x14ac:dyDescent="0.25">
      <c r="A6" s="5">
        <v>1</v>
      </c>
      <c r="B6" s="21" t="s">
        <v>295</v>
      </c>
      <c r="C6" s="20">
        <v>46148</v>
      </c>
      <c r="D6" s="36"/>
      <c r="E6" s="21"/>
      <c r="F6" s="21"/>
      <c r="G6" s="21"/>
      <c r="H6" s="21"/>
      <c r="I6" s="21"/>
      <c r="J6" s="21"/>
      <c r="K6" s="24"/>
      <c r="L6" s="29"/>
      <c r="M6" s="57"/>
      <c r="O6" s="21"/>
      <c r="P6" s="21"/>
      <c r="Q6" s="21"/>
      <c r="R6" s="21"/>
      <c r="S6" s="21"/>
      <c r="T6" s="21"/>
      <c r="U6" s="21"/>
      <c r="V6" s="21"/>
      <c r="W6" s="22"/>
    </row>
    <row r="7" spans="1:23" ht="15.75" x14ac:dyDescent="0.25">
      <c r="A7" s="6">
        <v>2</v>
      </c>
      <c r="B7" s="21"/>
      <c r="C7" s="13"/>
      <c r="D7" s="8"/>
      <c r="E7" s="8"/>
      <c r="F7" s="8"/>
      <c r="G7" s="8"/>
      <c r="H7" s="8"/>
      <c r="I7" s="8"/>
      <c r="J7" s="8"/>
      <c r="K7" s="25"/>
      <c r="L7" s="30"/>
      <c r="M7" s="57"/>
      <c r="N7" s="26"/>
      <c r="O7" s="8"/>
      <c r="P7" s="8"/>
      <c r="Q7" s="8"/>
      <c r="R7" s="8"/>
      <c r="S7" s="8"/>
      <c r="T7" s="8"/>
      <c r="U7" s="8"/>
      <c r="V7" s="8"/>
      <c r="W7" s="9"/>
    </row>
    <row r="8" spans="1:23" ht="15.75" x14ac:dyDescent="0.25">
      <c r="A8" s="6">
        <v>3</v>
      </c>
      <c r="B8" s="8"/>
      <c r="C8" s="8"/>
      <c r="D8" s="8"/>
      <c r="E8" s="8"/>
      <c r="F8" s="8"/>
      <c r="G8" s="8"/>
      <c r="H8" s="8"/>
      <c r="I8" s="8"/>
      <c r="J8" s="8"/>
      <c r="K8" s="8"/>
      <c r="L8" s="27"/>
      <c r="M8" s="27"/>
      <c r="N8" s="8"/>
      <c r="O8" s="8"/>
      <c r="P8" s="8"/>
      <c r="Q8" s="8"/>
      <c r="R8" s="8"/>
      <c r="S8" s="8"/>
      <c r="T8" s="8"/>
      <c r="U8" s="8"/>
      <c r="V8" s="8"/>
      <c r="W8" s="9"/>
    </row>
    <row r="9" spans="1:23" ht="15.75" x14ac:dyDescent="0.25">
      <c r="A9" s="5">
        <v>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</row>
    <row r="10" spans="1:23" ht="15.75" x14ac:dyDescent="0.25">
      <c r="A10" s="5">
        <v>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</row>
    <row r="11" spans="1:23" ht="16.5" thickBot="1" x14ac:dyDescent="0.3">
      <c r="A11" s="7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3" spans="1:23" ht="15.75" thickBot="1" x14ac:dyDescent="0.3"/>
    <row r="14" spans="1:23" ht="15.75" x14ac:dyDescent="0.25">
      <c r="A14" s="100" t="s">
        <v>260</v>
      </c>
      <c r="B14" s="101"/>
      <c r="C14" s="111" t="s">
        <v>535</v>
      </c>
      <c r="D14" s="112"/>
      <c r="E14" s="111" t="s">
        <v>374</v>
      </c>
      <c r="F14" s="112"/>
      <c r="G14" s="101" t="s">
        <v>4</v>
      </c>
      <c r="H14" s="101"/>
      <c r="I14" s="102" t="s">
        <v>135</v>
      </c>
      <c r="J14" s="102"/>
      <c r="K14" s="102"/>
      <c r="L14" s="102"/>
      <c r="M14" s="102"/>
      <c r="N14" s="102"/>
      <c r="O14" s="101" t="s">
        <v>6</v>
      </c>
      <c r="P14" s="101"/>
      <c r="Q14" s="103"/>
      <c r="R14" s="104"/>
      <c r="S14" s="104"/>
      <c r="T14" s="104"/>
      <c r="U14" s="104"/>
      <c r="V14" s="104"/>
      <c r="W14" s="105"/>
    </row>
    <row r="15" spans="1:23" ht="15.75" x14ac:dyDescent="0.25">
      <c r="A15" s="106" t="s">
        <v>7</v>
      </c>
      <c r="B15" s="107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7"/>
      <c r="R15" s="107"/>
      <c r="S15" s="107"/>
      <c r="T15" s="107"/>
      <c r="U15" s="107"/>
      <c r="V15" s="107"/>
      <c r="W15" s="110"/>
    </row>
    <row r="16" spans="1:23" x14ac:dyDescent="0.25">
      <c r="A16" s="113" t="s">
        <v>8</v>
      </c>
      <c r="B16" s="114" t="s">
        <v>9</v>
      </c>
      <c r="C16" s="114" t="s">
        <v>10</v>
      </c>
      <c r="D16" s="114" t="s">
        <v>11</v>
      </c>
      <c r="E16" s="114" t="s">
        <v>12</v>
      </c>
      <c r="F16" s="114" t="s">
        <v>13</v>
      </c>
      <c r="G16" s="114" t="s">
        <v>14</v>
      </c>
      <c r="H16" s="114"/>
      <c r="I16" s="114"/>
      <c r="J16" s="114"/>
      <c r="K16" s="114"/>
      <c r="L16" s="114"/>
      <c r="M16" s="114" t="s">
        <v>15</v>
      </c>
      <c r="N16" s="114" t="s">
        <v>16</v>
      </c>
      <c r="O16" s="114" t="s">
        <v>17</v>
      </c>
      <c r="P16" s="114" t="s">
        <v>18</v>
      </c>
      <c r="Q16" s="114" t="s">
        <v>19</v>
      </c>
      <c r="R16" s="114"/>
      <c r="S16" s="114"/>
      <c r="T16" s="114"/>
      <c r="U16" s="114"/>
      <c r="V16" s="114"/>
      <c r="W16" s="115" t="s">
        <v>20</v>
      </c>
    </row>
    <row r="17" spans="1:23" x14ac:dyDescent="0.25">
      <c r="A17" s="113"/>
      <c r="B17" s="114"/>
      <c r="C17" s="114"/>
      <c r="D17" s="114"/>
      <c r="E17" s="114"/>
      <c r="F17" s="114"/>
      <c r="G17" s="31" t="s">
        <v>21</v>
      </c>
      <c r="H17" s="31" t="s">
        <v>21</v>
      </c>
      <c r="I17" s="31" t="s">
        <v>21</v>
      </c>
      <c r="J17" s="31" t="s">
        <v>22</v>
      </c>
      <c r="K17" s="31" t="s">
        <v>22</v>
      </c>
      <c r="L17" s="32" t="s">
        <v>22</v>
      </c>
      <c r="M17" s="138"/>
      <c r="N17" s="114"/>
      <c r="O17" s="114"/>
      <c r="P17" s="114"/>
      <c r="Q17" s="31" t="s">
        <v>21</v>
      </c>
      <c r="R17" s="31" t="s">
        <v>21</v>
      </c>
      <c r="S17" s="31" t="s">
        <v>21</v>
      </c>
      <c r="T17" s="31" t="s">
        <v>22</v>
      </c>
      <c r="U17" s="31" t="s">
        <v>22</v>
      </c>
      <c r="V17" s="31" t="s">
        <v>22</v>
      </c>
      <c r="W17" s="115"/>
    </row>
    <row r="18" spans="1:23" ht="15.75" x14ac:dyDescent="0.25">
      <c r="A18" s="5">
        <v>1</v>
      </c>
      <c r="B18" s="21" t="s">
        <v>295</v>
      </c>
      <c r="C18" s="20">
        <v>46148</v>
      </c>
      <c r="D18" s="36"/>
      <c r="E18" s="21"/>
      <c r="F18" s="21"/>
      <c r="G18" s="21"/>
      <c r="H18" s="21"/>
      <c r="I18" s="21"/>
      <c r="J18" s="21"/>
      <c r="K18" s="24"/>
      <c r="L18" s="29"/>
      <c r="M18" s="57"/>
      <c r="O18" s="21"/>
      <c r="P18" s="21"/>
      <c r="Q18" s="21"/>
      <c r="R18" s="21"/>
      <c r="S18" s="21"/>
      <c r="T18" s="21"/>
      <c r="U18" s="21"/>
      <c r="V18" s="21"/>
      <c r="W18" s="22"/>
    </row>
    <row r="19" spans="1:23" ht="15.75" x14ac:dyDescent="0.25">
      <c r="A19" s="6">
        <v>2</v>
      </c>
      <c r="B19" s="21"/>
      <c r="C19" s="13"/>
      <c r="D19" s="8"/>
      <c r="E19" s="8"/>
      <c r="F19" s="8"/>
      <c r="G19" s="8"/>
      <c r="H19" s="8"/>
      <c r="I19" s="8"/>
      <c r="J19" s="8"/>
      <c r="K19" s="25"/>
      <c r="L19" s="30"/>
      <c r="M19" s="57"/>
      <c r="N19" s="26"/>
      <c r="O19" s="8"/>
      <c r="P19" s="8"/>
      <c r="Q19" s="8"/>
      <c r="R19" s="8"/>
      <c r="S19" s="8"/>
      <c r="T19" s="8"/>
      <c r="U19" s="8"/>
      <c r="V19" s="8"/>
      <c r="W19" s="9"/>
    </row>
    <row r="20" spans="1:23" ht="15.75" x14ac:dyDescent="0.25">
      <c r="A20" s="6">
        <v>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27"/>
      <c r="M20" s="27"/>
      <c r="N20" s="8"/>
      <c r="O20" s="8"/>
      <c r="P20" s="8"/>
      <c r="Q20" s="8"/>
      <c r="R20" s="8"/>
      <c r="S20" s="8"/>
      <c r="T20" s="8"/>
      <c r="U20" s="8"/>
      <c r="V20" s="8"/>
      <c r="W20" s="9"/>
    </row>
    <row r="21" spans="1:23" ht="15.75" x14ac:dyDescent="0.25">
      <c r="A21" s="5">
        <v>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ht="15.75" x14ac:dyDescent="0.25">
      <c r="A22" s="5">
        <v>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</row>
    <row r="23" spans="1:23" ht="16.5" thickBot="1" x14ac:dyDescent="0.3">
      <c r="A23" s="7">
        <v>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5" spans="1:23" ht="15.75" thickBot="1" x14ac:dyDescent="0.3"/>
    <row r="26" spans="1:23" ht="15.75" x14ac:dyDescent="0.25">
      <c r="A26" s="100" t="s">
        <v>260</v>
      </c>
      <c r="B26" s="101"/>
      <c r="C26" s="111" t="s">
        <v>536</v>
      </c>
      <c r="D26" s="112"/>
      <c r="E26" s="111" t="s">
        <v>542</v>
      </c>
      <c r="F26" s="112"/>
      <c r="G26" s="101" t="s">
        <v>4</v>
      </c>
      <c r="H26" s="101"/>
      <c r="I26" s="102" t="s">
        <v>139</v>
      </c>
      <c r="J26" s="102"/>
      <c r="K26" s="102"/>
      <c r="L26" s="102"/>
      <c r="M26" s="102"/>
      <c r="N26" s="102"/>
      <c r="O26" s="101" t="s">
        <v>6</v>
      </c>
      <c r="P26" s="101"/>
      <c r="Q26" s="103"/>
      <c r="R26" s="104"/>
      <c r="S26" s="104"/>
      <c r="T26" s="104"/>
      <c r="U26" s="104"/>
      <c r="V26" s="104"/>
      <c r="W26" s="105"/>
    </row>
    <row r="27" spans="1:23" ht="15.75" x14ac:dyDescent="0.25">
      <c r="A27" s="106" t="s">
        <v>7</v>
      </c>
      <c r="B27" s="107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7"/>
      <c r="R27" s="107"/>
      <c r="S27" s="107"/>
      <c r="T27" s="107"/>
      <c r="U27" s="107"/>
      <c r="V27" s="107"/>
      <c r="W27" s="110"/>
    </row>
    <row r="28" spans="1:23" x14ac:dyDescent="0.25">
      <c r="A28" s="113" t="s">
        <v>8</v>
      </c>
      <c r="B28" s="114" t="s">
        <v>9</v>
      </c>
      <c r="C28" s="114" t="s">
        <v>10</v>
      </c>
      <c r="D28" s="114" t="s">
        <v>11</v>
      </c>
      <c r="E28" s="114" t="s">
        <v>12</v>
      </c>
      <c r="F28" s="114" t="s">
        <v>13</v>
      </c>
      <c r="G28" s="114" t="s">
        <v>14</v>
      </c>
      <c r="H28" s="114"/>
      <c r="I28" s="114"/>
      <c r="J28" s="114"/>
      <c r="K28" s="114"/>
      <c r="L28" s="114"/>
      <c r="M28" s="114" t="s">
        <v>15</v>
      </c>
      <c r="N28" s="114" t="s">
        <v>16</v>
      </c>
      <c r="O28" s="114" t="s">
        <v>17</v>
      </c>
      <c r="P28" s="114" t="s">
        <v>18</v>
      </c>
      <c r="Q28" s="114" t="s">
        <v>19</v>
      </c>
      <c r="R28" s="114"/>
      <c r="S28" s="114"/>
      <c r="T28" s="114"/>
      <c r="U28" s="114"/>
      <c r="V28" s="114"/>
      <c r="W28" s="115" t="s">
        <v>20</v>
      </c>
    </row>
    <row r="29" spans="1:23" x14ac:dyDescent="0.25">
      <c r="A29" s="113"/>
      <c r="B29" s="114"/>
      <c r="C29" s="114"/>
      <c r="D29" s="114"/>
      <c r="E29" s="114"/>
      <c r="F29" s="114"/>
      <c r="G29" s="31" t="s">
        <v>21</v>
      </c>
      <c r="H29" s="31" t="s">
        <v>21</v>
      </c>
      <c r="I29" s="31" t="s">
        <v>21</v>
      </c>
      <c r="J29" s="31" t="s">
        <v>22</v>
      </c>
      <c r="K29" s="31" t="s">
        <v>22</v>
      </c>
      <c r="L29" s="32" t="s">
        <v>22</v>
      </c>
      <c r="M29" s="138"/>
      <c r="N29" s="114"/>
      <c r="O29" s="114"/>
      <c r="P29" s="114"/>
      <c r="Q29" s="31" t="s">
        <v>21</v>
      </c>
      <c r="R29" s="31" t="s">
        <v>21</v>
      </c>
      <c r="S29" s="31" t="s">
        <v>21</v>
      </c>
      <c r="T29" s="31" t="s">
        <v>22</v>
      </c>
      <c r="U29" s="31" t="s">
        <v>22</v>
      </c>
      <c r="V29" s="31" t="s">
        <v>22</v>
      </c>
      <c r="W29" s="115"/>
    </row>
    <row r="30" spans="1:23" ht="15.75" x14ac:dyDescent="0.25">
      <c r="A30" s="5">
        <v>1</v>
      </c>
      <c r="B30" s="21" t="s">
        <v>448</v>
      </c>
      <c r="C30" s="20">
        <v>46148</v>
      </c>
      <c r="D30" s="36"/>
      <c r="E30" s="21"/>
      <c r="F30" s="21"/>
      <c r="G30" s="21"/>
      <c r="H30" s="21"/>
      <c r="I30" s="21"/>
      <c r="J30" s="21"/>
      <c r="K30" s="24"/>
      <c r="L30" s="29"/>
      <c r="M30" s="57"/>
      <c r="O30" s="21"/>
      <c r="P30" s="21"/>
      <c r="Q30" s="21"/>
      <c r="R30" s="21"/>
      <c r="S30" s="21"/>
      <c r="T30" s="21"/>
      <c r="U30" s="21"/>
      <c r="V30" s="21"/>
      <c r="W30" s="22"/>
    </row>
    <row r="31" spans="1:23" ht="15.75" x14ac:dyDescent="0.25">
      <c r="A31" s="6">
        <v>2</v>
      </c>
      <c r="B31" s="21"/>
      <c r="C31" s="13"/>
      <c r="D31" s="8"/>
      <c r="E31" s="8"/>
      <c r="F31" s="8"/>
      <c r="G31" s="8"/>
      <c r="H31" s="8"/>
      <c r="I31" s="8"/>
      <c r="J31" s="8"/>
      <c r="K31" s="25"/>
      <c r="L31" s="30"/>
      <c r="M31" s="57"/>
      <c r="N31" s="26"/>
      <c r="O31" s="8"/>
      <c r="P31" s="8"/>
      <c r="Q31" s="8"/>
      <c r="R31" s="8"/>
      <c r="S31" s="8"/>
      <c r="T31" s="8"/>
      <c r="U31" s="8"/>
      <c r="V31" s="8"/>
      <c r="W31" s="9"/>
    </row>
    <row r="32" spans="1:23" ht="15.75" x14ac:dyDescent="0.25">
      <c r="A32" s="6">
        <v>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27"/>
      <c r="M32" s="27"/>
      <c r="N32" s="8"/>
      <c r="O32" s="8"/>
      <c r="P32" s="8"/>
      <c r="Q32" s="8"/>
      <c r="R32" s="8"/>
      <c r="S32" s="8"/>
      <c r="T32" s="8"/>
      <c r="U32" s="8"/>
      <c r="V32" s="8"/>
      <c r="W32" s="9"/>
    </row>
    <row r="33" spans="1:23" ht="15.75" x14ac:dyDescent="0.25">
      <c r="A33" s="5">
        <v>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</row>
    <row r="34" spans="1:23" ht="15.75" x14ac:dyDescent="0.25">
      <c r="A34" s="5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</row>
    <row r="35" spans="1:23" ht="16.5" thickBot="1" x14ac:dyDescent="0.3">
      <c r="A35" s="7">
        <v>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7" spans="1:23" ht="15.75" thickBot="1" x14ac:dyDescent="0.3"/>
    <row r="38" spans="1:23" ht="15.75" x14ac:dyDescent="0.25">
      <c r="A38" s="100" t="s">
        <v>260</v>
      </c>
      <c r="B38" s="101"/>
      <c r="C38" s="111" t="s">
        <v>538</v>
      </c>
      <c r="D38" s="112"/>
      <c r="E38" s="111" t="s">
        <v>542</v>
      </c>
      <c r="F38" s="112"/>
      <c r="G38" s="101" t="s">
        <v>4</v>
      </c>
      <c r="H38" s="101"/>
      <c r="I38" s="102" t="s">
        <v>139</v>
      </c>
      <c r="J38" s="102"/>
      <c r="K38" s="102"/>
      <c r="L38" s="102"/>
      <c r="M38" s="102"/>
      <c r="N38" s="102"/>
      <c r="O38" s="101" t="s">
        <v>6</v>
      </c>
      <c r="P38" s="101"/>
      <c r="Q38" s="103"/>
      <c r="R38" s="104"/>
      <c r="S38" s="104"/>
      <c r="T38" s="104"/>
      <c r="U38" s="104"/>
      <c r="V38" s="104"/>
      <c r="W38" s="105"/>
    </row>
    <row r="39" spans="1:23" ht="15.75" x14ac:dyDescent="0.25">
      <c r="A39" s="106" t="s">
        <v>7</v>
      </c>
      <c r="B39" s="107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7"/>
      <c r="R39" s="107"/>
      <c r="S39" s="107"/>
      <c r="T39" s="107"/>
      <c r="U39" s="107"/>
      <c r="V39" s="107"/>
      <c r="W39" s="110"/>
    </row>
    <row r="40" spans="1:23" x14ac:dyDescent="0.25">
      <c r="A40" s="113" t="s">
        <v>8</v>
      </c>
      <c r="B40" s="114" t="s">
        <v>9</v>
      </c>
      <c r="C40" s="114" t="s">
        <v>10</v>
      </c>
      <c r="D40" s="114" t="s">
        <v>11</v>
      </c>
      <c r="E40" s="114" t="s">
        <v>12</v>
      </c>
      <c r="F40" s="114" t="s">
        <v>13</v>
      </c>
      <c r="G40" s="114" t="s">
        <v>14</v>
      </c>
      <c r="H40" s="114"/>
      <c r="I40" s="114"/>
      <c r="J40" s="114"/>
      <c r="K40" s="114"/>
      <c r="L40" s="114"/>
      <c r="M40" s="114" t="s">
        <v>15</v>
      </c>
      <c r="N40" s="114" t="s">
        <v>16</v>
      </c>
      <c r="O40" s="114" t="s">
        <v>17</v>
      </c>
      <c r="P40" s="114" t="s">
        <v>18</v>
      </c>
      <c r="Q40" s="114" t="s">
        <v>19</v>
      </c>
      <c r="R40" s="114"/>
      <c r="S40" s="114"/>
      <c r="T40" s="114"/>
      <c r="U40" s="114"/>
      <c r="V40" s="114"/>
      <c r="W40" s="115" t="s">
        <v>20</v>
      </c>
    </row>
    <row r="41" spans="1:23" x14ac:dyDescent="0.25">
      <c r="A41" s="113"/>
      <c r="B41" s="114"/>
      <c r="C41" s="114"/>
      <c r="D41" s="114"/>
      <c r="E41" s="114"/>
      <c r="F41" s="114"/>
      <c r="G41" s="31" t="s">
        <v>21</v>
      </c>
      <c r="H41" s="31" t="s">
        <v>21</v>
      </c>
      <c r="I41" s="31" t="s">
        <v>21</v>
      </c>
      <c r="J41" s="31" t="s">
        <v>22</v>
      </c>
      <c r="K41" s="31" t="s">
        <v>22</v>
      </c>
      <c r="L41" s="32" t="s">
        <v>22</v>
      </c>
      <c r="M41" s="138"/>
      <c r="N41" s="114"/>
      <c r="O41" s="114"/>
      <c r="P41" s="114"/>
      <c r="Q41" s="31" t="s">
        <v>21</v>
      </c>
      <c r="R41" s="31" t="s">
        <v>21</v>
      </c>
      <c r="S41" s="31" t="s">
        <v>21</v>
      </c>
      <c r="T41" s="31" t="s">
        <v>22</v>
      </c>
      <c r="U41" s="31" t="s">
        <v>22</v>
      </c>
      <c r="V41" s="31" t="s">
        <v>22</v>
      </c>
      <c r="W41" s="115"/>
    </row>
    <row r="42" spans="1:23" ht="15.75" x14ac:dyDescent="0.25">
      <c r="A42" s="5">
        <v>1</v>
      </c>
      <c r="B42" s="21" t="s">
        <v>448</v>
      </c>
      <c r="C42" s="20">
        <v>46148</v>
      </c>
      <c r="D42" s="36"/>
      <c r="E42" s="21"/>
      <c r="F42" s="21"/>
      <c r="G42" s="21"/>
      <c r="H42" s="21"/>
      <c r="I42" s="21"/>
      <c r="J42" s="21"/>
      <c r="K42" s="24"/>
      <c r="L42" s="29"/>
      <c r="M42" s="57"/>
      <c r="O42" s="21"/>
      <c r="P42" s="21"/>
      <c r="Q42" s="21"/>
      <c r="R42" s="21"/>
      <c r="S42" s="21"/>
      <c r="T42" s="21"/>
      <c r="U42" s="21"/>
      <c r="V42" s="21"/>
      <c r="W42" s="22"/>
    </row>
    <row r="43" spans="1:23" ht="15.75" x14ac:dyDescent="0.25">
      <c r="A43" s="6">
        <v>2</v>
      </c>
      <c r="B43" s="21"/>
      <c r="C43" s="13"/>
      <c r="D43" s="8"/>
      <c r="E43" s="8"/>
      <c r="F43" s="8"/>
      <c r="G43" s="8"/>
      <c r="H43" s="8"/>
      <c r="I43" s="8"/>
      <c r="J43" s="8"/>
      <c r="K43" s="25"/>
      <c r="L43" s="30"/>
      <c r="M43" s="57"/>
      <c r="N43" s="26"/>
      <c r="O43" s="8"/>
      <c r="P43" s="8"/>
      <c r="Q43" s="8"/>
      <c r="R43" s="8"/>
      <c r="S43" s="8"/>
      <c r="T43" s="8"/>
      <c r="U43" s="8"/>
      <c r="V43" s="8"/>
      <c r="W43" s="9"/>
    </row>
    <row r="44" spans="1:23" ht="15.75" x14ac:dyDescent="0.25">
      <c r="A44" s="6">
        <v>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27"/>
      <c r="M44" s="27"/>
      <c r="N44" s="8"/>
      <c r="O44" s="8"/>
      <c r="P44" s="8"/>
      <c r="Q44" s="8"/>
      <c r="R44" s="8"/>
      <c r="S44" s="8"/>
      <c r="T44" s="8"/>
      <c r="U44" s="8"/>
      <c r="V44" s="8"/>
      <c r="W44" s="9"/>
    </row>
    <row r="45" spans="1:23" ht="15.75" x14ac:dyDescent="0.25">
      <c r="A45" s="5">
        <v>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</row>
    <row r="46" spans="1:23" ht="15.75" x14ac:dyDescent="0.25">
      <c r="A46" s="5">
        <v>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9"/>
    </row>
    <row r="47" spans="1:23" ht="16.5" thickBot="1" x14ac:dyDescent="0.3">
      <c r="A47" s="7">
        <v>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9" spans="1:23" ht="15.75" thickBot="1" x14ac:dyDescent="0.3"/>
    <row r="50" spans="1:23" ht="15.75" x14ac:dyDescent="0.25">
      <c r="A50" s="100" t="s">
        <v>260</v>
      </c>
      <c r="B50" s="101"/>
      <c r="C50" s="111" t="s">
        <v>539</v>
      </c>
      <c r="D50" s="112"/>
      <c r="E50" s="111" t="s">
        <v>542</v>
      </c>
      <c r="F50" s="112"/>
      <c r="G50" s="101" t="s">
        <v>4</v>
      </c>
      <c r="H50" s="101"/>
      <c r="I50" s="102" t="s">
        <v>139</v>
      </c>
      <c r="J50" s="102"/>
      <c r="K50" s="102"/>
      <c r="L50" s="102"/>
      <c r="M50" s="102"/>
      <c r="N50" s="102"/>
      <c r="O50" s="101" t="s">
        <v>6</v>
      </c>
      <c r="P50" s="101"/>
      <c r="Q50" s="103"/>
      <c r="R50" s="104"/>
      <c r="S50" s="104"/>
      <c r="T50" s="104"/>
      <c r="U50" s="104"/>
      <c r="V50" s="104"/>
      <c r="W50" s="105"/>
    </row>
    <row r="51" spans="1:23" ht="15.75" x14ac:dyDescent="0.25">
      <c r="A51" s="106" t="s">
        <v>7</v>
      </c>
      <c r="B51" s="107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7"/>
      <c r="R51" s="107"/>
      <c r="S51" s="107"/>
      <c r="T51" s="107"/>
      <c r="U51" s="107"/>
      <c r="V51" s="107"/>
      <c r="W51" s="110"/>
    </row>
    <row r="52" spans="1:23" x14ac:dyDescent="0.25">
      <c r="A52" s="113" t="s">
        <v>8</v>
      </c>
      <c r="B52" s="114" t="s">
        <v>9</v>
      </c>
      <c r="C52" s="114" t="s">
        <v>10</v>
      </c>
      <c r="D52" s="114" t="s">
        <v>11</v>
      </c>
      <c r="E52" s="114" t="s">
        <v>12</v>
      </c>
      <c r="F52" s="114" t="s">
        <v>13</v>
      </c>
      <c r="G52" s="114" t="s">
        <v>14</v>
      </c>
      <c r="H52" s="114"/>
      <c r="I52" s="114"/>
      <c r="J52" s="114"/>
      <c r="K52" s="114"/>
      <c r="L52" s="114"/>
      <c r="M52" s="114" t="s">
        <v>15</v>
      </c>
      <c r="N52" s="114" t="s">
        <v>16</v>
      </c>
      <c r="O52" s="114" t="s">
        <v>17</v>
      </c>
      <c r="P52" s="114" t="s">
        <v>18</v>
      </c>
      <c r="Q52" s="114" t="s">
        <v>19</v>
      </c>
      <c r="R52" s="114"/>
      <c r="S52" s="114"/>
      <c r="T52" s="114"/>
      <c r="U52" s="114"/>
      <c r="V52" s="114"/>
      <c r="W52" s="115" t="s">
        <v>20</v>
      </c>
    </row>
    <row r="53" spans="1:23" x14ac:dyDescent="0.25">
      <c r="A53" s="113"/>
      <c r="B53" s="114"/>
      <c r="C53" s="114"/>
      <c r="D53" s="114"/>
      <c r="E53" s="114"/>
      <c r="F53" s="114"/>
      <c r="G53" s="31" t="s">
        <v>21</v>
      </c>
      <c r="H53" s="31" t="s">
        <v>21</v>
      </c>
      <c r="I53" s="31" t="s">
        <v>21</v>
      </c>
      <c r="J53" s="31" t="s">
        <v>22</v>
      </c>
      <c r="K53" s="31" t="s">
        <v>22</v>
      </c>
      <c r="L53" s="32" t="s">
        <v>22</v>
      </c>
      <c r="M53" s="138"/>
      <c r="N53" s="114"/>
      <c r="O53" s="114"/>
      <c r="P53" s="114"/>
      <c r="Q53" s="31" t="s">
        <v>21</v>
      </c>
      <c r="R53" s="31" t="s">
        <v>21</v>
      </c>
      <c r="S53" s="31" t="s">
        <v>21</v>
      </c>
      <c r="T53" s="31" t="s">
        <v>22</v>
      </c>
      <c r="U53" s="31" t="s">
        <v>22</v>
      </c>
      <c r="V53" s="31" t="s">
        <v>22</v>
      </c>
      <c r="W53" s="115"/>
    </row>
    <row r="54" spans="1:23" ht="15.75" x14ac:dyDescent="0.25">
      <c r="A54" s="5">
        <v>1</v>
      </c>
      <c r="B54" s="21" t="s">
        <v>448</v>
      </c>
      <c r="C54" s="20">
        <v>46148</v>
      </c>
      <c r="D54" s="36"/>
      <c r="E54" s="21"/>
      <c r="F54" s="21"/>
      <c r="G54" s="21"/>
      <c r="H54" s="21"/>
      <c r="I54" s="21"/>
      <c r="J54" s="21"/>
      <c r="K54" s="24"/>
      <c r="L54" s="29"/>
      <c r="M54" s="57"/>
      <c r="O54" s="21"/>
      <c r="P54" s="21"/>
      <c r="Q54" s="21"/>
      <c r="R54" s="21"/>
      <c r="S54" s="21"/>
      <c r="T54" s="21"/>
      <c r="U54" s="21"/>
      <c r="V54" s="21"/>
      <c r="W54" s="22"/>
    </row>
    <row r="55" spans="1:23" ht="15.75" x14ac:dyDescent="0.25">
      <c r="A55" s="6">
        <v>2</v>
      </c>
      <c r="B55" s="21"/>
      <c r="C55" s="13"/>
      <c r="D55" s="8"/>
      <c r="E55" s="8"/>
      <c r="F55" s="8"/>
      <c r="G55" s="8"/>
      <c r="H55" s="8"/>
      <c r="I55" s="8"/>
      <c r="J55" s="8"/>
      <c r="K55" s="25"/>
      <c r="L55" s="30"/>
      <c r="M55" s="57"/>
      <c r="N55" s="26"/>
      <c r="O55" s="8"/>
      <c r="P55" s="8"/>
      <c r="Q55" s="8"/>
      <c r="R55" s="8"/>
      <c r="S55" s="8"/>
      <c r="T55" s="8"/>
      <c r="U55" s="8"/>
      <c r="V55" s="8"/>
      <c r="W55" s="9"/>
    </row>
    <row r="56" spans="1:23" ht="15.75" x14ac:dyDescent="0.25">
      <c r="A56" s="6">
        <v>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27"/>
      <c r="M56" s="27"/>
      <c r="N56" s="8"/>
      <c r="O56" s="8"/>
      <c r="P56" s="8"/>
      <c r="Q56" s="8"/>
      <c r="R56" s="8"/>
      <c r="S56" s="8"/>
      <c r="T56" s="8"/>
      <c r="U56" s="8"/>
      <c r="V56" s="8"/>
      <c r="W56" s="9"/>
    </row>
    <row r="57" spans="1:23" ht="15.75" x14ac:dyDescent="0.25">
      <c r="A57" s="5">
        <v>4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</row>
    <row r="58" spans="1:23" ht="15.75" x14ac:dyDescent="0.25">
      <c r="A58" s="5">
        <v>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</row>
    <row r="59" spans="1:23" ht="16.5" thickBot="1" x14ac:dyDescent="0.3">
      <c r="A59" s="7">
        <v>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1" spans="1:23" ht="15.75" thickBot="1" x14ac:dyDescent="0.3"/>
    <row r="62" spans="1:23" ht="15.75" x14ac:dyDescent="0.25">
      <c r="A62" s="100" t="s">
        <v>260</v>
      </c>
      <c r="B62" s="101"/>
      <c r="C62" s="111" t="s">
        <v>540</v>
      </c>
      <c r="D62" s="112"/>
      <c r="E62" s="111" t="s">
        <v>542</v>
      </c>
      <c r="F62" s="112"/>
      <c r="G62" s="101" t="s">
        <v>4</v>
      </c>
      <c r="H62" s="101"/>
      <c r="I62" s="102" t="s">
        <v>139</v>
      </c>
      <c r="J62" s="102"/>
      <c r="K62" s="102"/>
      <c r="L62" s="102"/>
      <c r="M62" s="102"/>
      <c r="N62" s="102"/>
      <c r="O62" s="101" t="s">
        <v>6</v>
      </c>
      <c r="P62" s="101"/>
      <c r="Q62" s="103"/>
      <c r="R62" s="104"/>
      <c r="S62" s="104"/>
      <c r="T62" s="104"/>
      <c r="U62" s="104"/>
      <c r="V62" s="104"/>
      <c r="W62" s="105"/>
    </row>
    <row r="63" spans="1:23" ht="15.75" x14ac:dyDescent="0.25">
      <c r="A63" s="106" t="s">
        <v>7</v>
      </c>
      <c r="B63" s="107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7"/>
      <c r="R63" s="107"/>
      <c r="S63" s="107"/>
      <c r="T63" s="107"/>
      <c r="U63" s="107"/>
      <c r="V63" s="107"/>
      <c r="W63" s="110"/>
    </row>
    <row r="64" spans="1:23" x14ac:dyDescent="0.25">
      <c r="A64" s="113" t="s">
        <v>8</v>
      </c>
      <c r="B64" s="114" t="s">
        <v>9</v>
      </c>
      <c r="C64" s="114" t="s">
        <v>10</v>
      </c>
      <c r="D64" s="114" t="s">
        <v>11</v>
      </c>
      <c r="E64" s="114" t="s">
        <v>12</v>
      </c>
      <c r="F64" s="114" t="s">
        <v>13</v>
      </c>
      <c r="G64" s="114" t="s">
        <v>14</v>
      </c>
      <c r="H64" s="114"/>
      <c r="I64" s="114"/>
      <c r="J64" s="114"/>
      <c r="K64" s="114"/>
      <c r="L64" s="114"/>
      <c r="M64" s="114" t="s">
        <v>15</v>
      </c>
      <c r="N64" s="114" t="s">
        <v>16</v>
      </c>
      <c r="O64" s="114" t="s">
        <v>17</v>
      </c>
      <c r="P64" s="114" t="s">
        <v>18</v>
      </c>
      <c r="Q64" s="114" t="s">
        <v>19</v>
      </c>
      <c r="R64" s="114"/>
      <c r="S64" s="114"/>
      <c r="T64" s="114"/>
      <c r="U64" s="114"/>
      <c r="V64" s="114"/>
      <c r="W64" s="115" t="s">
        <v>20</v>
      </c>
    </row>
    <row r="65" spans="1:23" x14ac:dyDescent="0.25">
      <c r="A65" s="113"/>
      <c r="B65" s="114"/>
      <c r="C65" s="114"/>
      <c r="D65" s="114"/>
      <c r="E65" s="114"/>
      <c r="F65" s="114"/>
      <c r="G65" s="31" t="s">
        <v>21</v>
      </c>
      <c r="H65" s="31" t="s">
        <v>21</v>
      </c>
      <c r="I65" s="31" t="s">
        <v>21</v>
      </c>
      <c r="J65" s="31" t="s">
        <v>22</v>
      </c>
      <c r="K65" s="31" t="s">
        <v>22</v>
      </c>
      <c r="L65" s="32" t="s">
        <v>22</v>
      </c>
      <c r="M65" s="138"/>
      <c r="N65" s="114"/>
      <c r="O65" s="114"/>
      <c r="P65" s="114"/>
      <c r="Q65" s="31" t="s">
        <v>21</v>
      </c>
      <c r="R65" s="31" t="s">
        <v>21</v>
      </c>
      <c r="S65" s="31" t="s">
        <v>21</v>
      </c>
      <c r="T65" s="31" t="s">
        <v>22</v>
      </c>
      <c r="U65" s="31" t="s">
        <v>22</v>
      </c>
      <c r="V65" s="31" t="s">
        <v>22</v>
      </c>
      <c r="W65" s="115"/>
    </row>
    <row r="66" spans="1:23" ht="15.75" x14ac:dyDescent="0.25">
      <c r="A66" s="5">
        <v>1</v>
      </c>
      <c r="B66" s="21" t="s">
        <v>448</v>
      </c>
      <c r="C66" s="20">
        <v>46148</v>
      </c>
      <c r="D66" s="36"/>
      <c r="E66" s="21"/>
      <c r="F66" s="21"/>
      <c r="G66" s="21"/>
      <c r="H66" s="21"/>
      <c r="I66" s="21"/>
      <c r="J66" s="21"/>
      <c r="K66" s="24"/>
      <c r="L66" s="29"/>
      <c r="M66" s="57"/>
      <c r="O66" s="21"/>
      <c r="P66" s="21"/>
      <c r="Q66" s="21"/>
      <c r="R66" s="21"/>
      <c r="S66" s="21"/>
      <c r="T66" s="21"/>
      <c r="U66" s="21"/>
      <c r="V66" s="21"/>
      <c r="W66" s="22"/>
    </row>
    <row r="67" spans="1:23" ht="15.75" x14ac:dyDescent="0.25">
      <c r="A67" s="6">
        <v>2</v>
      </c>
      <c r="B67" s="21"/>
      <c r="C67" s="13"/>
      <c r="D67" s="8"/>
      <c r="E67" s="8"/>
      <c r="F67" s="8"/>
      <c r="G67" s="8"/>
      <c r="H67" s="8"/>
      <c r="I67" s="8"/>
      <c r="J67" s="8"/>
      <c r="K67" s="25"/>
      <c r="L67" s="30"/>
      <c r="M67" s="57"/>
      <c r="N67" s="26"/>
      <c r="O67" s="8"/>
      <c r="P67" s="8"/>
      <c r="Q67" s="8"/>
      <c r="R67" s="8"/>
      <c r="S67" s="8"/>
      <c r="T67" s="8"/>
      <c r="U67" s="8"/>
      <c r="V67" s="8"/>
      <c r="W67" s="9"/>
    </row>
    <row r="68" spans="1:23" ht="15.75" x14ac:dyDescent="0.25">
      <c r="A68" s="6">
        <v>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27"/>
      <c r="M68" s="27"/>
      <c r="N68" s="8"/>
      <c r="O68" s="8"/>
      <c r="P68" s="8"/>
      <c r="Q68" s="8"/>
      <c r="R68" s="8"/>
      <c r="S68" s="8"/>
      <c r="T68" s="8"/>
      <c r="U68" s="8"/>
      <c r="V68" s="8"/>
      <c r="W68" s="9"/>
    </row>
    <row r="69" spans="1:23" ht="15.75" x14ac:dyDescent="0.25">
      <c r="A69" s="5">
        <v>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</row>
    <row r="70" spans="1:23" ht="15.75" x14ac:dyDescent="0.25">
      <c r="A70" s="5">
        <v>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</row>
    <row r="71" spans="1:23" ht="16.5" thickBot="1" x14ac:dyDescent="0.3">
      <c r="A71" s="7">
        <v>6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3" spans="1:23" ht="15.75" thickBot="1" x14ac:dyDescent="0.3"/>
    <row r="74" spans="1:23" ht="15.75" x14ac:dyDescent="0.25">
      <c r="A74" s="100" t="s">
        <v>260</v>
      </c>
      <c r="B74" s="101"/>
      <c r="C74" s="111" t="s">
        <v>541</v>
      </c>
      <c r="D74" s="112"/>
      <c r="E74" s="111" t="s">
        <v>542</v>
      </c>
      <c r="F74" s="112"/>
      <c r="G74" s="101" t="s">
        <v>4</v>
      </c>
      <c r="H74" s="101"/>
      <c r="I74" s="102" t="s">
        <v>139</v>
      </c>
      <c r="J74" s="102"/>
      <c r="K74" s="102"/>
      <c r="L74" s="102"/>
      <c r="M74" s="102"/>
      <c r="N74" s="102"/>
      <c r="O74" s="101" t="s">
        <v>6</v>
      </c>
      <c r="P74" s="101"/>
      <c r="Q74" s="103"/>
      <c r="R74" s="104"/>
      <c r="S74" s="104"/>
      <c r="T74" s="104"/>
      <c r="U74" s="104"/>
      <c r="V74" s="104"/>
      <c r="W74" s="105"/>
    </row>
    <row r="75" spans="1:23" ht="15.75" x14ac:dyDescent="0.25">
      <c r="A75" s="106" t="s">
        <v>7</v>
      </c>
      <c r="B75" s="107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7"/>
      <c r="R75" s="107"/>
      <c r="S75" s="107"/>
      <c r="T75" s="107"/>
      <c r="U75" s="107"/>
      <c r="V75" s="107"/>
      <c r="W75" s="110"/>
    </row>
    <row r="76" spans="1:23" x14ac:dyDescent="0.25">
      <c r="A76" s="113" t="s">
        <v>8</v>
      </c>
      <c r="B76" s="114" t="s">
        <v>9</v>
      </c>
      <c r="C76" s="114" t="s">
        <v>10</v>
      </c>
      <c r="D76" s="114" t="s">
        <v>11</v>
      </c>
      <c r="E76" s="114" t="s">
        <v>12</v>
      </c>
      <c r="F76" s="114" t="s">
        <v>13</v>
      </c>
      <c r="G76" s="114" t="s">
        <v>14</v>
      </c>
      <c r="H76" s="114"/>
      <c r="I76" s="114"/>
      <c r="J76" s="114"/>
      <c r="K76" s="114"/>
      <c r="L76" s="114"/>
      <c r="M76" s="114" t="s">
        <v>15</v>
      </c>
      <c r="N76" s="114" t="s">
        <v>16</v>
      </c>
      <c r="O76" s="114" t="s">
        <v>17</v>
      </c>
      <c r="P76" s="114" t="s">
        <v>18</v>
      </c>
      <c r="Q76" s="114" t="s">
        <v>19</v>
      </c>
      <c r="R76" s="114"/>
      <c r="S76" s="114"/>
      <c r="T76" s="114"/>
      <c r="U76" s="114"/>
      <c r="V76" s="114"/>
      <c r="W76" s="115" t="s">
        <v>20</v>
      </c>
    </row>
    <row r="77" spans="1:23" x14ac:dyDescent="0.25">
      <c r="A77" s="113"/>
      <c r="B77" s="114"/>
      <c r="C77" s="114"/>
      <c r="D77" s="114"/>
      <c r="E77" s="114"/>
      <c r="F77" s="114"/>
      <c r="G77" s="31" t="s">
        <v>21</v>
      </c>
      <c r="H77" s="31" t="s">
        <v>21</v>
      </c>
      <c r="I77" s="31" t="s">
        <v>21</v>
      </c>
      <c r="J77" s="31" t="s">
        <v>22</v>
      </c>
      <c r="K77" s="31" t="s">
        <v>22</v>
      </c>
      <c r="L77" s="32" t="s">
        <v>22</v>
      </c>
      <c r="M77" s="138"/>
      <c r="N77" s="114"/>
      <c r="O77" s="114"/>
      <c r="P77" s="114"/>
      <c r="Q77" s="31" t="s">
        <v>21</v>
      </c>
      <c r="R77" s="31" t="s">
        <v>21</v>
      </c>
      <c r="S77" s="31" t="s">
        <v>21</v>
      </c>
      <c r="T77" s="31" t="s">
        <v>22</v>
      </c>
      <c r="U77" s="31" t="s">
        <v>22</v>
      </c>
      <c r="V77" s="31" t="s">
        <v>22</v>
      </c>
      <c r="W77" s="115"/>
    </row>
    <row r="78" spans="1:23" ht="15.75" x14ac:dyDescent="0.25">
      <c r="A78" s="5">
        <v>1</v>
      </c>
      <c r="B78" s="21" t="s">
        <v>448</v>
      </c>
      <c r="C78" s="20">
        <v>46148</v>
      </c>
      <c r="D78" s="36"/>
      <c r="E78" s="21"/>
      <c r="F78" s="21"/>
      <c r="G78" s="21"/>
      <c r="H78" s="21"/>
      <c r="I78" s="21"/>
      <c r="J78" s="21"/>
      <c r="K78" s="24"/>
      <c r="L78" s="29"/>
      <c r="M78" s="57"/>
      <c r="O78" s="21"/>
      <c r="P78" s="21"/>
      <c r="Q78" s="21"/>
      <c r="R78" s="21"/>
      <c r="S78" s="21"/>
      <c r="T78" s="21"/>
      <c r="U78" s="21"/>
      <c r="V78" s="21"/>
      <c r="W78" s="22"/>
    </row>
    <row r="79" spans="1:23" ht="15.75" x14ac:dyDescent="0.25">
      <c r="A79" s="6">
        <v>2</v>
      </c>
      <c r="B79" s="21"/>
      <c r="C79" s="13"/>
      <c r="D79" s="8"/>
      <c r="E79" s="8"/>
      <c r="F79" s="8"/>
      <c r="G79" s="8"/>
      <c r="H79" s="8"/>
      <c r="I79" s="8"/>
      <c r="J79" s="8"/>
      <c r="K79" s="25"/>
      <c r="L79" s="30"/>
      <c r="M79" s="57"/>
      <c r="N79" s="26"/>
      <c r="O79" s="8"/>
      <c r="P79" s="8"/>
      <c r="Q79" s="8"/>
      <c r="R79" s="8"/>
      <c r="S79" s="8"/>
      <c r="T79" s="8"/>
      <c r="U79" s="8"/>
      <c r="V79" s="8"/>
      <c r="W79" s="9"/>
    </row>
    <row r="80" spans="1:23" ht="15.75" x14ac:dyDescent="0.25">
      <c r="A80" s="6">
        <v>3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27"/>
      <c r="M80" s="27"/>
      <c r="N80" s="8"/>
      <c r="O80" s="8"/>
      <c r="P80" s="8"/>
      <c r="Q80" s="8"/>
      <c r="R80" s="8"/>
      <c r="S80" s="8"/>
      <c r="T80" s="8"/>
      <c r="U80" s="8"/>
      <c r="V80" s="8"/>
      <c r="W80" s="9"/>
    </row>
    <row r="81" spans="1:23" ht="15.75" x14ac:dyDescent="0.25">
      <c r="A81" s="5">
        <v>4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3" ht="15.75" x14ac:dyDescent="0.25">
      <c r="A82" s="5">
        <v>5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</row>
    <row r="83" spans="1:23" ht="16.5" thickBot="1" x14ac:dyDescent="0.3">
      <c r="A83" s="7">
        <v>6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5" spans="1:23" ht="15.75" thickBot="1" x14ac:dyDescent="0.3"/>
    <row r="86" spans="1:23" ht="15.75" x14ac:dyDescent="0.25">
      <c r="A86" s="100" t="s">
        <v>260</v>
      </c>
      <c r="B86" s="101"/>
      <c r="C86" s="111" t="s">
        <v>543</v>
      </c>
      <c r="D86" s="112"/>
      <c r="E86" s="111" t="s">
        <v>542</v>
      </c>
      <c r="F86" s="112"/>
      <c r="G86" s="101" t="s">
        <v>4</v>
      </c>
      <c r="H86" s="101"/>
      <c r="I86" s="102" t="s">
        <v>139</v>
      </c>
      <c r="J86" s="102"/>
      <c r="K86" s="102"/>
      <c r="L86" s="102"/>
      <c r="M86" s="102"/>
      <c r="N86" s="102"/>
      <c r="O86" s="101" t="s">
        <v>6</v>
      </c>
      <c r="P86" s="101"/>
      <c r="Q86" s="103"/>
      <c r="R86" s="104"/>
      <c r="S86" s="104"/>
      <c r="T86" s="104"/>
      <c r="U86" s="104"/>
      <c r="V86" s="104"/>
      <c r="W86" s="105"/>
    </row>
    <row r="87" spans="1:23" ht="15.75" x14ac:dyDescent="0.25">
      <c r="A87" s="106" t="s">
        <v>7</v>
      </c>
      <c r="B87" s="107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7"/>
      <c r="R87" s="107"/>
      <c r="S87" s="107"/>
      <c r="T87" s="107"/>
      <c r="U87" s="107"/>
      <c r="V87" s="107"/>
      <c r="W87" s="110"/>
    </row>
    <row r="88" spans="1:23" x14ac:dyDescent="0.25">
      <c r="A88" s="113" t="s">
        <v>8</v>
      </c>
      <c r="B88" s="114" t="s">
        <v>9</v>
      </c>
      <c r="C88" s="114" t="s">
        <v>10</v>
      </c>
      <c r="D88" s="114" t="s">
        <v>11</v>
      </c>
      <c r="E88" s="114" t="s">
        <v>12</v>
      </c>
      <c r="F88" s="114" t="s">
        <v>13</v>
      </c>
      <c r="G88" s="114" t="s">
        <v>14</v>
      </c>
      <c r="H88" s="114"/>
      <c r="I88" s="114"/>
      <c r="J88" s="114"/>
      <c r="K88" s="114"/>
      <c r="L88" s="114"/>
      <c r="M88" s="114" t="s">
        <v>15</v>
      </c>
      <c r="N88" s="114" t="s">
        <v>16</v>
      </c>
      <c r="O88" s="114" t="s">
        <v>17</v>
      </c>
      <c r="P88" s="114" t="s">
        <v>18</v>
      </c>
      <c r="Q88" s="114" t="s">
        <v>19</v>
      </c>
      <c r="R88" s="114"/>
      <c r="S88" s="114"/>
      <c r="T88" s="114"/>
      <c r="U88" s="114"/>
      <c r="V88" s="114"/>
      <c r="W88" s="115" t="s">
        <v>20</v>
      </c>
    </row>
    <row r="89" spans="1:23" x14ac:dyDescent="0.25">
      <c r="A89" s="113"/>
      <c r="B89" s="114"/>
      <c r="C89" s="114"/>
      <c r="D89" s="114"/>
      <c r="E89" s="114"/>
      <c r="F89" s="114"/>
      <c r="G89" s="31" t="s">
        <v>21</v>
      </c>
      <c r="H89" s="31" t="s">
        <v>21</v>
      </c>
      <c r="I89" s="31" t="s">
        <v>21</v>
      </c>
      <c r="J89" s="31" t="s">
        <v>22</v>
      </c>
      <c r="K89" s="31" t="s">
        <v>22</v>
      </c>
      <c r="L89" s="32" t="s">
        <v>22</v>
      </c>
      <c r="M89" s="138"/>
      <c r="N89" s="114"/>
      <c r="O89" s="114"/>
      <c r="P89" s="114"/>
      <c r="Q89" s="31" t="s">
        <v>21</v>
      </c>
      <c r="R89" s="31" t="s">
        <v>21</v>
      </c>
      <c r="S89" s="31" t="s">
        <v>21</v>
      </c>
      <c r="T89" s="31" t="s">
        <v>22</v>
      </c>
      <c r="U89" s="31" t="s">
        <v>22</v>
      </c>
      <c r="V89" s="31" t="s">
        <v>22</v>
      </c>
      <c r="W89" s="115"/>
    </row>
    <row r="90" spans="1:23" ht="15.75" x14ac:dyDescent="0.25">
      <c r="A90" s="5">
        <v>1</v>
      </c>
      <c r="B90" s="21" t="s">
        <v>448</v>
      </c>
      <c r="C90" s="20">
        <v>46148</v>
      </c>
      <c r="D90" s="36"/>
      <c r="E90" s="21"/>
      <c r="F90" s="21"/>
      <c r="G90" s="21"/>
      <c r="H90" s="21"/>
      <c r="I90" s="21"/>
      <c r="J90" s="21"/>
      <c r="K90" s="24"/>
      <c r="L90" s="29"/>
      <c r="M90" s="57"/>
      <c r="O90" s="21"/>
      <c r="P90" s="21"/>
      <c r="Q90" s="21"/>
      <c r="R90" s="21"/>
      <c r="S90" s="21"/>
      <c r="T90" s="21"/>
      <c r="U90" s="21"/>
      <c r="V90" s="21"/>
      <c r="W90" s="22"/>
    </row>
    <row r="91" spans="1:23" ht="15.75" x14ac:dyDescent="0.25">
      <c r="A91" s="6">
        <v>2</v>
      </c>
      <c r="B91" s="21"/>
      <c r="C91" s="13"/>
      <c r="D91" s="8"/>
      <c r="E91" s="8"/>
      <c r="F91" s="8"/>
      <c r="G91" s="8"/>
      <c r="H91" s="8"/>
      <c r="I91" s="8"/>
      <c r="J91" s="8"/>
      <c r="K91" s="25"/>
      <c r="L91" s="30"/>
      <c r="M91" s="57"/>
      <c r="N91" s="26"/>
      <c r="O91" s="8"/>
      <c r="P91" s="8"/>
      <c r="Q91" s="8"/>
      <c r="R91" s="8"/>
      <c r="S91" s="8"/>
      <c r="T91" s="8"/>
      <c r="U91" s="8"/>
      <c r="V91" s="8"/>
      <c r="W91" s="9"/>
    </row>
    <row r="92" spans="1:23" ht="15.75" x14ac:dyDescent="0.25">
      <c r="A92" s="6">
        <v>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27"/>
      <c r="M92" s="27"/>
      <c r="N92" s="8"/>
      <c r="O92" s="8"/>
      <c r="P92" s="8"/>
      <c r="Q92" s="8"/>
      <c r="R92" s="8"/>
      <c r="S92" s="8"/>
      <c r="T92" s="8"/>
      <c r="U92" s="8"/>
      <c r="V92" s="8"/>
      <c r="W92" s="9"/>
    </row>
    <row r="93" spans="1:23" ht="15.75" x14ac:dyDescent="0.25">
      <c r="A93" s="5">
        <v>4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5.75" x14ac:dyDescent="0.25">
      <c r="A94" s="5">
        <v>5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</row>
    <row r="95" spans="1:23" ht="16.5" thickBot="1" x14ac:dyDescent="0.3">
      <c r="A95" s="7">
        <v>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7" spans="1:23" ht="15.75" thickBot="1" x14ac:dyDescent="0.3"/>
    <row r="98" spans="1:23" ht="15.75" x14ac:dyDescent="0.25">
      <c r="A98" s="100" t="s">
        <v>260</v>
      </c>
      <c r="B98" s="101"/>
      <c r="C98" s="111" t="s">
        <v>544</v>
      </c>
      <c r="D98" s="112"/>
      <c r="E98" s="111" t="s">
        <v>542</v>
      </c>
      <c r="F98" s="112"/>
      <c r="G98" s="101" t="s">
        <v>4</v>
      </c>
      <c r="H98" s="101"/>
      <c r="I98" s="102" t="s">
        <v>139</v>
      </c>
      <c r="J98" s="102"/>
      <c r="K98" s="102"/>
      <c r="L98" s="102"/>
      <c r="M98" s="102"/>
      <c r="N98" s="102"/>
      <c r="O98" s="101" t="s">
        <v>6</v>
      </c>
      <c r="P98" s="101"/>
      <c r="Q98" s="103"/>
      <c r="R98" s="104"/>
      <c r="S98" s="104"/>
      <c r="T98" s="104"/>
      <c r="U98" s="104"/>
      <c r="V98" s="104"/>
      <c r="W98" s="105"/>
    </row>
    <row r="99" spans="1:23" ht="15.75" x14ac:dyDescent="0.25">
      <c r="A99" s="106" t="s">
        <v>7</v>
      </c>
      <c r="B99" s="107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7"/>
      <c r="R99" s="107"/>
      <c r="S99" s="107"/>
      <c r="T99" s="107"/>
      <c r="U99" s="107"/>
      <c r="V99" s="107"/>
      <c r="W99" s="110"/>
    </row>
    <row r="100" spans="1:23" x14ac:dyDescent="0.25">
      <c r="A100" s="113" t="s">
        <v>8</v>
      </c>
      <c r="B100" s="114" t="s">
        <v>9</v>
      </c>
      <c r="C100" s="114" t="s">
        <v>10</v>
      </c>
      <c r="D100" s="114" t="s">
        <v>11</v>
      </c>
      <c r="E100" s="114" t="s">
        <v>12</v>
      </c>
      <c r="F100" s="114" t="s">
        <v>13</v>
      </c>
      <c r="G100" s="114" t="s">
        <v>14</v>
      </c>
      <c r="H100" s="114"/>
      <c r="I100" s="114"/>
      <c r="J100" s="114"/>
      <c r="K100" s="114"/>
      <c r="L100" s="114"/>
      <c r="M100" s="114" t="s">
        <v>15</v>
      </c>
      <c r="N100" s="114" t="s">
        <v>16</v>
      </c>
      <c r="O100" s="114" t="s">
        <v>17</v>
      </c>
      <c r="P100" s="114" t="s">
        <v>18</v>
      </c>
      <c r="Q100" s="114" t="s">
        <v>19</v>
      </c>
      <c r="R100" s="114"/>
      <c r="S100" s="114"/>
      <c r="T100" s="114"/>
      <c r="U100" s="114"/>
      <c r="V100" s="114"/>
      <c r="W100" s="115" t="s">
        <v>20</v>
      </c>
    </row>
    <row r="101" spans="1:23" x14ac:dyDescent="0.25">
      <c r="A101" s="113"/>
      <c r="B101" s="114"/>
      <c r="C101" s="114"/>
      <c r="D101" s="114"/>
      <c r="E101" s="114"/>
      <c r="F101" s="114"/>
      <c r="G101" s="31" t="s">
        <v>21</v>
      </c>
      <c r="H101" s="31" t="s">
        <v>21</v>
      </c>
      <c r="I101" s="31" t="s">
        <v>21</v>
      </c>
      <c r="J101" s="31" t="s">
        <v>22</v>
      </c>
      <c r="K101" s="31" t="s">
        <v>22</v>
      </c>
      <c r="L101" s="32" t="s">
        <v>22</v>
      </c>
      <c r="M101" s="138"/>
      <c r="N101" s="114"/>
      <c r="O101" s="114"/>
      <c r="P101" s="114"/>
      <c r="Q101" s="31" t="s">
        <v>21</v>
      </c>
      <c r="R101" s="31" t="s">
        <v>21</v>
      </c>
      <c r="S101" s="31" t="s">
        <v>21</v>
      </c>
      <c r="T101" s="31" t="s">
        <v>22</v>
      </c>
      <c r="U101" s="31" t="s">
        <v>22</v>
      </c>
      <c r="V101" s="31" t="s">
        <v>22</v>
      </c>
      <c r="W101" s="115"/>
    </row>
    <row r="102" spans="1:23" ht="15.75" x14ac:dyDescent="0.25">
      <c r="A102" s="5">
        <v>1</v>
      </c>
      <c r="B102" s="21" t="s">
        <v>448</v>
      </c>
      <c r="C102" s="20">
        <v>46148</v>
      </c>
      <c r="D102" s="36"/>
      <c r="E102" s="21"/>
      <c r="F102" s="21"/>
      <c r="G102" s="21"/>
      <c r="H102" s="21"/>
      <c r="I102" s="21"/>
      <c r="J102" s="21"/>
      <c r="K102" s="24"/>
      <c r="L102" s="29"/>
      <c r="M102" s="57"/>
      <c r="O102" s="21"/>
      <c r="P102" s="21"/>
      <c r="Q102" s="21"/>
      <c r="R102" s="21"/>
      <c r="S102" s="21"/>
      <c r="T102" s="21"/>
      <c r="U102" s="21"/>
      <c r="V102" s="21"/>
      <c r="W102" s="22"/>
    </row>
    <row r="103" spans="1:23" ht="15.75" x14ac:dyDescent="0.25">
      <c r="A103" s="6">
        <v>2</v>
      </c>
      <c r="B103" s="21"/>
      <c r="C103" s="13"/>
      <c r="D103" s="8"/>
      <c r="E103" s="8"/>
      <c r="F103" s="8"/>
      <c r="G103" s="8"/>
      <c r="H103" s="8"/>
      <c r="I103" s="8"/>
      <c r="J103" s="8"/>
      <c r="K103" s="25"/>
      <c r="L103" s="30"/>
      <c r="M103" s="57"/>
      <c r="N103" s="26"/>
      <c r="O103" s="8"/>
      <c r="P103" s="8"/>
      <c r="Q103" s="8"/>
      <c r="R103" s="8"/>
      <c r="S103" s="8"/>
      <c r="T103" s="8"/>
      <c r="U103" s="8"/>
      <c r="V103" s="8"/>
      <c r="W103" s="9"/>
    </row>
    <row r="104" spans="1:23" ht="15.75" x14ac:dyDescent="0.25">
      <c r="A104" s="6">
        <v>3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27"/>
      <c r="M104" s="27"/>
      <c r="N104" s="8"/>
      <c r="O104" s="8"/>
      <c r="P104" s="8"/>
      <c r="Q104" s="8"/>
      <c r="R104" s="8"/>
      <c r="S104" s="8"/>
      <c r="T104" s="8"/>
      <c r="U104" s="8"/>
      <c r="V104" s="8"/>
      <c r="W104" s="9"/>
    </row>
    <row r="105" spans="1:23" ht="15.75" x14ac:dyDescent="0.25">
      <c r="A105" s="5">
        <v>4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5.75" x14ac:dyDescent="0.25">
      <c r="A106" s="5">
        <v>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</row>
    <row r="107" spans="1:23" ht="16.5" thickBot="1" x14ac:dyDescent="0.3">
      <c r="A107" s="7">
        <v>6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9" spans="1:23" ht="15.75" thickBot="1" x14ac:dyDescent="0.3"/>
    <row r="110" spans="1:23" ht="15.75" x14ac:dyDescent="0.25">
      <c r="A110" s="100" t="s">
        <v>260</v>
      </c>
      <c r="B110" s="101"/>
      <c r="C110" s="111" t="s">
        <v>545</v>
      </c>
      <c r="D110" s="112"/>
      <c r="E110" s="111" t="s">
        <v>537</v>
      </c>
      <c r="F110" s="112"/>
      <c r="G110" s="101" t="s">
        <v>4</v>
      </c>
      <c r="H110" s="101"/>
      <c r="I110" s="102" t="s">
        <v>139</v>
      </c>
      <c r="J110" s="102"/>
      <c r="K110" s="102"/>
      <c r="L110" s="102"/>
      <c r="M110" s="102"/>
      <c r="N110" s="102"/>
      <c r="O110" s="101" t="s">
        <v>6</v>
      </c>
      <c r="P110" s="101"/>
      <c r="Q110" s="103"/>
      <c r="R110" s="104"/>
      <c r="S110" s="104"/>
      <c r="T110" s="104"/>
      <c r="U110" s="104"/>
      <c r="V110" s="104"/>
      <c r="W110" s="105"/>
    </row>
    <row r="111" spans="1:23" ht="15.75" x14ac:dyDescent="0.25">
      <c r="A111" s="106" t="s">
        <v>7</v>
      </c>
      <c r="B111" s="107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7"/>
      <c r="R111" s="107"/>
      <c r="S111" s="107"/>
      <c r="T111" s="107"/>
      <c r="U111" s="107"/>
      <c r="V111" s="107"/>
      <c r="W111" s="110"/>
    </row>
    <row r="112" spans="1:23" x14ac:dyDescent="0.25">
      <c r="A112" s="113" t="s">
        <v>8</v>
      </c>
      <c r="B112" s="114" t="s">
        <v>9</v>
      </c>
      <c r="C112" s="114" t="s">
        <v>10</v>
      </c>
      <c r="D112" s="114" t="s">
        <v>11</v>
      </c>
      <c r="E112" s="114" t="s">
        <v>12</v>
      </c>
      <c r="F112" s="114" t="s">
        <v>13</v>
      </c>
      <c r="G112" s="114" t="s">
        <v>14</v>
      </c>
      <c r="H112" s="114"/>
      <c r="I112" s="114"/>
      <c r="J112" s="114"/>
      <c r="K112" s="114"/>
      <c r="L112" s="114"/>
      <c r="M112" s="114" t="s">
        <v>15</v>
      </c>
      <c r="N112" s="114" t="s">
        <v>16</v>
      </c>
      <c r="O112" s="114" t="s">
        <v>17</v>
      </c>
      <c r="P112" s="114" t="s">
        <v>18</v>
      </c>
      <c r="Q112" s="114" t="s">
        <v>19</v>
      </c>
      <c r="R112" s="114"/>
      <c r="S112" s="114"/>
      <c r="T112" s="114"/>
      <c r="U112" s="114"/>
      <c r="V112" s="114"/>
      <c r="W112" s="115" t="s">
        <v>20</v>
      </c>
    </row>
    <row r="113" spans="1:23" x14ac:dyDescent="0.25">
      <c r="A113" s="113"/>
      <c r="B113" s="114"/>
      <c r="C113" s="114"/>
      <c r="D113" s="114"/>
      <c r="E113" s="114"/>
      <c r="F113" s="114"/>
      <c r="G113" s="31" t="s">
        <v>21</v>
      </c>
      <c r="H113" s="31" t="s">
        <v>21</v>
      </c>
      <c r="I113" s="31" t="s">
        <v>21</v>
      </c>
      <c r="J113" s="31" t="s">
        <v>22</v>
      </c>
      <c r="K113" s="31" t="s">
        <v>22</v>
      </c>
      <c r="L113" s="32" t="s">
        <v>22</v>
      </c>
      <c r="M113" s="138"/>
      <c r="N113" s="114"/>
      <c r="O113" s="114"/>
      <c r="P113" s="114"/>
      <c r="Q113" s="31" t="s">
        <v>21</v>
      </c>
      <c r="R113" s="31" t="s">
        <v>21</v>
      </c>
      <c r="S113" s="31" t="s">
        <v>21</v>
      </c>
      <c r="T113" s="31" t="s">
        <v>22</v>
      </c>
      <c r="U113" s="31" t="s">
        <v>22</v>
      </c>
      <c r="V113" s="31" t="s">
        <v>22</v>
      </c>
      <c r="W113" s="115"/>
    </row>
    <row r="114" spans="1:23" ht="15.75" x14ac:dyDescent="0.25">
      <c r="A114" s="5">
        <v>1</v>
      </c>
      <c r="B114" s="21" t="s">
        <v>145</v>
      </c>
      <c r="C114" s="20">
        <v>46148</v>
      </c>
      <c r="D114" s="36"/>
      <c r="E114" s="21"/>
      <c r="F114" s="21"/>
      <c r="G114" s="21"/>
      <c r="H114" s="21"/>
      <c r="I114" s="21"/>
      <c r="J114" s="21"/>
      <c r="K114" s="24"/>
      <c r="L114" s="29"/>
      <c r="M114" s="57"/>
      <c r="O114" s="21"/>
      <c r="P114" s="21"/>
      <c r="Q114" s="21"/>
      <c r="R114" s="21"/>
      <c r="S114" s="21"/>
      <c r="T114" s="21"/>
      <c r="U114" s="21"/>
      <c r="V114" s="21"/>
      <c r="W114" s="22"/>
    </row>
    <row r="115" spans="1:23" ht="15.75" x14ac:dyDescent="0.25">
      <c r="A115" s="6">
        <v>2</v>
      </c>
      <c r="B115" s="21"/>
      <c r="C115" s="13"/>
      <c r="D115" s="8"/>
      <c r="E115" s="8"/>
      <c r="F115" s="8"/>
      <c r="G115" s="8"/>
      <c r="H115" s="8"/>
      <c r="I115" s="8"/>
      <c r="J115" s="8"/>
      <c r="K115" s="25"/>
      <c r="L115" s="30"/>
      <c r="M115" s="57"/>
      <c r="N115" s="26"/>
      <c r="O115" s="8"/>
      <c r="P115" s="8"/>
      <c r="Q115" s="8"/>
      <c r="R115" s="8"/>
      <c r="S115" s="8"/>
      <c r="T115" s="8"/>
      <c r="U115" s="8"/>
      <c r="V115" s="8"/>
      <c r="W115" s="9"/>
    </row>
    <row r="116" spans="1:23" ht="15.75" x14ac:dyDescent="0.25">
      <c r="A116" s="6">
        <v>3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27"/>
      <c r="M116" s="27"/>
      <c r="N116" s="8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5">
        <v>4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5.75" x14ac:dyDescent="0.25">
      <c r="A118" s="5">
        <v>5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</row>
    <row r="119" spans="1:23" ht="16.5" thickBot="1" x14ac:dyDescent="0.3">
      <c r="A119" s="7">
        <v>6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1" spans="1:23" ht="15.75" thickBot="1" x14ac:dyDescent="0.3"/>
    <row r="122" spans="1:23" ht="15.75" x14ac:dyDescent="0.25">
      <c r="A122" s="100" t="s">
        <v>260</v>
      </c>
      <c r="B122" s="101"/>
      <c r="C122" s="111" t="s">
        <v>546</v>
      </c>
      <c r="D122" s="112"/>
      <c r="E122" s="111" t="s">
        <v>537</v>
      </c>
      <c r="F122" s="112"/>
      <c r="G122" s="101" t="s">
        <v>4</v>
      </c>
      <c r="H122" s="101"/>
      <c r="I122" s="102" t="s">
        <v>139</v>
      </c>
      <c r="J122" s="102"/>
      <c r="K122" s="102"/>
      <c r="L122" s="102"/>
      <c r="M122" s="102"/>
      <c r="N122" s="102"/>
      <c r="O122" s="101" t="s">
        <v>6</v>
      </c>
      <c r="P122" s="101"/>
      <c r="Q122" s="103"/>
      <c r="R122" s="104"/>
      <c r="S122" s="104"/>
      <c r="T122" s="104"/>
      <c r="U122" s="104"/>
      <c r="V122" s="104"/>
      <c r="W122" s="105"/>
    </row>
    <row r="123" spans="1:23" ht="15.75" x14ac:dyDescent="0.25">
      <c r="A123" s="106" t="s">
        <v>7</v>
      </c>
      <c r="B123" s="107"/>
      <c r="C123" s="116" t="s">
        <v>44</v>
      </c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09"/>
      <c r="P123" s="109"/>
      <c r="Q123" s="107"/>
      <c r="R123" s="107"/>
      <c r="S123" s="107"/>
      <c r="T123" s="107"/>
      <c r="U123" s="107"/>
      <c r="V123" s="107"/>
      <c r="W123" s="110"/>
    </row>
    <row r="124" spans="1:23" x14ac:dyDescent="0.25">
      <c r="A124" s="113" t="s">
        <v>8</v>
      </c>
      <c r="B124" s="114" t="s">
        <v>9</v>
      </c>
      <c r="C124" s="114" t="s">
        <v>10</v>
      </c>
      <c r="D124" s="114" t="s">
        <v>11</v>
      </c>
      <c r="E124" s="114" t="s">
        <v>12</v>
      </c>
      <c r="F124" s="114" t="s">
        <v>13</v>
      </c>
      <c r="G124" s="114" t="s">
        <v>14</v>
      </c>
      <c r="H124" s="114"/>
      <c r="I124" s="114"/>
      <c r="J124" s="114"/>
      <c r="K124" s="114"/>
      <c r="L124" s="114"/>
      <c r="M124" s="114" t="s">
        <v>15</v>
      </c>
      <c r="N124" s="114" t="s">
        <v>16</v>
      </c>
      <c r="O124" s="114" t="s">
        <v>17</v>
      </c>
      <c r="P124" s="114" t="s">
        <v>18</v>
      </c>
      <c r="Q124" s="114" t="s">
        <v>19</v>
      </c>
      <c r="R124" s="114"/>
      <c r="S124" s="114"/>
      <c r="T124" s="114"/>
      <c r="U124" s="114"/>
      <c r="V124" s="114"/>
      <c r="W124" s="115" t="s">
        <v>20</v>
      </c>
    </row>
    <row r="125" spans="1:23" x14ac:dyDescent="0.25">
      <c r="A125" s="113"/>
      <c r="B125" s="114"/>
      <c r="C125" s="114"/>
      <c r="D125" s="114"/>
      <c r="E125" s="114"/>
      <c r="F125" s="114"/>
      <c r="G125" s="31" t="s">
        <v>21</v>
      </c>
      <c r="H125" s="31" t="s">
        <v>21</v>
      </c>
      <c r="I125" s="31" t="s">
        <v>21</v>
      </c>
      <c r="J125" s="31" t="s">
        <v>22</v>
      </c>
      <c r="K125" s="31" t="s">
        <v>22</v>
      </c>
      <c r="L125" s="32" t="s">
        <v>22</v>
      </c>
      <c r="M125" s="138"/>
      <c r="N125" s="114"/>
      <c r="O125" s="114"/>
      <c r="P125" s="114"/>
      <c r="Q125" s="31" t="s">
        <v>21</v>
      </c>
      <c r="R125" s="31" t="s">
        <v>21</v>
      </c>
      <c r="S125" s="31" t="s">
        <v>21</v>
      </c>
      <c r="T125" s="31" t="s">
        <v>22</v>
      </c>
      <c r="U125" s="31" t="s">
        <v>22</v>
      </c>
      <c r="V125" s="31" t="s">
        <v>22</v>
      </c>
      <c r="W125" s="115"/>
    </row>
    <row r="126" spans="1:23" ht="15.75" x14ac:dyDescent="0.25">
      <c r="A126" s="5">
        <v>1</v>
      </c>
      <c r="B126" s="21" t="s">
        <v>145</v>
      </c>
      <c r="C126" s="20">
        <v>46148</v>
      </c>
      <c r="D126" s="36"/>
      <c r="E126" s="21"/>
      <c r="F126" s="21"/>
      <c r="G126" s="21"/>
      <c r="H126" s="21"/>
      <c r="I126" s="21"/>
      <c r="J126" s="21"/>
      <c r="K126" s="24"/>
      <c r="L126" s="29"/>
      <c r="M126" s="57"/>
      <c r="O126" s="21"/>
      <c r="P126" s="21"/>
      <c r="Q126" s="21"/>
      <c r="R126" s="21"/>
      <c r="S126" s="21"/>
      <c r="T126" s="21"/>
      <c r="U126" s="21"/>
      <c r="V126" s="21"/>
      <c r="W126" s="22"/>
    </row>
    <row r="127" spans="1:23" ht="15.75" x14ac:dyDescent="0.25">
      <c r="A127" s="6">
        <v>2</v>
      </c>
      <c r="B127" s="21"/>
      <c r="C127" s="13"/>
      <c r="D127" s="8"/>
      <c r="E127" s="8"/>
      <c r="F127" s="8"/>
      <c r="G127" s="8"/>
      <c r="H127" s="8"/>
      <c r="I127" s="8"/>
      <c r="J127" s="8"/>
      <c r="K127" s="25"/>
      <c r="L127" s="30"/>
      <c r="M127" s="57"/>
      <c r="N127" s="26"/>
      <c r="O127" s="8"/>
      <c r="P127" s="8"/>
      <c r="Q127" s="8"/>
      <c r="R127" s="8"/>
      <c r="S127" s="8"/>
      <c r="T127" s="8"/>
      <c r="U127" s="8"/>
      <c r="V127" s="8"/>
      <c r="W127" s="9"/>
    </row>
    <row r="128" spans="1:23" ht="15.75" x14ac:dyDescent="0.25">
      <c r="A128" s="6">
        <v>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27"/>
      <c r="M128" s="27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spans="1:23" ht="15.75" x14ac:dyDescent="0.25">
      <c r="A129" s="5">
        <v>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</row>
    <row r="130" spans="1:23" ht="15.75" x14ac:dyDescent="0.25">
      <c r="A130" s="5">
        <v>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9"/>
    </row>
    <row r="131" spans="1:23" ht="16.5" thickBot="1" x14ac:dyDescent="0.3">
      <c r="A131" s="7">
        <v>6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3" spans="1:23" ht="15.75" thickBot="1" x14ac:dyDescent="0.3"/>
    <row r="134" spans="1:23" ht="15.75" x14ac:dyDescent="0.25">
      <c r="A134" s="100" t="s">
        <v>260</v>
      </c>
      <c r="B134" s="101"/>
      <c r="C134" s="111" t="s">
        <v>547</v>
      </c>
      <c r="D134" s="112"/>
      <c r="E134" s="111" t="s">
        <v>537</v>
      </c>
      <c r="F134" s="112"/>
      <c r="G134" s="101" t="s">
        <v>4</v>
      </c>
      <c r="H134" s="101"/>
      <c r="I134" s="102" t="s">
        <v>139</v>
      </c>
      <c r="J134" s="102"/>
      <c r="K134" s="102"/>
      <c r="L134" s="102"/>
      <c r="M134" s="102"/>
      <c r="N134" s="102"/>
      <c r="O134" s="101" t="s">
        <v>6</v>
      </c>
      <c r="P134" s="101"/>
      <c r="Q134" s="103"/>
      <c r="R134" s="104"/>
      <c r="S134" s="104"/>
      <c r="T134" s="104"/>
      <c r="U134" s="104"/>
      <c r="V134" s="104"/>
      <c r="W134" s="105"/>
    </row>
    <row r="135" spans="1:23" ht="15.75" x14ac:dyDescent="0.25">
      <c r="A135" s="106" t="s">
        <v>7</v>
      </c>
      <c r="B135" s="107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7"/>
      <c r="R135" s="107"/>
      <c r="S135" s="107"/>
      <c r="T135" s="107"/>
      <c r="U135" s="107"/>
      <c r="V135" s="107"/>
      <c r="W135" s="110"/>
    </row>
    <row r="136" spans="1:23" x14ac:dyDescent="0.25">
      <c r="A136" s="113" t="s">
        <v>8</v>
      </c>
      <c r="B136" s="114" t="s">
        <v>9</v>
      </c>
      <c r="C136" s="114" t="s">
        <v>10</v>
      </c>
      <c r="D136" s="114" t="s">
        <v>11</v>
      </c>
      <c r="E136" s="114" t="s">
        <v>12</v>
      </c>
      <c r="F136" s="114" t="s">
        <v>13</v>
      </c>
      <c r="G136" s="114" t="s">
        <v>14</v>
      </c>
      <c r="H136" s="114"/>
      <c r="I136" s="114"/>
      <c r="J136" s="114"/>
      <c r="K136" s="114"/>
      <c r="L136" s="114"/>
      <c r="M136" s="114" t="s">
        <v>15</v>
      </c>
      <c r="N136" s="114" t="s">
        <v>16</v>
      </c>
      <c r="O136" s="114" t="s">
        <v>17</v>
      </c>
      <c r="P136" s="114" t="s">
        <v>18</v>
      </c>
      <c r="Q136" s="114" t="s">
        <v>19</v>
      </c>
      <c r="R136" s="114"/>
      <c r="S136" s="114"/>
      <c r="T136" s="114"/>
      <c r="U136" s="114"/>
      <c r="V136" s="114"/>
      <c r="W136" s="115" t="s">
        <v>20</v>
      </c>
    </row>
    <row r="137" spans="1:23" x14ac:dyDescent="0.25">
      <c r="A137" s="113"/>
      <c r="B137" s="114"/>
      <c r="C137" s="114"/>
      <c r="D137" s="114"/>
      <c r="E137" s="114"/>
      <c r="F137" s="114"/>
      <c r="G137" s="31" t="s">
        <v>21</v>
      </c>
      <c r="H137" s="31" t="s">
        <v>21</v>
      </c>
      <c r="I137" s="31" t="s">
        <v>21</v>
      </c>
      <c r="J137" s="31" t="s">
        <v>22</v>
      </c>
      <c r="K137" s="31" t="s">
        <v>22</v>
      </c>
      <c r="L137" s="32" t="s">
        <v>22</v>
      </c>
      <c r="M137" s="138"/>
      <c r="N137" s="114"/>
      <c r="O137" s="114"/>
      <c r="P137" s="114"/>
      <c r="Q137" s="31" t="s">
        <v>21</v>
      </c>
      <c r="R137" s="31" t="s">
        <v>21</v>
      </c>
      <c r="S137" s="31" t="s">
        <v>21</v>
      </c>
      <c r="T137" s="31" t="s">
        <v>22</v>
      </c>
      <c r="U137" s="31" t="s">
        <v>22</v>
      </c>
      <c r="V137" s="31" t="s">
        <v>22</v>
      </c>
      <c r="W137" s="115"/>
    </row>
    <row r="138" spans="1:23" ht="15.75" x14ac:dyDescent="0.25">
      <c r="A138" s="5">
        <v>1</v>
      </c>
      <c r="B138" s="21" t="s">
        <v>145</v>
      </c>
      <c r="C138" s="20">
        <v>46148</v>
      </c>
      <c r="D138" s="36"/>
      <c r="E138" s="21"/>
      <c r="F138" s="21"/>
      <c r="G138" s="21"/>
      <c r="H138" s="21"/>
      <c r="I138" s="21"/>
      <c r="J138" s="21"/>
      <c r="K138" s="24"/>
      <c r="L138" s="29"/>
      <c r="M138" s="57"/>
      <c r="O138" s="21"/>
      <c r="P138" s="21"/>
      <c r="Q138" s="21"/>
      <c r="R138" s="21"/>
      <c r="S138" s="21"/>
      <c r="T138" s="21"/>
      <c r="U138" s="21"/>
      <c r="V138" s="21"/>
      <c r="W138" s="22"/>
    </row>
    <row r="139" spans="1:23" ht="15.75" x14ac:dyDescent="0.25">
      <c r="A139" s="6">
        <v>2</v>
      </c>
      <c r="B139" s="21"/>
      <c r="C139" s="13"/>
      <c r="D139" s="8"/>
      <c r="E139" s="8"/>
      <c r="F139" s="8"/>
      <c r="G139" s="8"/>
      <c r="H139" s="8"/>
      <c r="I139" s="8"/>
      <c r="J139" s="8"/>
      <c r="K139" s="25"/>
      <c r="L139" s="30"/>
      <c r="M139" s="57"/>
      <c r="N139" s="26"/>
      <c r="O139" s="8"/>
      <c r="P139" s="8"/>
      <c r="Q139" s="8"/>
      <c r="R139" s="8"/>
      <c r="S139" s="8"/>
      <c r="T139" s="8"/>
      <c r="U139" s="8"/>
      <c r="V139" s="8"/>
      <c r="W139" s="9"/>
    </row>
    <row r="140" spans="1:23" ht="15.75" x14ac:dyDescent="0.25">
      <c r="A140" s="6">
        <v>3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27"/>
      <c r="M140" s="27"/>
      <c r="N140" s="8"/>
      <c r="O140" s="8"/>
      <c r="P140" s="8"/>
      <c r="Q140" s="8"/>
      <c r="R140" s="8"/>
      <c r="S140" s="8"/>
      <c r="T140" s="8"/>
      <c r="U140" s="8"/>
      <c r="V140" s="8"/>
      <c r="W140" s="9"/>
    </row>
    <row r="141" spans="1:23" ht="15.75" x14ac:dyDescent="0.25">
      <c r="A141" s="5">
        <v>4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spans="1:23" ht="15.75" x14ac:dyDescent="0.25">
      <c r="A142" s="5">
        <v>5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</row>
    <row r="143" spans="1:23" ht="16.5" thickBot="1" x14ac:dyDescent="0.3">
      <c r="A143" s="7">
        <v>6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5" spans="1:23" ht="15.75" thickBot="1" x14ac:dyDescent="0.3"/>
    <row r="146" spans="1:23" ht="15.75" x14ac:dyDescent="0.25">
      <c r="A146" s="100" t="s">
        <v>260</v>
      </c>
      <c r="B146" s="101"/>
      <c r="C146" s="111" t="s">
        <v>548</v>
      </c>
      <c r="D146" s="112"/>
      <c r="E146" s="111" t="s">
        <v>537</v>
      </c>
      <c r="F146" s="112"/>
      <c r="G146" s="101" t="s">
        <v>4</v>
      </c>
      <c r="H146" s="101"/>
      <c r="I146" s="102" t="s">
        <v>139</v>
      </c>
      <c r="J146" s="102"/>
      <c r="K146" s="102"/>
      <c r="L146" s="102"/>
      <c r="M146" s="102"/>
      <c r="N146" s="102"/>
      <c r="O146" s="101" t="s">
        <v>6</v>
      </c>
      <c r="P146" s="101"/>
      <c r="Q146" s="103"/>
      <c r="R146" s="104"/>
      <c r="S146" s="104"/>
      <c r="T146" s="104"/>
      <c r="U146" s="104"/>
      <c r="V146" s="104"/>
      <c r="W146" s="105"/>
    </row>
    <row r="147" spans="1:23" ht="15.75" x14ac:dyDescent="0.25">
      <c r="A147" s="106" t="s">
        <v>7</v>
      </c>
      <c r="B147" s="107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7"/>
      <c r="R147" s="107"/>
      <c r="S147" s="107"/>
      <c r="T147" s="107"/>
      <c r="U147" s="107"/>
      <c r="V147" s="107"/>
      <c r="W147" s="110"/>
    </row>
    <row r="148" spans="1:23" x14ac:dyDescent="0.25">
      <c r="A148" s="113" t="s">
        <v>8</v>
      </c>
      <c r="B148" s="114" t="s">
        <v>9</v>
      </c>
      <c r="C148" s="114" t="s">
        <v>10</v>
      </c>
      <c r="D148" s="114" t="s">
        <v>11</v>
      </c>
      <c r="E148" s="114" t="s">
        <v>12</v>
      </c>
      <c r="F148" s="114" t="s">
        <v>13</v>
      </c>
      <c r="G148" s="114" t="s">
        <v>14</v>
      </c>
      <c r="H148" s="114"/>
      <c r="I148" s="114"/>
      <c r="J148" s="114"/>
      <c r="K148" s="114"/>
      <c r="L148" s="114"/>
      <c r="M148" s="114" t="s">
        <v>15</v>
      </c>
      <c r="N148" s="114" t="s">
        <v>16</v>
      </c>
      <c r="O148" s="114" t="s">
        <v>17</v>
      </c>
      <c r="P148" s="114" t="s">
        <v>18</v>
      </c>
      <c r="Q148" s="114" t="s">
        <v>19</v>
      </c>
      <c r="R148" s="114"/>
      <c r="S148" s="114"/>
      <c r="T148" s="114"/>
      <c r="U148" s="114"/>
      <c r="V148" s="114"/>
      <c r="W148" s="115" t="s">
        <v>20</v>
      </c>
    </row>
    <row r="149" spans="1:23" x14ac:dyDescent="0.25">
      <c r="A149" s="113"/>
      <c r="B149" s="114"/>
      <c r="C149" s="114"/>
      <c r="D149" s="114"/>
      <c r="E149" s="114"/>
      <c r="F149" s="114"/>
      <c r="G149" s="31" t="s">
        <v>21</v>
      </c>
      <c r="H149" s="31" t="s">
        <v>21</v>
      </c>
      <c r="I149" s="31" t="s">
        <v>21</v>
      </c>
      <c r="J149" s="31" t="s">
        <v>22</v>
      </c>
      <c r="K149" s="31" t="s">
        <v>22</v>
      </c>
      <c r="L149" s="32" t="s">
        <v>22</v>
      </c>
      <c r="M149" s="138"/>
      <c r="N149" s="114"/>
      <c r="O149" s="114"/>
      <c r="P149" s="114"/>
      <c r="Q149" s="31" t="s">
        <v>21</v>
      </c>
      <c r="R149" s="31" t="s">
        <v>21</v>
      </c>
      <c r="S149" s="31" t="s">
        <v>21</v>
      </c>
      <c r="T149" s="31" t="s">
        <v>22</v>
      </c>
      <c r="U149" s="31" t="s">
        <v>22</v>
      </c>
      <c r="V149" s="31" t="s">
        <v>22</v>
      </c>
      <c r="W149" s="115"/>
    </row>
    <row r="150" spans="1:23" ht="15.75" x14ac:dyDescent="0.25">
      <c r="A150" s="5">
        <v>1</v>
      </c>
      <c r="B150" s="21" t="s">
        <v>145</v>
      </c>
      <c r="C150" s="20">
        <v>46148</v>
      </c>
      <c r="D150" s="36"/>
      <c r="E150" s="21"/>
      <c r="F150" s="21"/>
      <c r="G150" s="21"/>
      <c r="H150" s="21"/>
      <c r="I150" s="21"/>
      <c r="J150" s="21"/>
      <c r="K150" s="24"/>
      <c r="L150" s="29"/>
      <c r="M150" s="57"/>
      <c r="O150" s="21"/>
      <c r="P150" s="21"/>
      <c r="Q150" s="21"/>
      <c r="R150" s="21"/>
      <c r="S150" s="21"/>
      <c r="T150" s="21"/>
      <c r="U150" s="21"/>
      <c r="V150" s="21"/>
      <c r="W150" s="22"/>
    </row>
    <row r="151" spans="1:23" ht="15.75" x14ac:dyDescent="0.25">
      <c r="A151" s="6">
        <v>2</v>
      </c>
      <c r="B151" s="21"/>
      <c r="C151" s="13"/>
      <c r="D151" s="8"/>
      <c r="E151" s="8"/>
      <c r="F151" s="8"/>
      <c r="G151" s="8"/>
      <c r="H151" s="8"/>
      <c r="I151" s="8"/>
      <c r="J151" s="8"/>
      <c r="K151" s="25"/>
      <c r="L151" s="30"/>
      <c r="M151" s="57"/>
      <c r="N151" s="26"/>
      <c r="O151" s="8"/>
      <c r="P151" s="8"/>
      <c r="Q151" s="8"/>
      <c r="R151" s="8"/>
      <c r="S151" s="8"/>
      <c r="T151" s="8"/>
      <c r="U151" s="8"/>
      <c r="V151" s="8"/>
      <c r="W151" s="9"/>
    </row>
    <row r="152" spans="1:23" ht="15.75" x14ac:dyDescent="0.25">
      <c r="A152" s="6">
        <v>3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27"/>
      <c r="M152" s="27"/>
      <c r="N152" s="8"/>
      <c r="O152" s="8"/>
      <c r="P152" s="8"/>
      <c r="Q152" s="8"/>
      <c r="R152" s="8"/>
      <c r="S152" s="8"/>
      <c r="T152" s="8"/>
      <c r="U152" s="8"/>
      <c r="V152" s="8"/>
      <c r="W152" s="9"/>
    </row>
    <row r="153" spans="1:23" ht="15.75" x14ac:dyDescent="0.25">
      <c r="A153" s="5">
        <v>4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</row>
    <row r="154" spans="1:23" ht="15.75" x14ac:dyDescent="0.25">
      <c r="A154" s="5">
        <v>5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</row>
    <row r="155" spans="1:23" ht="16.5" thickBot="1" x14ac:dyDescent="0.3">
      <c r="A155" s="7">
        <v>6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7" spans="1:23" ht="15.75" thickBot="1" x14ac:dyDescent="0.3"/>
    <row r="158" spans="1:23" ht="15.75" x14ac:dyDescent="0.25">
      <c r="A158" s="100" t="s">
        <v>260</v>
      </c>
      <c r="B158" s="101"/>
      <c r="C158" s="111" t="s">
        <v>549</v>
      </c>
      <c r="D158" s="112"/>
      <c r="E158" s="111" t="s">
        <v>537</v>
      </c>
      <c r="F158" s="112"/>
      <c r="G158" s="101" t="s">
        <v>4</v>
      </c>
      <c r="H158" s="101"/>
      <c r="I158" s="102" t="s">
        <v>139</v>
      </c>
      <c r="J158" s="102"/>
      <c r="K158" s="102"/>
      <c r="L158" s="102"/>
      <c r="M158" s="102"/>
      <c r="N158" s="102"/>
      <c r="O158" s="101" t="s">
        <v>6</v>
      </c>
      <c r="P158" s="101"/>
      <c r="Q158" s="103"/>
      <c r="R158" s="104"/>
      <c r="S158" s="104"/>
      <c r="T158" s="104"/>
      <c r="U158" s="104"/>
      <c r="V158" s="104"/>
      <c r="W158" s="105"/>
    </row>
    <row r="159" spans="1:23" ht="15.75" x14ac:dyDescent="0.25">
      <c r="A159" s="106" t="s">
        <v>7</v>
      </c>
      <c r="B159" s="107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7"/>
      <c r="R159" s="107"/>
      <c r="S159" s="107"/>
      <c r="T159" s="107"/>
      <c r="U159" s="107"/>
      <c r="V159" s="107"/>
      <c r="W159" s="110"/>
    </row>
    <row r="160" spans="1:23" x14ac:dyDescent="0.25">
      <c r="A160" s="113" t="s">
        <v>8</v>
      </c>
      <c r="B160" s="114" t="s">
        <v>9</v>
      </c>
      <c r="C160" s="114" t="s">
        <v>10</v>
      </c>
      <c r="D160" s="114" t="s">
        <v>11</v>
      </c>
      <c r="E160" s="114" t="s">
        <v>12</v>
      </c>
      <c r="F160" s="114" t="s">
        <v>13</v>
      </c>
      <c r="G160" s="114" t="s">
        <v>14</v>
      </c>
      <c r="H160" s="114"/>
      <c r="I160" s="114"/>
      <c r="J160" s="114"/>
      <c r="K160" s="114"/>
      <c r="L160" s="114"/>
      <c r="M160" s="114" t="s">
        <v>15</v>
      </c>
      <c r="N160" s="114" t="s">
        <v>16</v>
      </c>
      <c r="O160" s="114" t="s">
        <v>17</v>
      </c>
      <c r="P160" s="114" t="s">
        <v>18</v>
      </c>
      <c r="Q160" s="114" t="s">
        <v>19</v>
      </c>
      <c r="R160" s="114"/>
      <c r="S160" s="114"/>
      <c r="T160" s="114"/>
      <c r="U160" s="114"/>
      <c r="V160" s="114"/>
      <c r="W160" s="115" t="s">
        <v>20</v>
      </c>
    </row>
    <row r="161" spans="1:23" x14ac:dyDescent="0.25">
      <c r="A161" s="113"/>
      <c r="B161" s="114"/>
      <c r="C161" s="114"/>
      <c r="D161" s="114"/>
      <c r="E161" s="114"/>
      <c r="F161" s="114"/>
      <c r="G161" s="31" t="s">
        <v>21</v>
      </c>
      <c r="H161" s="31" t="s">
        <v>21</v>
      </c>
      <c r="I161" s="31" t="s">
        <v>21</v>
      </c>
      <c r="J161" s="31" t="s">
        <v>22</v>
      </c>
      <c r="K161" s="31" t="s">
        <v>22</v>
      </c>
      <c r="L161" s="32" t="s">
        <v>22</v>
      </c>
      <c r="M161" s="138"/>
      <c r="N161" s="114"/>
      <c r="O161" s="114"/>
      <c r="P161" s="114"/>
      <c r="Q161" s="31" t="s">
        <v>21</v>
      </c>
      <c r="R161" s="31" t="s">
        <v>21</v>
      </c>
      <c r="S161" s="31" t="s">
        <v>21</v>
      </c>
      <c r="T161" s="31" t="s">
        <v>22</v>
      </c>
      <c r="U161" s="31" t="s">
        <v>22</v>
      </c>
      <c r="V161" s="31" t="s">
        <v>22</v>
      </c>
      <c r="W161" s="115"/>
    </row>
    <row r="162" spans="1:23" ht="15.75" x14ac:dyDescent="0.25">
      <c r="A162" s="5">
        <v>1</v>
      </c>
      <c r="B162" s="21" t="s">
        <v>145</v>
      </c>
      <c r="C162" s="20">
        <v>46148</v>
      </c>
      <c r="D162" s="36"/>
      <c r="E162" s="21"/>
      <c r="F162" s="21"/>
      <c r="G162" s="21"/>
      <c r="H162" s="21"/>
      <c r="I162" s="21"/>
      <c r="J162" s="21"/>
      <c r="K162" s="24"/>
      <c r="L162" s="29"/>
      <c r="M162" s="57"/>
      <c r="O162" s="21"/>
      <c r="P162" s="21"/>
      <c r="Q162" s="21"/>
      <c r="R162" s="21"/>
      <c r="S162" s="21"/>
      <c r="T162" s="21"/>
      <c r="U162" s="21"/>
      <c r="V162" s="21"/>
      <c r="W162" s="22"/>
    </row>
    <row r="163" spans="1:23" ht="15.75" x14ac:dyDescent="0.25">
      <c r="A163" s="6">
        <v>2</v>
      </c>
      <c r="B163" s="21"/>
      <c r="C163" s="13"/>
      <c r="D163" s="8"/>
      <c r="E163" s="8"/>
      <c r="F163" s="8"/>
      <c r="G163" s="8"/>
      <c r="H163" s="8"/>
      <c r="I163" s="8"/>
      <c r="J163" s="8"/>
      <c r="K163" s="25"/>
      <c r="L163" s="30"/>
      <c r="M163" s="57"/>
      <c r="N163" s="26"/>
      <c r="O163" s="8"/>
      <c r="P163" s="8"/>
      <c r="Q163" s="8"/>
      <c r="R163" s="8"/>
      <c r="S163" s="8"/>
      <c r="T163" s="8"/>
      <c r="U163" s="8"/>
      <c r="V163" s="8"/>
      <c r="W163" s="9"/>
    </row>
    <row r="164" spans="1:23" ht="15.75" x14ac:dyDescent="0.25">
      <c r="A164" s="6">
        <v>3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27"/>
      <c r="M164" s="27"/>
      <c r="N164" s="8"/>
      <c r="O164" s="8"/>
      <c r="P164" s="8"/>
      <c r="Q164" s="8"/>
      <c r="R164" s="8"/>
      <c r="S164" s="8"/>
      <c r="T164" s="8"/>
      <c r="U164" s="8"/>
      <c r="V164" s="8"/>
      <c r="W164" s="9"/>
    </row>
    <row r="165" spans="1:23" ht="15.75" x14ac:dyDescent="0.25">
      <c r="A165" s="5">
        <v>4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spans="1:23" ht="15.75" x14ac:dyDescent="0.25">
      <c r="A166" s="5">
        <v>5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</row>
    <row r="167" spans="1:23" ht="16.5" thickBot="1" x14ac:dyDescent="0.3">
      <c r="A167" s="7">
        <v>6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9" spans="1:23" ht="15.75" thickBot="1" x14ac:dyDescent="0.3"/>
    <row r="170" spans="1:23" ht="15.75" x14ac:dyDescent="0.25">
      <c r="A170" s="100" t="s">
        <v>260</v>
      </c>
      <c r="B170" s="101"/>
      <c r="C170" s="111" t="s">
        <v>550</v>
      </c>
      <c r="D170" s="112"/>
      <c r="E170" s="111" t="s">
        <v>406</v>
      </c>
      <c r="F170" s="112"/>
      <c r="G170" s="101" t="s">
        <v>4</v>
      </c>
      <c r="H170" s="101"/>
      <c r="I170" s="102" t="s">
        <v>551</v>
      </c>
      <c r="J170" s="102"/>
      <c r="K170" s="102"/>
      <c r="L170" s="102"/>
      <c r="M170" s="102"/>
      <c r="N170" s="102"/>
      <c r="O170" s="101" t="s">
        <v>6</v>
      </c>
      <c r="P170" s="101"/>
      <c r="Q170" s="103"/>
      <c r="R170" s="104"/>
      <c r="S170" s="104"/>
      <c r="T170" s="104"/>
      <c r="U170" s="104"/>
      <c r="V170" s="104"/>
      <c r="W170" s="105"/>
    </row>
    <row r="171" spans="1:23" ht="15.75" x14ac:dyDescent="0.25">
      <c r="A171" s="106" t="s">
        <v>7</v>
      </c>
      <c r="B171" s="107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7"/>
      <c r="R171" s="107"/>
      <c r="S171" s="107"/>
      <c r="T171" s="107"/>
      <c r="U171" s="107"/>
      <c r="V171" s="107"/>
      <c r="W171" s="110"/>
    </row>
    <row r="172" spans="1:23" x14ac:dyDescent="0.25">
      <c r="A172" s="113" t="s">
        <v>8</v>
      </c>
      <c r="B172" s="114" t="s">
        <v>9</v>
      </c>
      <c r="C172" s="114" t="s">
        <v>10</v>
      </c>
      <c r="D172" s="114" t="s">
        <v>11</v>
      </c>
      <c r="E172" s="114" t="s">
        <v>12</v>
      </c>
      <c r="F172" s="114" t="s">
        <v>13</v>
      </c>
      <c r="G172" s="114" t="s">
        <v>14</v>
      </c>
      <c r="H172" s="114"/>
      <c r="I172" s="114"/>
      <c r="J172" s="114"/>
      <c r="K172" s="114"/>
      <c r="L172" s="114"/>
      <c r="M172" s="114" t="s">
        <v>15</v>
      </c>
      <c r="N172" s="114" t="s">
        <v>16</v>
      </c>
      <c r="O172" s="114" t="s">
        <v>17</v>
      </c>
      <c r="P172" s="114" t="s">
        <v>18</v>
      </c>
      <c r="Q172" s="114" t="s">
        <v>19</v>
      </c>
      <c r="R172" s="114"/>
      <c r="S172" s="114"/>
      <c r="T172" s="114"/>
      <c r="U172" s="114"/>
      <c r="V172" s="114"/>
      <c r="W172" s="115" t="s">
        <v>20</v>
      </c>
    </row>
    <row r="173" spans="1:23" x14ac:dyDescent="0.25">
      <c r="A173" s="113"/>
      <c r="B173" s="114"/>
      <c r="C173" s="114"/>
      <c r="D173" s="114"/>
      <c r="E173" s="114"/>
      <c r="F173" s="114"/>
      <c r="G173" s="31" t="s">
        <v>21</v>
      </c>
      <c r="H173" s="31" t="s">
        <v>21</v>
      </c>
      <c r="I173" s="31" t="s">
        <v>21</v>
      </c>
      <c r="J173" s="31" t="s">
        <v>22</v>
      </c>
      <c r="K173" s="31" t="s">
        <v>22</v>
      </c>
      <c r="L173" s="32" t="s">
        <v>22</v>
      </c>
      <c r="M173" s="138"/>
      <c r="N173" s="114"/>
      <c r="O173" s="114"/>
      <c r="P173" s="114"/>
      <c r="Q173" s="31" t="s">
        <v>21</v>
      </c>
      <c r="R173" s="31" t="s">
        <v>21</v>
      </c>
      <c r="S173" s="31" t="s">
        <v>21</v>
      </c>
      <c r="T173" s="31" t="s">
        <v>22</v>
      </c>
      <c r="U173" s="31" t="s">
        <v>22</v>
      </c>
      <c r="V173" s="31" t="s">
        <v>22</v>
      </c>
      <c r="W173" s="115"/>
    </row>
    <row r="174" spans="1:23" ht="15.75" x14ac:dyDescent="0.25">
      <c r="A174" s="5">
        <v>1</v>
      </c>
      <c r="B174" s="21" t="s">
        <v>552</v>
      </c>
      <c r="C174" s="20">
        <v>46148</v>
      </c>
      <c r="D174" s="36"/>
      <c r="E174" s="21"/>
      <c r="F174" s="21"/>
      <c r="G174" s="21"/>
      <c r="H174" s="21"/>
      <c r="I174" s="21"/>
      <c r="J174" s="21"/>
      <c r="K174" s="24"/>
      <c r="L174" s="29"/>
      <c r="M174" s="57"/>
      <c r="O174" s="21"/>
      <c r="P174" s="21"/>
      <c r="Q174" s="21"/>
      <c r="R174" s="21"/>
      <c r="S174" s="21"/>
      <c r="T174" s="21"/>
      <c r="U174" s="21"/>
      <c r="V174" s="21"/>
      <c r="W174" s="22"/>
    </row>
    <row r="175" spans="1:23" ht="15.75" x14ac:dyDescent="0.25">
      <c r="A175" s="6">
        <v>2</v>
      </c>
      <c r="B175" s="21"/>
      <c r="C175" s="13"/>
      <c r="D175" s="8"/>
      <c r="E175" s="8"/>
      <c r="F175" s="8"/>
      <c r="G175" s="8"/>
      <c r="H175" s="8"/>
      <c r="I175" s="8"/>
      <c r="J175" s="8"/>
      <c r="K175" s="25"/>
      <c r="L175" s="30"/>
      <c r="M175" s="57"/>
      <c r="N175" s="26"/>
      <c r="O175" s="8"/>
      <c r="P175" s="8"/>
      <c r="Q175" s="8"/>
      <c r="R175" s="8"/>
      <c r="S175" s="8"/>
      <c r="T175" s="8"/>
      <c r="U175" s="8"/>
      <c r="V175" s="8"/>
      <c r="W175" s="9"/>
    </row>
    <row r="176" spans="1:23" ht="15.75" x14ac:dyDescent="0.25">
      <c r="A176" s="6">
        <v>3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27"/>
      <c r="M176" s="27"/>
      <c r="N176" s="8"/>
      <c r="O176" s="8"/>
      <c r="P176" s="8"/>
      <c r="Q176" s="8"/>
      <c r="R176" s="8"/>
      <c r="S176" s="8"/>
      <c r="T176" s="8"/>
      <c r="U176" s="8"/>
      <c r="V176" s="8"/>
      <c r="W176" s="9"/>
    </row>
    <row r="177" spans="1:23" ht="15.75" x14ac:dyDescent="0.25">
      <c r="A177" s="5">
        <v>4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</row>
    <row r="178" spans="1:23" ht="15.75" x14ac:dyDescent="0.25">
      <c r="A178" s="5">
        <v>5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</row>
    <row r="179" spans="1:23" ht="16.5" thickBot="1" x14ac:dyDescent="0.3">
      <c r="A179" s="7">
        <v>6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1" spans="1:23" ht="15.75" thickBot="1" x14ac:dyDescent="0.3"/>
    <row r="182" spans="1:23" ht="15.75" x14ac:dyDescent="0.25">
      <c r="A182" s="100" t="s">
        <v>260</v>
      </c>
      <c r="B182" s="101"/>
      <c r="C182" s="111" t="s">
        <v>553</v>
      </c>
      <c r="D182" s="112"/>
      <c r="E182" s="111" t="s">
        <v>406</v>
      </c>
      <c r="F182" s="112"/>
      <c r="G182" s="101" t="s">
        <v>4</v>
      </c>
      <c r="H182" s="101"/>
      <c r="I182" s="102" t="s">
        <v>551</v>
      </c>
      <c r="J182" s="102"/>
      <c r="K182" s="102"/>
      <c r="L182" s="102"/>
      <c r="M182" s="102"/>
      <c r="N182" s="102"/>
      <c r="O182" s="101" t="s">
        <v>6</v>
      </c>
      <c r="P182" s="101"/>
      <c r="Q182" s="103"/>
      <c r="R182" s="104"/>
      <c r="S182" s="104"/>
      <c r="T182" s="104"/>
      <c r="U182" s="104"/>
      <c r="V182" s="104"/>
      <c r="W182" s="105"/>
    </row>
    <row r="183" spans="1:23" ht="15.75" x14ac:dyDescent="0.25">
      <c r="A183" s="106" t="s">
        <v>7</v>
      </c>
      <c r="B183" s="107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7"/>
      <c r="R183" s="107"/>
      <c r="S183" s="107"/>
      <c r="T183" s="107"/>
      <c r="U183" s="107"/>
      <c r="V183" s="107"/>
      <c r="W183" s="110"/>
    </row>
    <row r="184" spans="1:23" x14ac:dyDescent="0.25">
      <c r="A184" s="113" t="s">
        <v>8</v>
      </c>
      <c r="B184" s="114" t="s">
        <v>9</v>
      </c>
      <c r="C184" s="114" t="s">
        <v>10</v>
      </c>
      <c r="D184" s="114" t="s">
        <v>11</v>
      </c>
      <c r="E184" s="114" t="s">
        <v>12</v>
      </c>
      <c r="F184" s="114" t="s">
        <v>13</v>
      </c>
      <c r="G184" s="114" t="s">
        <v>14</v>
      </c>
      <c r="H184" s="114"/>
      <c r="I184" s="114"/>
      <c r="J184" s="114"/>
      <c r="K184" s="114"/>
      <c r="L184" s="114"/>
      <c r="M184" s="114" t="s">
        <v>15</v>
      </c>
      <c r="N184" s="114" t="s">
        <v>16</v>
      </c>
      <c r="O184" s="114" t="s">
        <v>17</v>
      </c>
      <c r="P184" s="114" t="s">
        <v>18</v>
      </c>
      <c r="Q184" s="114" t="s">
        <v>19</v>
      </c>
      <c r="R184" s="114"/>
      <c r="S184" s="114"/>
      <c r="T184" s="114"/>
      <c r="U184" s="114"/>
      <c r="V184" s="114"/>
      <c r="W184" s="115" t="s">
        <v>20</v>
      </c>
    </row>
    <row r="185" spans="1:23" x14ac:dyDescent="0.25">
      <c r="A185" s="113"/>
      <c r="B185" s="114"/>
      <c r="C185" s="114"/>
      <c r="D185" s="114"/>
      <c r="E185" s="114"/>
      <c r="F185" s="114"/>
      <c r="G185" s="31" t="s">
        <v>21</v>
      </c>
      <c r="H185" s="31" t="s">
        <v>21</v>
      </c>
      <c r="I185" s="31" t="s">
        <v>21</v>
      </c>
      <c r="J185" s="31" t="s">
        <v>22</v>
      </c>
      <c r="K185" s="31" t="s">
        <v>22</v>
      </c>
      <c r="L185" s="32" t="s">
        <v>22</v>
      </c>
      <c r="M185" s="138"/>
      <c r="N185" s="114"/>
      <c r="O185" s="114"/>
      <c r="P185" s="114"/>
      <c r="Q185" s="31" t="s">
        <v>21</v>
      </c>
      <c r="R185" s="31" t="s">
        <v>21</v>
      </c>
      <c r="S185" s="31" t="s">
        <v>21</v>
      </c>
      <c r="T185" s="31" t="s">
        <v>22</v>
      </c>
      <c r="U185" s="31" t="s">
        <v>22</v>
      </c>
      <c r="V185" s="31" t="s">
        <v>22</v>
      </c>
      <c r="W185" s="115"/>
    </row>
    <row r="186" spans="1:23" ht="15.75" x14ac:dyDescent="0.25">
      <c r="A186" s="5">
        <v>1</v>
      </c>
      <c r="B186" s="21" t="s">
        <v>552</v>
      </c>
      <c r="C186" s="20">
        <v>46148</v>
      </c>
      <c r="D186" s="36"/>
      <c r="E186" s="21"/>
      <c r="F186" s="21"/>
      <c r="G186" s="21"/>
      <c r="H186" s="21"/>
      <c r="I186" s="21"/>
      <c r="J186" s="21"/>
      <c r="K186" s="24"/>
      <c r="L186" s="29"/>
      <c r="M186" s="57"/>
      <c r="O186" s="21"/>
      <c r="P186" s="21"/>
      <c r="Q186" s="21"/>
      <c r="R186" s="21"/>
      <c r="S186" s="21"/>
      <c r="T186" s="21"/>
      <c r="U186" s="21"/>
      <c r="V186" s="21"/>
      <c r="W186" s="22"/>
    </row>
    <row r="187" spans="1:23" ht="15.75" x14ac:dyDescent="0.25">
      <c r="A187" s="6">
        <v>2</v>
      </c>
      <c r="B187" s="21"/>
      <c r="C187" s="13"/>
      <c r="D187" s="8"/>
      <c r="E187" s="8"/>
      <c r="F187" s="8"/>
      <c r="G187" s="8"/>
      <c r="H187" s="8"/>
      <c r="I187" s="8"/>
      <c r="J187" s="8"/>
      <c r="K187" s="25"/>
      <c r="L187" s="30"/>
      <c r="M187" s="57"/>
      <c r="N187" s="26"/>
      <c r="O187" s="8"/>
      <c r="P187" s="8"/>
      <c r="Q187" s="8"/>
      <c r="R187" s="8"/>
      <c r="S187" s="8"/>
      <c r="T187" s="8"/>
      <c r="U187" s="8"/>
      <c r="V187" s="8"/>
      <c r="W187" s="9"/>
    </row>
    <row r="188" spans="1:23" ht="15.75" x14ac:dyDescent="0.25">
      <c r="A188" s="6">
        <v>3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27"/>
      <c r="M188" s="27"/>
      <c r="N188" s="8"/>
      <c r="O188" s="8"/>
      <c r="P188" s="8"/>
      <c r="Q188" s="8"/>
      <c r="R188" s="8"/>
      <c r="S188" s="8"/>
      <c r="T188" s="8"/>
      <c r="U188" s="8"/>
      <c r="V188" s="8"/>
      <c r="W188" s="9"/>
    </row>
    <row r="189" spans="1:23" ht="15.75" x14ac:dyDescent="0.25">
      <c r="A189" s="5">
        <v>4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</row>
    <row r="190" spans="1:23" ht="15.75" x14ac:dyDescent="0.25">
      <c r="A190" s="5">
        <v>5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</row>
    <row r="191" spans="1:23" ht="16.5" thickBot="1" x14ac:dyDescent="0.3">
      <c r="A191" s="7">
        <v>6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3" spans="1:23" ht="15.75" thickBot="1" x14ac:dyDescent="0.3"/>
    <row r="194" spans="1:23" ht="15.75" x14ac:dyDescent="0.25">
      <c r="A194" s="100" t="s">
        <v>260</v>
      </c>
      <c r="B194" s="101"/>
      <c r="C194" s="111" t="s">
        <v>554</v>
      </c>
      <c r="D194" s="112"/>
      <c r="E194" s="111" t="s">
        <v>406</v>
      </c>
      <c r="F194" s="112"/>
      <c r="G194" s="101" t="s">
        <v>4</v>
      </c>
      <c r="H194" s="101"/>
      <c r="I194" s="102" t="s">
        <v>551</v>
      </c>
      <c r="J194" s="102"/>
      <c r="K194" s="102"/>
      <c r="L194" s="102"/>
      <c r="M194" s="102"/>
      <c r="N194" s="102"/>
      <c r="O194" s="101" t="s">
        <v>6</v>
      </c>
      <c r="P194" s="101"/>
      <c r="Q194" s="103"/>
      <c r="R194" s="104"/>
      <c r="S194" s="104"/>
      <c r="T194" s="104"/>
      <c r="U194" s="104"/>
      <c r="V194" s="104"/>
      <c r="W194" s="105"/>
    </row>
    <row r="195" spans="1:23" ht="15.75" x14ac:dyDescent="0.25">
      <c r="A195" s="106" t="s">
        <v>7</v>
      </c>
      <c r="B195" s="107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7"/>
      <c r="R195" s="107"/>
      <c r="S195" s="107"/>
      <c r="T195" s="107"/>
      <c r="U195" s="107"/>
      <c r="V195" s="107"/>
      <c r="W195" s="110"/>
    </row>
    <row r="196" spans="1:23" x14ac:dyDescent="0.25">
      <c r="A196" s="113" t="s">
        <v>8</v>
      </c>
      <c r="B196" s="114" t="s">
        <v>9</v>
      </c>
      <c r="C196" s="114" t="s">
        <v>10</v>
      </c>
      <c r="D196" s="114" t="s">
        <v>11</v>
      </c>
      <c r="E196" s="114" t="s">
        <v>12</v>
      </c>
      <c r="F196" s="114" t="s">
        <v>13</v>
      </c>
      <c r="G196" s="114" t="s">
        <v>14</v>
      </c>
      <c r="H196" s="114"/>
      <c r="I196" s="114"/>
      <c r="J196" s="114"/>
      <c r="K196" s="114"/>
      <c r="L196" s="114"/>
      <c r="M196" s="114" t="s">
        <v>15</v>
      </c>
      <c r="N196" s="114" t="s">
        <v>16</v>
      </c>
      <c r="O196" s="114" t="s">
        <v>17</v>
      </c>
      <c r="P196" s="114" t="s">
        <v>18</v>
      </c>
      <c r="Q196" s="114" t="s">
        <v>19</v>
      </c>
      <c r="R196" s="114"/>
      <c r="S196" s="114"/>
      <c r="T196" s="114"/>
      <c r="U196" s="114"/>
      <c r="V196" s="114"/>
      <c r="W196" s="115" t="s">
        <v>20</v>
      </c>
    </row>
    <row r="197" spans="1:23" x14ac:dyDescent="0.25">
      <c r="A197" s="113"/>
      <c r="B197" s="114"/>
      <c r="C197" s="114"/>
      <c r="D197" s="114"/>
      <c r="E197" s="114"/>
      <c r="F197" s="114"/>
      <c r="G197" s="31" t="s">
        <v>21</v>
      </c>
      <c r="H197" s="31" t="s">
        <v>21</v>
      </c>
      <c r="I197" s="31" t="s">
        <v>21</v>
      </c>
      <c r="J197" s="31" t="s">
        <v>22</v>
      </c>
      <c r="K197" s="31" t="s">
        <v>22</v>
      </c>
      <c r="L197" s="32" t="s">
        <v>22</v>
      </c>
      <c r="M197" s="138"/>
      <c r="N197" s="114"/>
      <c r="O197" s="114"/>
      <c r="P197" s="114"/>
      <c r="Q197" s="31" t="s">
        <v>21</v>
      </c>
      <c r="R197" s="31" t="s">
        <v>21</v>
      </c>
      <c r="S197" s="31" t="s">
        <v>21</v>
      </c>
      <c r="T197" s="31" t="s">
        <v>22</v>
      </c>
      <c r="U197" s="31" t="s">
        <v>22</v>
      </c>
      <c r="V197" s="31" t="s">
        <v>22</v>
      </c>
      <c r="W197" s="115"/>
    </row>
    <row r="198" spans="1:23" ht="15.75" x14ac:dyDescent="0.25">
      <c r="A198" s="5">
        <v>1</v>
      </c>
      <c r="B198" s="21" t="s">
        <v>552</v>
      </c>
      <c r="C198" s="20">
        <v>46148</v>
      </c>
      <c r="D198" s="36"/>
      <c r="E198" s="21"/>
      <c r="F198" s="21"/>
      <c r="G198" s="21"/>
      <c r="H198" s="21"/>
      <c r="I198" s="21"/>
      <c r="J198" s="21"/>
      <c r="K198" s="24"/>
      <c r="L198" s="29"/>
      <c r="M198" s="57"/>
      <c r="O198" s="21"/>
      <c r="P198" s="21"/>
      <c r="Q198" s="21"/>
      <c r="R198" s="21"/>
      <c r="S198" s="21"/>
      <c r="T198" s="21"/>
      <c r="U198" s="21"/>
      <c r="V198" s="21"/>
      <c r="W198" s="22"/>
    </row>
    <row r="199" spans="1:23" ht="15.75" x14ac:dyDescent="0.25">
      <c r="A199" s="6">
        <v>2</v>
      </c>
      <c r="B199" s="21"/>
      <c r="C199" s="13"/>
      <c r="D199" s="8"/>
      <c r="E199" s="8"/>
      <c r="F199" s="8"/>
      <c r="G199" s="8"/>
      <c r="H199" s="8"/>
      <c r="I199" s="8"/>
      <c r="J199" s="8"/>
      <c r="K199" s="25"/>
      <c r="L199" s="30"/>
      <c r="M199" s="57"/>
      <c r="N199" s="26"/>
      <c r="O199" s="8"/>
      <c r="P199" s="8"/>
      <c r="Q199" s="8"/>
      <c r="R199" s="8"/>
      <c r="S199" s="8"/>
      <c r="T199" s="8"/>
      <c r="U199" s="8"/>
      <c r="V199" s="8"/>
      <c r="W199" s="9"/>
    </row>
    <row r="200" spans="1:23" ht="15.75" x14ac:dyDescent="0.25">
      <c r="A200" s="6">
        <v>3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27"/>
      <c r="M200" s="27"/>
      <c r="N200" s="8"/>
      <c r="O200" s="8"/>
      <c r="P200" s="8"/>
      <c r="Q200" s="8"/>
      <c r="R200" s="8"/>
      <c r="S200" s="8"/>
      <c r="T200" s="8"/>
      <c r="U200" s="8"/>
      <c r="V200" s="8"/>
      <c r="W200" s="9"/>
    </row>
    <row r="201" spans="1:23" ht="15.75" x14ac:dyDescent="0.25">
      <c r="A201" s="5">
        <v>4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</row>
    <row r="202" spans="1:23" ht="15.75" x14ac:dyDescent="0.25">
      <c r="A202" s="5">
        <v>5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</row>
    <row r="203" spans="1:23" ht="16.5" thickBot="1" x14ac:dyDescent="0.3">
      <c r="A203" s="7">
        <v>6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5" spans="1:23" ht="15.75" thickBot="1" x14ac:dyDescent="0.3"/>
    <row r="206" spans="1:23" ht="15.75" x14ac:dyDescent="0.25">
      <c r="A206" s="100" t="s">
        <v>260</v>
      </c>
      <c r="B206" s="101"/>
      <c r="C206" s="111" t="s">
        <v>555</v>
      </c>
      <c r="D206" s="112"/>
      <c r="E206" s="111" t="s">
        <v>406</v>
      </c>
      <c r="F206" s="112"/>
      <c r="G206" s="101" t="s">
        <v>4</v>
      </c>
      <c r="H206" s="101"/>
      <c r="I206" s="102" t="s">
        <v>551</v>
      </c>
      <c r="J206" s="102"/>
      <c r="K206" s="102"/>
      <c r="L206" s="102"/>
      <c r="M206" s="102"/>
      <c r="N206" s="102"/>
      <c r="O206" s="101" t="s">
        <v>6</v>
      </c>
      <c r="P206" s="101"/>
      <c r="Q206" s="103"/>
      <c r="R206" s="104"/>
      <c r="S206" s="104"/>
      <c r="T206" s="104"/>
      <c r="U206" s="104"/>
      <c r="V206" s="104"/>
      <c r="W206" s="105"/>
    </row>
    <row r="207" spans="1:23" ht="15.75" x14ac:dyDescent="0.25">
      <c r="A207" s="106" t="s">
        <v>7</v>
      </c>
      <c r="B207" s="107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7"/>
      <c r="R207" s="107"/>
      <c r="S207" s="107"/>
      <c r="T207" s="107"/>
      <c r="U207" s="107"/>
      <c r="V207" s="107"/>
      <c r="W207" s="110"/>
    </row>
    <row r="208" spans="1:23" x14ac:dyDescent="0.25">
      <c r="A208" s="113" t="s">
        <v>8</v>
      </c>
      <c r="B208" s="114" t="s">
        <v>9</v>
      </c>
      <c r="C208" s="114" t="s">
        <v>10</v>
      </c>
      <c r="D208" s="114" t="s">
        <v>11</v>
      </c>
      <c r="E208" s="114" t="s">
        <v>12</v>
      </c>
      <c r="F208" s="114" t="s">
        <v>13</v>
      </c>
      <c r="G208" s="114" t="s">
        <v>14</v>
      </c>
      <c r="H208" s="114"/>
      <c r="I208" s="114"/>
      <c r="J208" s="114"/>
      <c r="K208" s="114"/>
      <c r="L208" s="114"/>
      <c r="M208" s="114" t="s">
        <v>15</v>
      </c>
      <c r="N208" s="114" t="s">
        <v>16</v>
      </c>
      <c r="O208" s="114" t="s">
        <v>17</v>
      </c>
      <c r="P208" s="114" t="s">
        <v>18</v>
      </c>
      <c r="Q208" s="114" t="s">
        <v>19</v>
      </c>
      <c r="R208" s="114"/>
      <c r="S208" s="114"/>
      <c r="T208" s="114"/>
      <c r="U208" s="114"/>
      <c r="V208" s="114"/>
      <c r="W208" s="115" t="s">
        <v>20</v>
      </c>
    </row>
    <row r="209" spans="1:23" x14ac:dyDescent="0.25">
      <c r="A209" s="113"/>
      <c r="B209" s="114"/>
      <c r="C209" s="114"/>
      <c r="D209" s="114"/>
      <c r="E209" s="114"/>
      <c r="F209" s="114"/>
      <c r="G209" s="31" t="s">
        <v>21</v>
      </c>
      <c r="H209" s="31" t="s">
        <v>21</v>
      </c>
      <c r="I209" s="31" t="s">
        <v>21</v>
      </c>
      <c r="J209" s="31" t="s">
        <v>22</v>
      </c>
      <c r="K209" s="31" t="s">
        <v>22</v>
      </c>
      <c r="L209" s="32" t="s">
        <v>22</v>
      </c>
      <c r="M209" s="138"/>
      <c r="N209" s="114"/>
      <c r="O209" s="114"/>
      <c r="P209" s="114"/>
      <c r="Q209" s="31" t="s">
        <v>21</v>
      </c>
      <c r="R209" s="31" t="s">
        <v>21</v>
      </c>
      <c r="S209" s="31" t="s">
        <v>21</v>
      </c>
      <c r="T209" s="31" t="s">
        <v>22</v>
      </c>
      <c r="U209" s="31" t="s">
        <v>22</v>
      </c>
      <c r="V209" s="31" t="s">
        <v>22</v>
      </c>
      <c r="W209" s="115"/>
    </row>
    <row r="210" spans="1:23" ht="15.75" x14ac:dyDescent="0.25">
      <c r="A210" s="5">
        <v>1</v>
      </c>
      <c r="B210" s="21" t="s">
        <v>552</v>
      </c>
      <c r="C210" s="20">
        <v>46148</v>
      </c>
      <c r="D210" s="36"/>
      <c r="E210" s="21"/>
      <c r="F210" s="21"/>
      <c r="G210" s="21"/>
      <c r="H210" s="21"/>
      <c r="I210" s="21"/>
      <c r="J210" s="21"/>
      <c r="K210" s="24"/>
      <c r="L210" s="29"/>
      <c r="M210" s="57"/>
      <c r="O210" s="21"/>
      <c r="P210" s="21"/>
      <c r="Q210" s="21"/>
      <c r="R210" s="21"/>
      <c r="S210" s="21"/>
      <c r="T210" s="21"/>
      <c r="U210" s="21"/>
      <c r="V210" s="21"/>
      <c r="W210" s="22"/>
    </row>
    <row r="211" spans="1:23" ht="15.75" x14ac:dyDescent="0.25">
      <c r="A211" s="6">
        <v>2</v>
      </c>
      <c r="B211" s="21"/>
      <c r="C211" s="13"/>
      <c r="D211" s="8"/>
      <c r="E211" s="8"/>
      <c r="F211" s="8"/>
      <c r="G211" s="8"/>
      <c r="H211" s="8"/>
      <c r="I211" s="8"/>
      <c r="J211" s="8"/>
      <c r="K211" s="25"/>
      <c r="L211" s="30"/>
      <c r="M211" s="57"/>
      <c r="N211" s="26"/>
      <c r="O211" s="8"/>
      <c r="P211" s="8"/>
      <c r="Q211" s="8"/>
      <c r="R211" s="8"/>
      <c r="S211" s="8"/>
      <c r="T211" s="8"/>
      <c r="U211" s="8"/>
      <c r="V211" s="8"/>
      <c r="W211" s="9"/>
    </row>
    <row r="212" spans="1:23" ht="15.75" x14ac:dyDescent="0.25">
      <c r="A212" s="6">
        <v>3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27"/>
      <c r="M212" s="27"/>
      <c r="N212" s="8"/>
      <c r="O212" s="8"/>
      <c r="P212" s="8"/>
      <c r="Q212" s="8"/>
      <c r="R212" s="8"/>
      <c r="S212" s="8"/>
      <c r="T212" s="8"/>
      <c r="U212" s="8"/>
      <c r="V212" s="8"/>
      <c r="W212" s="9"/>
    </row>
    <row r="213" spans="1:23" ht="15.75" x14ac:dyDescent="0.25">
      <c r="A213" s="5">
        <v>4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</row>
    <row r="214" spans="1:23" ht="15.75" x14ac:dyDescent="0.25">
      <c r="A214" s="5">
        <v>5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</row>
    <row r="215" spans="1:23" ht="16.5" thickBot="1" x14ac:dyDescent="0.3">
      <c r="A215" s="7">
        <v>6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7" spans="1:23" ht="15.75" thickBot="1" x14ac:dyDescent="0.3"/>
    <row r="218" spans="1:23" ht="15.75" x14ac:dyDescent="0.25">
      <c r="A218" s="100" t="s">
        <v>260</v>
      </c>
      <c r="B218" s="101"/>
      <c r="C218" s="111" t="s">
        <v>464</v>
      </c>
      <c r="D218" s="112"/>
      <c r="E218" s="111" t="s">
        <v>406</v>
      </c>
      <c r="F218" s="112"/>
      <c r="G218" s="101" t="s">
        <v>4</v>
      </c>
      <c r="H218" s="101"/>
      <c r="I218" s="102" t="s">
        <v>551</v>
      </c>
      <c r="J218" s="102"/>
      <c r="K218" s="102"/>
      <c r="L218" s="102"/>
      <c r="M218" s="102"/>
      <c r="N218" s="102"/>
      <c r="O218" s="101" t="s">
        <v>6</v>
      </c>
      <c r="P218" s="101"/>
      <c r="Q218" s="103"/>
      <c r="R218" s="104"/>
      <c r="S218" s="104"/>
      <c r="T218" s="104"/>
      <c r="U218" s="104"/>
      <c r="V218" s="104"/>
      <c r="W218" s="105"/>
    </row>
    <row r="219" spans="1:23" ht="15.75" x14ac:dyDescent="0.25">
      <c r="A219" s="106" t="s">
        <v>7</v>
      </c>
      <c r="B219" s="107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7"/>
      <c r="R219" s="107"/>
      <c r="S219" s="107"/>
      <c r="T219" s="107"/>
      <c r="U219" s="107"/>
      <c r="V219" s="107"/>
      <c r="W219" s="110"/>
    </row>
    <row r="220" spans="1:23" x14ac:dyDescent="0.25">
      <c r="A220" s="113" t="s">
        <v>8</v>
      </c>
      <c r="B220" s="114" t="s">
        <v>9</v>
      </c>
      <c r="C220" s="114" t="s">
        <v>10</v>
      </c>
      <c r="D220" s="114" t="s">
        <v>11</v>
      </c>
      <c r="E220" s="114" t="s">
        <v>12</v>
      </c>
      <c r="F220" s="114" t="s">
        <v>13</v>
      </c>
      <c r="G220" s="114" t="s">
        <v>14</v>
      </c>
      <c r="H220" s="114"/>
      <c r="I220" s="114"/>
      <c r="J220" s="114"/>
      <c r="K220" s="114"/>
      <c r="L220" s="114"/>
      <c r="M220" s="114" t="s">
        <v>15</v>
      </c>
      <c r="N220" s="114" t="s">
        <v>16</v>
      </c>
      <c r="O220" s="114" t="s">
        <v>17</v>
      </c>
      <c r="P220" s="114" t="s">
        <v>18</v>
      </c>
      <c r="Q220" s="114" t="s">
        <v>19</v>
      </c>
      <c r="R220" s="114"/>
      <c r="S220" s="114"/>
      <c r="T220" s="114"/>
      <c r="U220" s="114"/>
      <c r="V220" s="114"/>
      <c r="W220" s="115" t="s">
        <v>20</v>
      </c>
    </row>
    <row r="221" spans="1:23" x14ac:dyDescent="0.25">
      <c r="A221" s="113"/>
      <c r="B221" s="114"/>
      <c r="C221" s="114"/>
      <c r="D221" s="114"/>
      <c r="E221" s="114"/>
      <c r="F221" s="114"/>
      <c r="G221" s="31" t="s">
        <v>21</v>
      </c>
      <c r="H221" s="31" t="s">
        <v>21</v>
      </c>
      <c r="I221" s="31" t="s">
        <v>21</v>
      </c>
      <c r="J221" s="31" t="s">
        <v>22</v>
      </c>
      <c r="K221" s="31" t="s">
        <v>22</v>
      </c>
      <c r="L221" s="32" t="s">
        <v>22</v>
      </c>
      <c r="M221" s="138"/>
      <c r="N221" s="114"/>
      <c r="O221" s="114"/>
      <c r="P221" s="114"/>
      <c r="Q221" s="31" t="s">
        <v>21</v>
      </c>
      <c r="R221" s="31" t="s">
        <v>21</v>
      </c>
      <c r="S221" s="31" t="s">
        <v>21</v>
      </c>
      <c r="T221" s="31" t="s">
        <v>22</v>
      </c>
      <c r="U221" s="31" t="s">
        <v>22</v>
      </c>
      <c r="V221" s="31" t="s">
        <v>22</v>
      </c>
      <c r="W221" s="115"/>
    </row>
    <row r="222" spans="1:23" ht="15.75" x14ac:dyDescent="0.25">
      <c r="A222" s="5">
        <v>1</v>
      </c>
      <c r="B222" s="21" t="s">
        <v>552</v>
      </c>
      <c r="C222" s="20">
        <v>46148</v>
      </c>
      <c r="D222" s="36"/>
      <c r="E222" s="21"/>
      <c r="F222" s="21"/>
      <c r="G222" s="21"/>
      <c r="H222" s="21"/>
      <c r="I222" s="21"/>
      <c r="J222" s="21"/>
      <c r="K222" s="24"/>
      <c r="L222" s="29"/>
      <c r="M222" s="57"/>
      <c r="O222" s="21"/>
      <c r="P222" s="21"/>
      <c r="Q222" s="21"/>
      <c r="R222" s="21"/>
      <c r="S222" s="21"/>
      <c r="T222" s="21"/>
      <c r="U222" s="21"/>
      <c r="V222" s="21"/>
      <c r="W222" s="22"/>
    </row>
    <row r="223" spans="1:23" ht="15.75" x14ac:dyDescent="0.25">
      <c r="A223" s="6">
        <v>2</v>
      </c>
      <c r="B223" s="21"/>
      <c r="C223" s="13"/>
      <c r="D223" s="8"/>
      <c r="E223" s="8"/>
      <c r="F223" s="8"/>
      <c r="G223" s="8"/>
      <c r="H223" s="8"/>
      <c r="I223" s="8"/>
      <c r="J223" s="8"/>
      <c r="K223" s="25"/>
      <c r="L223" s="30"/>
      <c r="M223" s="57"/>
      <c r="N223" s="26"/>
      <c r="O223" s="8"/>
      <c r="P223" s="8"/>
      <c r="Q223" s="8"/>
      <c r="R223" s="8"/>
      <c r="S223" s="8"/>
      <c r="T223" s="8"/>
      <c r="U223" s="8"/>
      <c r="V223" s="8"/>
      <c r="W223" s="9"/>
    </row>
    <row r="224" spans="1:23" ht="15.75" x14ac:dyDescent="0.25">
      <c r="A224" s="6">
        <v>3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27"/>
      <c r="M224" s="27"/>
      <c r="N224" s="8"/>
      <c r="O224" s="8"/>
      <c r="P224" s="8"/>
      <c r="Q224" s="8"/>
      <c r="R224" s="8"/>
      <c r="S224" s="8"/>
      <c r="T224" s="8"/>
      <c r="U224" s="8"/>
      <c r="V224" s="8"/>
      <c r="W224" s="9"/>
    </row>
    <row r="225" spans="1:23" ht="15.75" x14ac:dyDescent="0.25">
      <c r="A225" s="5">
        <v>4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</row>
    <row r="226" spans="1:23" ht="15.75" x14ac:dyDescent="0.25">
      <c r="A226" s="5">
        <v>5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</row>
    <row r="227" spans="1:23" ht="16.5" thickBot="1" x14ac:dyDescent="0.3">
      <c r="A227" s="7">
        <v>6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9" spans="1:23" ht="15.75" thickBot="1" x14ac:dyDescent="0.3"/>
    <row r="230" spans="1:23" ht="15.75" x14ac:dyDescent="0.25">
      <c r="A230" s="100" t="s">
        <v>260</v>
      </c>
      <c r="B230" s="101"/>
      <c r="C230" s="111" t="s">
        <v>463</v>
      </c>
      <c r="D230" s="112"/>
      <c r="E230" s="111" t="s">
        <v>406</v>
      </c>
      <c r="F230" s="112"/>
      <c r="G230" s="101" t="s">
        <v>4</v>
      </c>
      <c r="H230" s="101"/>
      <c r="I230" s="102" t="s">
        <v>551</v>
      </c>
      <c r="J230" s="102"/>
      <c r="K230" s="102"/>
      <c r="L230" s="102"/>
      <c r="M230" s="102"/>
      <c r="N230" s="102"/>
      <c r="O230" s="101" t="s">
        <v>6</v>
      </c>
      <c r="P230" s="101"/>
      <c r="Q230" s="103"/>
      <c r="R230" s="104"/>
      <c r="S230" s="104"/>
      <c r="T230" s="104"/>
      <c r="U230" s="104"/>
      <c r="V230" s="104"/>
      <c r="W230" s="105"/>
    </row>
    <row r="231" spans="1:23" ht="15.75" x14ac:dyDescent="0.25">
      <c r="A231" s="106" t="s">
        <v>7</v>
      </c>
      <c r="B231" s="107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7"/>
      <c r="R231" s="107"/>
      <c r="S231" s="107"/>
      <c r="T231" s="107"/>
      <c r="U231" s="107"/>
      <c r="V231" s="107"/>
      <c r="W231" s="110"/>
    </row>
    <row r="232" spans="1:23" x14ac:dyDescent="0.25">
      <c r="A232" s="113" t="s">
        <v>8</v>
      </c>
      <c r="B232" s="114" t="s">
        <v>9</v>
      </c>
      <c r="C232" s="114" t="s">
        <v>10</v>
      </c>
      <c r="D232" s="114" t="s">
        <v>11</v>
      </c>
      <c r="E232" s="114" t="s">
        <v>12</v>
      </c>
      <c r="F232" s="114" t="s">
        <v>13</v>
      </c>
      <c r="G232" s="114" t="s">
        <v>14</v>
      </c>
      <c r="H232" s="114"/>
      <c r="I232" s="114"/>
      <c r="J232" s="114"/>
      <c r="K232" s="114"/>
      <c r="L232" s="114"/>
      <c r="M232" s="114" t="s">
        <v>15</v>
      </c>
      <c r="N232" s="114" t="s">
        <v>16</v>
      </c>
      <c r="O232" s="114" t="s">
        <v>17</v>
      </c>
      <c r="P232" s="114" t="s">
        <v>18</v>
      </c>
      <c r="Q232" s="114" t="s">
        <v>19</v>
      </c>
      <c r="R232" s="114"/>
      <c r="S232" s="114"/>
      <c r="T232" s="114"/>
      <c r="U232" s="114"/>
      <c r="V232" s="114"/>
      <c r="W232" s="115" t="s">
        <v>20</v>
      </c>
    </row>
    <row r="233" spans="1:23" x14ac:dyDescent="0.25">
      <c r="A233" s="113"/>
      <c r="B233" s="114"/>
      <c r="C233" s="114"/>
      <c r="D233" s="114"/>
      <c r="E233" s="114"/>
      <c r="F233" s="114"/>
      <c r="G233" s="31" t="s">
        <v>21</v>
      </c>
      <c r="H233" s="31" t="s">
        <v>21</v>
      </c>
      <c r="I233" s="31" t="s">
        <v>21</v>
      </c>
      <c r="J233" s="31" t="s">
        <v>22</v>
      </c>
      <c r="K233" s="31" t="s">
        <v>22</v>
      </c>
      <c r="L233" s="32" t="s">
        <v>22</v>
      </c>
      <c r="M233" s="138"/>
      <c r="N233" s="114"/>
      <c r="O233" s="114"/>
      <c r="P233" s="114"/>
      <c r="Q233" s="31" t="s">
        <v>21</v>
      </c>
      <c r="R233" s="31" t="s">
        <v>21</v>
      </c>
      <c r="S233" s="31" t="s">
        <v>21</v>
      </c>
      <c r="T233" s="31" t="s">
        <v>22</v>
      </c>
      <c r="U233" s="31" t="s">
        <v>22</v>
      </c>
      <c r="V233" s="31" t="s">
        <v>22</v>
      </c>
      <c r="W233" s="115"/>
    </row>
    <row r="234" spans="1:23" ht="15.75" x14ac:dyDescent="0.25">
      <c r="A234" s="5">
        <v>1</v>
      </c>
      <c r="B234" s="21" t="s">
        <v>552</v>
      </c>
      <c r="C234" s="20">
        <v>46148</v>
      </c>
      <c r="D234" s="36"/>
      <c r="E234" s="21"/>
      <c r="F234" s="21"/>
      <c r="G234" s="21"/>
      <c r="H234" s="21"/>
      <c r="I234" s="21"/>
      <c r="J234" s="21"/>
      <c r="K234" s="24"/>
      <c r="L234" s="29"/>
      <c r="M234" s="57"/>
      <c r="O234" s="21"/>
      <c r="P234" s="21"/>
      <c r="Q234" s="21"/>
      <c r="R234" s="21"/>
      <c r="S234" s="21"/>
      <c r="T234" s="21"/>
      <c r="U234" s="21"/>
      <c r="V234" s="21"/>
      <c r="W234" s="22"/>
    </row>
    <row r="235" spans="1:23" ht="15.75" x14ac:dyDescent="0.25">
      <c r="A235" s="6">
        <v>2</v>
      </c>
      <c r="B235" s="21"/>
      <c r="C235" s="13"/>
      <c r="D235" s="8"/>
      <c r="E235" s="8"/>
      <c r="F235" s="8"/>
      <c r="G235" s="8"/>
      <c r="H235" s="8"/>
      <c r="I235" s="8"/>
      <c r="J235" s="8"/>
      <c r="K235" s="25"/>
      <c r="L235" s="30"/>
      <c r="M235" s="57"/>
      <c r="N235" s="26"/>
      <c r="O235" s="8"/>
      <c r="P235" s="8"/>
      <c r="Q235" s="8"/>
      <c r="R235" s="8"/>
      <c r="S235" s="8"/>
      <c r="T235" s="8"/>
      <c r="U235" s="8"/>
      <c r="V235" s="8"/>
      <c r="W235" s="9"/>
    </row>
    <row r="236" spans="1:23" ht="15.75" x14ac:dyDescent="0.25">
      <c r="A236" s="6">
        <v>3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27"/>
      <c r="M236" s="27"/>
      <c r="N236" s="8"/>
      <c r="O236" s="8"/>
      <c r="P236" s="8"/>
      <c r="Q236" s="8"/>
      <c r="R236" s="8"/>
      <c r="S236" s="8"/>
      <c r="T236" s="8"/>
      <c r="U236" s="8"/>
      <c r="V236" s="8"/>
      <c r="W236" s="9"/>
    </row>
    <row r="237" spans="1:23" ht="15.75" x14ac:dyDescent="0.25">
      <c r="A237" s="5">
        <v>4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</row>
    <row r="238" spans="1:23" ht="15.75" x14ac:dyDescent="0.25">
      <c r="A238" s="5">
        <v>5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</row>
    <row r="239" spans="1:23" ht="16.5" thickBot="1" x14ac:dyDescent="0.3">
      <c r="A239" s="7">
        <v>6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</sheetData>
  <mergeCells count="480">
    <mergeCell ref="Q2:W2"/>
    <mergeCell ref="A3:B3"/>
    <mergeCell ref="C3:N3"/>
    <mergeCell ref="O3:P3"/>
    <mergeCell ref="Q3:W3"/>
    <mergeCell ref="A4:A5"/>
    <mergeCell ref="B4:B5"/>
    <mergeCell ref="C4:C5"/>
    <mergeCell ref="D4:D5"/>
    <mergeCell ref="E4:E5"/>
    <mergeCell ref="A2:B2"/>
    <mergeCell ref="C2:D2"/>
    <mergeCell ref="E2:F2"/>
    <mergeCell ref="G2:H2"/>
    <mergeCell ref="I2:N2"/>
    <mergeCell ref="O2:P2"/>
    <mergeCell ref="Q4:V4"/>
    <mergeCell ref="W4:W5"/>
    <mergeCell ref="A14:B14"/>
    <mergeCell ref="C14:D14"/>
    <mergeCell ref="E14:F14"/>
    <mergeCell ref="G14:H14"/>
    <mergeCell ref="I14:N14"/>
    <mergeCell ref="O14:P14"/>
    <mergeCell ref="Q14:W14"/>
    <mergeCell ref="F4:F5"/>
    <mergeCell ref="G4:L4"/>
    <mergeCell ref="M4:M5"/>
    <mergeCell ref="N4:N5"/>
    <mergeCell ref="O4:O5"/>
    <mergeCell ref="P4:P5"/>
    <mergeCell ref="A15:B15"/>
    <mergeCell ref="C15:N15"/>
    <mergeCell ref="O15:P15"/>
    <mergeCell ref="Q15:W15"/>
    <mergeCell ref="A16:A17"/>
    <mergeCell ref="B16:B17"/>
    <mergeCell ref="C16:C17"/>
    <mergeCell ref="D16:D17"/>
    <mergeCell ref="E16:E17"/>
    <mergeCell ref="F16:F17"/>
    <mergeCell ref="W16:W17"/>
    <mergeCell ref="A26:B26"/>
    <mergeCell ref="C26:D26"/>
    <mergeCell ref="E26:F26"/>
    <mergeCell ref="G26:H26"/>
    <mergeCell ref="I26:N26"/>
    <mergeCell ref="O26:P26"/>
    <mergeCell ref="Q26:W26"/>
    <mergeCell ref="G16:L16"/>
    <mergeCell ref="M16:M17"/>
    <mergeCell ref="N16:N17"/>
    <mergeCell ref="O16:O17"/>
    <mergeCell ref="P16:P17"/>
    <mergeCell ref="Q16:V16"/>
    <mergeCell ref="A27:B27"/>
    <mergeCell ref="C27:N27"/>
    <mergeCell ref="O27:P27"/>
    <mergeCell ref="Q27:W27"/>
    <mergeCell ref="A28:A29"/>
    <mergeCell ref="B28:B29"/>
    <mergeCell ref="C28:C29"/>
    <mergeCell ref="D28:D29"/>
    <mergeCell ref="E28:E29"/>
    <mergeCell ref="F28:F29"/>
    <mergeCell ref="W28:W29"/>
    <mergeCell ref="A38:B38"/>
    <mergeCell ref="C38:D38"/>
    <mergeCell ref="E38:F38"/>
    <mergeCell ref="G38:H38"/>
    <mergeCell ref="I38:N38"/>
    <mergeCell ref="O38:P38"/>
    <mergeCell ref="Q38:W38"/>
    <mergeCell ref="G28:L28"/>
    <mergeCell ref="M28:M29"/>
    <mergeCell ref="N28:N29"/>
    <mergeCell ref="O28:O29"/>
    <mergeCell ref="P28:P29"/>
    <mergeCell ref="Q28:V28"/>
    <mergeCell ref="A39:B39"/>
    <mergeCell ref="C39:N39"/>
    <mergeCell ref="O39:P39"/>
    <mergeCell ref="Q39:W39"/>
    <mergeCell ref="A40:A41"/>
    <mergeCell ref="B40:B41"/>
    <mergeCell ref="C40:C41"/>
    <mergeCell ref="D40:D41"/>
    <mergeCell ref="E40:E41"/>
    <mergeCell ref="F40:F41"/>
    <mergeCell ref="W40:W41"/>
    <mergeCell ref="A50:B50"/>
    <mergeCell ref="C50:D50"/>
    <mergeCell ref="E50:F50"/>
    <mergeCell ref="G50:H50"/>
    <mergeCell ref="I50:N50"/>
    <mergeCell ref="O50:P50"/>
    <mergeCell ref="Q50:W50"/>
    <mergeCell ref="G40:L40"/>
    <mergeCell ref="M40:M41"/>
    <mergeCell ref="N40:N41"/>
    <mergeCell ref="O40:O41"/>
    <mergeCell ref="P40:P41"/>
    <mergeCell ref="Q40:V40"/>
    <mergeCell ref="A51:B51"/>
    <mergeCell ref="C51:N51"/>
    <mergeCell ref="O51:P51"/>
    <mergeCell ref="Q51:W51"/>
    <mergeCell ref="A52:A53"/>
    <mergeCell ref="B52:B53"/>
    <mergeCell ref="C52:C53"/>
    <mergeCell ref="D52:D53"/>
    <mergeCell ref="E52:E53"/>
    <mergeCell ref="F52:F53"/>
    <mergeCell ref="W52:W53"/>
    <mergeCell ref="A62:B62"/>
    <mergeCell ref="C62:D62"/>
    <mergeCell ref="E62:F62"/>
    <mergeCell ref="G62:H62"/>
    <mergeCell ref="I62:N62"/>
    <mergeCell ref="O62:P62"/>
    <mergeCell ref="Q62:W62"/>
    <mergeCell ref="G52:L52"/>
    <mergeCell ref="M52:M53"/>
    <mergeCell ref="N52:N53"/>
    <mergeCell ref="O52:O53"/>
    <mergeCell ref="P52:P53"/>
    <mergeCell ref="Q52:V52"/>
    <mergeCell ref="A63:B63"/>
    <mergeCell ref="C63:N63"/>
    <mergeCell ref="O63:P63"/>
    <mergeCell ref="Q63:W63"/>
    <mergeCell ref="A64:A65"/>
    <mergeCell ref="B64:B65"/>
    <mergeCell ref="C64:C65"/>
    <mergeCell ref="D64:D65"/>
    <mergeCell ref="E64:E65"/>
    <mergeCell ref="F64:F65"/>
    <mergeCell ref="W64:W65"/>
    <mergeCell ref="A74:B74"/>
    <mergeCell ref="C74:D74"/>
    <mergeCell ref="E74:F74"/>
    <mergeCell ref="G74:H74"/>
    <mergeCell ref="I74:N74"/>
    <mergeCell ref="O74:P74"/>
    <mergeCell ref="Q74:W74"/>
    <mergeCell ref="G64:L64"/>
    <mergeCell ref="M64:M65"/>
    <mergeCell ref="N64:N65"/>
    <mergeCell ref="O64:O65"/>
    <mergeCell ref="P64:P65"/>
    <mergeCell ref="Q64:V64"/>
    <mergeCell ref="A75:B75"/>
    <mergeCell ref="C75:N75"/>
    <mergeCell ref="O75:P75"/>
    <mergeCell ref="Q75:W75"/>
    <mergeCell ref="A76:A77"/>
    <mergeCell ref="B76:B77"/>
    <mergeCell ref="C76:C77"/>
    <mergeCell ref="D76:D77"/>
    <mergeCell ref="E76:E77"/>
    <mergeCell ref="F76:F77"/>
    <mergeCell ref="W76:W77"/>
    <mergeCell ref="A86:B86"/>
    <mergeCell ref="C86:D86"/>
    <mergeCell ref="E86:F86"/>
    <mergeCell ref="G86:H86"/>
    <mergeCell ref="I86:N86"/>
    <mergeCell ref="O86:P86"/>
    <mergeCell ref="Q86:W86"/>
    <mergeCell ref="G76:L76"/>
    <mergeCell ref="M76:M77"/>
    <mergeCell ref="N76:N77"/>
    <mergeCell ref="O76:O77"/>
    <mergeCell ref="P76:P77"/>
    <mergeCell ref="Q76:V76"/>
    <mergeCell ref="A87:B87"/>
    <mergeCell ref="C87:N87"/>
    <mergeCell ref="O87:P87"/>
    <mergeCell ref="Q87:W87"/>
    <mergeCell ref="A88:A89"/>
    <mergeCell ref="B88:B89"/>
    <mergeCell ref="C88:C89"/>
    <mergeCell ref="D88:D89"/>
    <mergeCell ref="E88:E89"/>
    <mergeCell ref="F88:F89"/>
    <mergeCell ref="W88:W89"/>
    <mergeCell ref="A98:B98"/>
    <mergeCell ref="C98:D98"/>
    <mergeCell ref="E98:F98"/>
    <mergeCell ref="G98:H98"/>
    <mergeCell ref="I98:N98"/>
    <mergeCell ref="O98:P98"/>
    <mergeCell ref="Q98:W98"/>
    <mergeCell ref="G88:L88"/>
    <mergeCell ref="M88:M89"/>
    <mergeCell ref="N88:N89"/>
    <mergeCell ref="O88:O89"/>
    <mergeCell ref="P88:P89"/>
    <mergeCell ref="Q88:V88"/>
    <mergeCell ref="A99:B99"/>
    <mergeCell ref="C99:N99"/>
    <mergeCell ref="O99:P99"/>
    <mergeCell ref="Q99:W99"/>
    <mergeCell ref="A100:A101"/>
    <mergeCell ref="B100:B101"/>
    <mergeCell ref="C100:C101"/>
    <mergeCell ref="D100:D101"/>
    <mergeCell ref="E100:E101"/>
    <mergeCell ref="F100:F101"/>
    <mergeCell ref="W100:W101"/>
    <mergeCell ref="A110:B110"/>
    <mergeCell ref="C110:D110"/>
    <mergeCell ref="E110:F110"/>
    <mergeCell ref="G110:H110"/>
    <mergeCell ref="I110:N110"/>
    <mergeCell ref="O110:P110"/>
    <mergeCell ref="Q110:W110"/>
    <mergeCell ref="G100:L100"/>
    <mergeCell ref="M100:M101"/>
    <mergeCell ref="N100:N101"/>
    <mergeCell ref="O100:O101"/>
    <mergeCell ref="P100:P101"/>
    <mergeCell ref="Q100:V100"/>
    <mergeCell ref="A111:B111"/>
    <mergeCell ref="C111:N111"/>
    <mergeCell ref="O111:P111"/>
    <mergeCell ref="Q111:W111"/>
    <mergeCell ref="A112:A113"/>
    <mergeCell ref="B112:B113"/>
    <mergeCell ref="C112:C113"/>
    <mergeCell ref="D112:D113"/>
    <mergeCell ref="E112:E113"/>
    <mergeCell ref="F112:F113"/>
    <mergeCell ref="W112:W113"/>
    <mergeCell ref="A122:B122"/>
    <mergeCell ref="C122:D122"/>
    <mergeCell ref="E122:F122"/>
    <mergeCell ref="G122:H122"/>
    <mergeCell ref="I122:N122"/>
    <mergeCell ref="O122:P122"/>
    <mergeCell ref="Q122:W122"/>
    <mergeCell ref="G112:L112"/>
    <mergeCell ref="M112:M113"/>
    <mergeCell ref="N112:N113"/>
    <mergeCell ref="O112:O113"/>
    <mergeCell ref="P112:P113"/>
    <mergeCell ref="Q112:V112"/>
    <mergeCell ref="A123:B123"/>
    <mergeCell ref="C123:N123"/>
    <mergeCell ref="O123:P123"/>
    <mergeCell ref="Q123:W123"/>
    <mergeCell ref="A124:A125"/>
    <mergeCell ref="B124:B125"/>
    <mergeCell ref="C124:C125"/>
    <mergeCell ref="D124:D125"/>
    <mergeCell ref="E124:E125"/>
    <mergeCell ref="F124:F125"/>
    <mergeCell ref="W124:W125"/>
    <mergeCell ref="A134:B134"/>
    <mergeCell ref="C134:D134"/>
    <mergeCell ref="E134:F134"/>
    <mergeCell ref="G134:H134"/>
    <mergeCell ref="I134:N134"/>
    <mergeCell ref="O134:P134"/>
    <mergeCell ref="Q134:W134"/>
    <mergeCell ref="G124:L124"/>
    <mergeCell ref="M124:M125"/>
    <mergeCell ref="N124:N125"/>
    <mergeCell ref="O124:O125"/>
    <mergeCell ref="P124:P125"/>
    <mergeCell ref="Q124:V124"/>
    <mergeCell ref="A135:B135"/>
    <mergeCell ref="C135:N135"/>
    <mergeCell ref="O135:P135"/>
    <mergeCell ref="Q135:W135"/>
    <mergeCell ref="A136:A137"/>
    <mergeCell ref="B136:B137"/>
    <mergeCell ref="C136:C137"/>
    <mergeCell ref="D136:D137"/>
    <mergeCell ref="E136:E137"/>
    <mergeCell ref="F136:F137"/>
    <mergeCell ref="W136:W137"/>
    <mergeCell ref="A146:B146"/>
    <mergeCell ref="C146:D146"/>
    <mergeCell ref="E146:F146"/>
    <mergeCell ref="G146:H146"/>
    <mergeCell ref="I146:N146"/>
    <mergeCell ref="O146:P146"/>
    <mergeCell ref="Q146:W146"/>
    <mergeCell ref="G136:L136"/>
    <mergeCell ref="M136:M137"/>
    <mergeCell ref="N136:N137"/>
    <mergeCell ref="O136:O137"/>
    <mergeCell ref="P136:P137"/>
    <mergeCell ref="Q136:V136"/>
    <mergeCell ref="A147:B147"/>
    <mergeCell ref="C147:N147"/>
    <mergeCell ref="O147:P147"/>
    <mergeCell ref="Q147:W147"/>
    <mergeCell ref="A148:A149"/>
    <mergeCell ref="B148:B149"/>
    <mergeCell ref="C148:C149"/>
    <mergeCell ref="D148:D149"/>
    <mergeCell ref="E148:E149"/>
    <mergeCell ref="F148:F149"/>
    <mergeCell ref="W148:W149"/>
    <mergeCell ref="A158:B158"/>
    <mergeCell ref="C158:D158"/>
    <mergeCell ref="E158:F158"/>
    <mergeCell ref="G158:H158"/>
    <mergeCell ref="I158:N158"/>
    <mergeCell ref="O158:P158"/>
    <mergeCell ref="Q158:W158"/>
    <mergeCell ref="G148:L148"/>
    <mergeCell ref="M148:M149"/>
    <mergeCell ref="N148:N149"/>
    <mergeCell ref="O148:O149"/>
    <mergeCell ref="P148:P149"/>
    <mergeCell ref="Q148:V148"/>
    <mergeCell ref="A159:B159"/>
    <mergeCell ref="C159:N159"/>
    <mergeCell ref="O159:P159"/>
    <mergeCell ref="Q159:W159"/>
    <mergeCell ref="A160:A161"/>
    <mergeCell ref="B160:B161"/>
    <mergeCell ref="C160:C161"/>
    <mergeCell ref="D160:D161"/>
    <mergeCell ref="E160:E161"/>
    <mergeCell ref="F160:F161"/>
    <mergeCell ref="W160:W161"/>
    <mergeCell ref="A170:B170"/>
    <mergeCell ref="C170:D170"/>
    <mergeCell ref="E170:F170"/>
    <mergeCell ref="G170:H170"/>
    <mergeCell ref="I170:N170"/>
    <mergeCell ref="O170:P170"/>
    <mergeCell ref="Q170:W170"/>
    <mergeCell ref="G160:L160"/>
    <mergeCell ref="M160:M161"/>
    <mergeCell ref="N160:N161"/>
    <mergeCell ref="O160:O161"/>
    <mergeCell ref="P160:P161"/>
    <mergeCell ref="Q160:V160"/>
    <mergeCell ref="A171:B171"/>
    <mergeCell ref="C171:N171"/>
    <mergeCell ref="O171:P171"/>
    <mergeCell ref="Q171:W171"/>
    <mergeCell ref="A172:A173"/>
    <mergeCell ref="B172:B173"/>
    <mergeCell ref="C172:C173"/>
    <mergeCell ref="D172:D173"/>
    <mergeCell ref="E172:E173"/>
    <mergeCell ref="F172:F173"/>
    <mergeCell ref="W172:W173"/>
    <mergeCell ref="A182:B182"/>
    <mergeCell ref="C182:D182"/>
    <mergeCell ref="E182:F182"/>
    <mergeCell ref="G182:H182"/>
    <mergeCell ref="I182:N182"/>
    <mergeCell ref="O182:P182"/>
    <mergeCell ref="Q182:W182"/>
    <mergeCell ref="G172:L172"/>
    <mergeCell ref="M172:M173"/>
    <mergeCell ref="N172:N173"/>
    <mergeCell ref="O172:O173"/>
    <mergeCell ref="P172:P173"/>
    <mergeCell ref="Q172:V172"/>
    <mergeCell ref="A183:B183"/>
    <mergeCell ref="C183:N183"/>
    <mergeCell ref="O183:P183"/>
    <mergeCell ref="Q183:W183"/>
    <mergeCell ref="A184:A185"/>
    <mergeCell ref="B184:B185"/>
    <mergeCell ref="C184:C185"/>
    <mergeCell ref="D184:D185"/>
    <mergeCell ref="E184:E185"/>
    <mergeCell ref="F184:F185"/>
    <mergeCell ref="W184:W185"/>
    <mergeCell ref="A194:B194"/>
    <mergeCell ref="C194:D194"/>
    <mergeCell ref="E194:F194"/>
    <mergeCell ref="G194:H194"/>
    <mergeCell ref="I194:N194"/>
    <mergeCell ref="O194:P194"/>
    <mergeCell ref="Q194:W194"/>
    <mergeCell ref="G184:L184"/>
    <mergeCell ref="M184:M185"/>
    <mergeCell ref="N184:N185"/>
    <mergeCell ref="O184:O185"/>
    <mergeCell ref="P184:P185"/>
    <mergeCell ref="Q184:V184"/>
    <mergeCell ref="A195:B195"/>
    <mergeCell ref="C195:N195"/>
    <mergeCell ref="O195:P195"/>
    <mergeCell ref="Q195:W195"/>
    <mergeCell ref="A196:A197"/>
    <mergeCell ref="B196:B197"/>
    <mergeCell ref="C196:C197"/>
    <mergeCell ref="D196:D197"/>
    <mergeCell ref="E196:E197"/>
    <mergeCell ref="F196:F197"/>
    <mergeCell ref="W196:W197"/>
    <mergeCell ref="A206:B206"/>
    <mergeCell ref="C206:D206"/>
    <mergeCell ref="E206:F206"/>
    <mergeCell ref="G206:H206"/>
    <mergeCell ref="I206:N206"/>
    <mergeCell ref="O206:P206"/>
    <mergeCell ref="Q206:W206"/>
    <mergeCell ref="G196:L196"/>
    <mergeCell ref="M196:M197"/>
    <mergeCell ref="N196:N197"/>
    <mergeCell ref="O196:O197"/>
    <mergeCell ref="P196:P197"/>
    <mergeCell ref="Q196:V196"/>
    <mergeCell ref="A207:B207"/>
    <mergeCell ref="C207:N207"/>
    <mergeCell ref="O207:P207"/>
    <mergeCell ref="Q207:W207"/>
    <mergeCell ref="A208:A209"/>
    <mergeCell ref="B208:B209"/>
    <mergeCell ref="C208:C209"/>
    <mergeCell ref="D208:D209"/>
    <mergeCell ref="E208:E209"/>
    <mergeCell ref="F208:F209"/>
    <mergeCell ref="W208:W209"/>
    <mergeCell ref="A218:B218"/>
    <mergeCell ref="C218:D218"/>
    <mergeCell ref="E218:F218"/>
    <mergeCell ref="G218:H218"/>
    <mergeCell ref="I218:N218"/>
    <mergeCell ref="O218:P218"/>
    <mergeCell ref="Q218:W218"/>
    <mergeCell ref="G208:L208"/>
    <mergeCell ref="M208:M209"/>
    <mergeCell ref="N208:N209"/>
    <mergeCell ref="O208:O209"/>
    <mergeCell ref="P208:P209"/>
    <mergeCell ref="Q208:V208"/>
    <mergeCell ref="A219:B219"/>
    <mergeCell ref="C219:N219"/>
    <mergeCell ref="O219:P219"/>
    <mergeCell ref="Q219:W219"/>
    <mergeCell ref="A220:A221"/>
    <mergeCell ref="B220:B221"/>
    <mergeCell ref="C220:C221"/>
    <mergeCell ref="D220:D221"/>
    <mergeCell ref="E220:E221"/>
    <mergeCell ref="F220:F221"/>
    <mergeCell ref="W220:W221"/>
    <mergeCell ref="A230:B230"/>
    <mergeCell ref="C230:D230"/>
    <mergeCell ref="E230:F230"/>
    <mergeCell ref="G230:H230"/>
    <mergeCell ref="I230:N230"/>
    <mergeCell ref="O230:P230"/>
    <mergeCell ref="Q230:W230"/>
    <mergeCell ref="G220:L220"/>
    <mergeCell ref="M220:M221"/>
    <mergeCell ref="N220:N221"/>
    <mergeCell ref="O220:O221"/>
    <mergeCell ref="P220:P221"/>
    <mergeCell ref="Q220:V220"/>
    <mergeCell ref="W232:W233"/>
    <mergeCell ref="G232:L232"/>
    <mergeCell ref="M232:M233"/>
    <mergeCell ref="N232:N233"/>
    <mergeCell ref="O232:O233"/>
    <mergeCell ref="P232:P233"/>
    <mergeCell ref="Q232:V232"/>
    <mergeCell ref="A231:B231"/>
    <mergeCell ref="C231:N231"/>
    <mergeCell ref="O231:P231"/>
    <mergeCell ref="Q231:W231"/>
    <mergeCell ref="A232:A233"/>
    <mergeCell ref="B232:B233"/>
    <mergeCell ref="C232:C233"/>
    <mergeCell ref="D232:D233"/>
    <mergeCell ref="E232:E233"/>
    <mergeCell ref="F232:F2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582D-B0F8-43D8-954A-18DA39E10418}">
  <dimension ref="A1:W239"/>
  <sheetViews>
    <sheetView tabSelected="1" workbookViewId="0">
      <selection activeCell="C159" sqref="C159:N159"/>
    </sheetView>
  </sheetViews>
  <sheetFormatPr baseColWidth="10" defaultRowHeight="15" x14ac:dyDescent="0.25"/>
  <cols>
    <col min="2" max="2" width="9.5703125" customWidth="1"/>
    <col min="3" max="3" width="9.28515625" customWidth="1"/>
    <col min="5" max="5" width="9.28515625" customWidth="1"/>
    <col min="7" max="7" width="6" customWidth="1"/>
    <col min="8" max="8" width="5.85546875" customWidth="1"/>
    <col min="9" max="9" width="5.7109375" customWidth="1"/>
    <col min="10" max="10" width="5.85546875" customWidth="1"/>
    <col min="11" max="12" width="5.5703125" customWidth="1"/>
    <col min="13" max="13" width="9.5703125" customWidth="1"/>
    <col min="14" max="14" width="11.42578125" customWidth="1"/>
    <col min="15" max="15" width="9.28515625" customWidth="1"/>
    <col min="17" max="17" width="6.140625" customWidth="1"/>
    <col min="18" max="18" width="6.28515625" customWidth="1"/>
    <col min="19" max="19" width="5.7109375" customWidth="1"/>
    <col min="20" max="20" width="6" customWidth="1"/>
    <col min="21" max="21" width="6.28515625" customWidth="1"/>
    <col min="22" max="22" width="6.42578125" customWidth="1"/>
  </cols>
  <sheetData>
    <row r="1" spans="1:23" ht="15.75" thickBot="1" x14ac:dyDescent="0.3"/>
    <row r="2" spans="1:23" ht="15.75" x14ac:dyDescent="0.25">
      <c r="A2" s="100" t="s">
        <v>260</v>
      </c>
      <c r="B2" s="101"/>
      <c r="C2" s="111" t="s">
        <v>556</v>
      </c>
      <c r="D2" s="112"/>
      <c r="E2" s="111" t="s">
        <v>557</v>
      </c>
      <c r="F2" s="112"/>
      <c r="G2" s="101" t="s">
        <v>4</v>
      </c>
      <c r="H2" s="101"/>
      <c r="I2" s="102" t="s">
        <v>139</v>
      </c>
      <c r="J2" s="102"/>
      <c r="K2" s="102"/>
      <c r="L2" s="102"/>
      <c r="M2" s="102"/>
      <c r="N2" s="102"/>
      <c r="O2" s="101" t="s">
        <v>6</v>
      </c>
      <c r="P2" s="101"/>
      <c r="Q2" s="103"/>
      <c r="R2" s="104"/>
      <c r="S2" s="104"/>
      <c r="T2" s="104"/>
      <c r="U2" s="104"/>
      <c r="V2" s="104"/>
      <c r="W2" s="105"/>
    </row>
    <row r="3" spans="1:23" ht="15.75" x14ac:dyDescent="0.25">
      <c r="A3" s="106" t="s">
        <v>7</v>
      </c>
      <c r="B3" s="107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7"/>
      <c r="R3" s="107"/>
      <c r="S3" s="107"/>
      <c r="T3" s="107"/>
      <c r="U3" s="107"/>
      <c r="V3" s="107"/>
      <c r="W3" s="110"/>
    </row>
    <row r="4" spans="1:23" x14ac:dyDescent="0.25">
      <c r="A4" s="113" t="s">
        <v>8</v>
      </c>
      <c r="B4" s="114" t="s">
        <v>9</v>
      </c>
      <c r="C4" s="114" t="s">
        <v>10</v>
      </c>
      <c r="D4" s="114" t="s">
        <v>11</v>
      </c>
      <c r="E4" s="114" t="s">
        <v>12</v>
      </c>
      <c r="F4" s="114" t="s">
        <v>13</v>
      </c>
      <c r="G4" s="114" t="s">
        <v>14</v>
      </c>
      <c r="H4" s="114"/>
      <c r="I4" s="114"/>
      <c r="J4" s="114"/>
      <c r="K4" s="114"/>
      <c r="L4" s="114"/>
      <c r="M4" s="114" t="s">
        <v>15</v>
      </c>
      <c r="N4" s="114" t="s">
        <v>16</v>
      </c>
      <c r="O4" s="114" t="s">
        <v>17</v>
      </c>
      <c r="P4" s="114" t="s">
        <v>18</v>
      </c>
      <c r="Q4" s="114" t="s">
        <v>19</v>
      </c>
      <c r="R4" s="114"/>
      <c r="S4" s="114"/>
      <c r="T4" s="114"/>
      <c r="U4" s="114"/>
      <c r="V4" s="114"/>
      <c r="W4" s="115" t="s">
        <v>20</v>
      </c>
    </row>
    <row r="5" spans="1:23" x14ac:dyDescent="0.25">
      <c r="A5" s="113"/>
      <c r="B5" s="114"/>
      <c r="C5" s="114"/>
      <c r="D5" s="114"/>
      <c r="E5" s="114"/>
      <c r="F5" s="114"/>
      <c r="G5" s="31" t="s">
        <v>21</v>
      </c>
      <c r="H5" s="31" t="s">
        <v>21</v>
      </c>
      <c r="I5" s="31" t="s">
        <v>21</v>
      </c>
      <c r="J5" s="31" t="s">
        <v>22</v>
      </c>
      <c r="K5" s="31" t="s">
        <v>22</v>
      </c>
      <c r="L5" s="32" t="s">
        <v>22</v>
      </c>
      <c r="M5" s="138"/>
      <c r="N5" s="114"/>
      <c r="O5" s="114"/>
      <c r="P5" s="114"/>
      <c r="Q5" s="31" t="s">
        <v>21</v>
      </c>
      <c r="R5" s="31" t="s">
        <v>21</v>
      </c>
      <c r="S5" s="31" t="s">
        <v>21</v>
      </c>
      <c r="T5" s="31" t="s">
        <v>22</v>
      </c>
      <c r="U5" s="31" t="s">
        <v>22</v>
      </c>
      <c r="V5" s="31" t="s">
        <v>22</v>
      </c>
      <c r="W5" s="115"/>
    </row>
    <row r="6" spans="1:23" ht="15.75" x14ac:dyDescent="0.25">
      <c r="A6" s="5">
        <v>1</v>
      </c>
      <c r="B6" s="21"/>
      <c r="C6" s="20"/>
      <c r="D6" s="36"/>
      <c r="E6" s="21"/>
      <c r="F6" s="21"/>
      <c r="G6" s="21"/>
      <c r="H6" s="21"/>
      <c r="I6" s="21"/>
      <c r="J6" s="21"/>
      <c r="K6" s="24"/>
      <c r="L6" s="29"/>
      <c r="M6" s="57"/>
      <c r="O6" s="21"/>
      <c r="P6" s="21"/>
      <c r="Q6" s="21"/>
      <c r="R6" s="21"/>
      <c r="S6" s="21"/>
      <c r="T6" s="21"/>
      <c r="U6" s="21"/>
      <c r="V6" s="21"/>
      <c r="W6" s="22"/>
    </row>
    <row r="7" spans="1:23" ht="15.75" x14ac:dyDescent="0.25">
      <c r="A7" s="6">
        <v>2</v>
      </c>
      <c r="B7" s="21"/>
      <c r="C7" s="13"/>
      <c r="D7" s="8"/>
      <c r="E7" s="8"/>
      <c r="F7" s="8"/>
      <c r="G7" s="8"/>
      <c r="H7" s="8"/>
      <c r="I7" s="8"/>
      <c r="J7" s="8"/>
      <c r="K7" s="25"/>
      <c r="L7" s="30"/>
      <c r="M7" s="57"/>
      <c r="N7" s="26"/>
      <c r="O7" s="8"/>
      <c r="P7" s="8"/>
      <c r="Q7" s="8"/>
      <c r="R7" s="8"/>
      <c r="S7" s="8"/>
      <c r="T7" s="8"/>
      <c r="U7" s="8"/>
      <c r="V7" s="8"/>
      <c r="W7" s="9"/>
    </row>
    <row r="8" spans="1:23" ht="15.75" x14ac:dyDescent="0.25">
      <c r="A8" s="6">
        <v>3</v>
      </c>
      <c r="B8" s="8"/>
      <c r="C8" s="8"/>
      <c r="D8" s="8"/>
      <c r="E8" s="8"/>
      <c r="F8" s="8"/>
      <c r="G8" s="8"/>
      <c r="H8" s="8"/>
      <c r="I8" s="8"/>
      <c r="J8" s="8"/>
      <c r="K8" s="8"/>
      <c r="L8" s="27"/>
      <c r="M8" s="27"/>
      <c r="N8" s="8"/>
      <c r="O8" s="8"/>
      <c r="P8" s="8"/>
      <c r="Q8" s="8"/>
      <c r="R8" s="8"/>
      <c r="S8" s="8"/>
      <c r="T8" s="8"/>
      <c r="U8" s="8"/>
      <c r="V8" s="8"/>
      <c r="W8" s="9"/>
    </row>
    <row r="9" spans="1:23" ht="15.75" x14ac:dyDescent="0.25">
      <c r="A9" s="5">
        <v>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</row>
    <row r="10" spans="1:23" ht="15.75" x14ac:dyDescent="0.25">
      <c r="A10" s="5">
        <v>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</row>
    <row r="11" spans="1:23" ht="16.5" thickBot="1" x14ac:dyDescent="0.3">
      <c r="A11" s="7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3" spans="1:23" ht="15.75" thickBot="1" x14ac:dyDescent="0.3"/>
    <row r="14" spans="1:23" ht="15.75" x14ac:dyDescent="0.25">
      <c r="A14" s="100" t="s">
        <v>260</v>
      </c>
      <c r="B14" s="101"/>
      <c r="C14" s="111" t="s">
        <v>558</v>
      </c>
      <c r="D14" s="112"/>
      <c r="E14" s="111" t="s">
        <v>557</v>
      </c>
      <c r="F14" s="112"/>
      <c r="G14" s="101" t="s">
        <v>4</v>
      </c>
      <c r="H14" s="101"/>
      <c r="I14" s="102" t="s">
        <v>139</v>
      </c>
      <c r="J14" s="102"/>
      <c r="K14" s="102"/>
      <c r="L14" s="102"/>
      <c r="M14" s="102"/>
      <c r="N14" s="102"/>
      <c r="O14" s="101" t="s">
        <v>6</v>
      </c>
      <c r="P14" s="101"/>
      <c r="Q14" s="103"/>
      <c r="R14" s="104"/>
      <c r="S14" s="104"/>
      <c r="T14" s="104"/>
      <c r="U14" s="104"/>
      <c r="V14" s="104"/>
      <c r="W14" s="105"/>
    </row>
    <row r="15" spans="1:23" ht="15.75" x14ac:dyDescent="0.25">
      <c r="A15" s="106" t="s">
        <v>7</v>
      </c>
      <c r="B15" s="107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7"/>
      <c r="R15" s="107"/>
      <c r="S15" s="107"/>
      <c r="T15" s="107"/>
      <c r="U15" s="107"/>
      <c r="V15" s="107"/>
      <c r="W15" s="110"/>
    </row>
    <row r="16" spans="1:23" x14ac:dyDescent="0.25">
      <c r="A16" s="113" t="s">
        <v>8</v>
      </c>
      <c r="B16" s="114" t="s">
        <v>9</v>
      </c>
      <c r="C16" s="114" t="s">
        <v>10</v>
      </c>
      <c r="D16" s="114" t="s">
        <v>11</v>
      </c>
      <c r="E16" s="114" t="s">
        <v>12</v>
      </c>
      <c r="F16" s="114" t="s">
        <v>13</v>
      </c>
      <c r="G16" s="114" t="s">
        <v>14</v>
      </c>
      <c r="H16" s="114"/>
      <c r="I16" s="114"/>
      <c r="J16" s="114"/>
      <c r="K16" s="114"/>
      <c r="L16" s="114"/>
      <c r="M16" s="114" t="s">
        <v>15</v>
      </c>
      <c r="N16" s="114" t="s">
        <v>16</v>
      </c>
      <c r="O16" s="114" t="s">
        <v>17</v>
      </c>
      <c r="P16" s="114" t="s">
        <v>18</v>
      </c>
      <c r="Q16" s="114" t="s">
        <v>19</v>
      </c>
      <c r="R16" s="114"/>
      <c r="S16" s="114"/>
      <c r="T16" s="114"/>
      <c r="U16" s="114"/>
      <c r="V16" s="114"/>
      <c r="W16" s="115" t="s">
        <v>20</v>
      </c>
    </row>
    <row r="17" spans="1:23" x14ac:dyDescent="0.25">
      <c r="A17" s="113"/>
      <c r="B17" s="114"/>
      <c r="C17" s="114"/>
      <c r="D17" s="114"/>
      <c r="E17" s="114"/>
      <c r="F17" s="114"/>
      <c r="G17" s="31" t="s">
        <v>21</v>
      </c>
      <c r="H17" s="31" t="s">
        <v>21</v>
      </c>
      <c r="I17" s="31" t="s">
        <v>21</v>
      </c>
      <c r="J17" s="31" t="s">
        <v>22</v>
      </c>
      <c r="K17" s="31" t="s">
        <v>22</v>
      </c>
      <c r="L17" s="32" t="s">
        <v>22</v>
      </c>
      <c r="M17" s="138"/>
      <c r="N17" s="114"/>
      <c r="O17" s="114"/>
      <c r="P17" s="114"/>
      <c r="Q17" s="31" t="s">
        <v>21</v>
      </c>
      <c r="R17" s="31" t="s">
        <v>21</v>
      </c>
      <c r="S17" s="31" t="s">
        <v>21</v>
      </c>
      <c r="T17" s="31" t="s">
        <v>22</v>
      </c>
      <c r="U17" s="31" t="s">
        <v>22</v>
      </c>
      <c r="V17" s="31" t="s">
        <v>22</v>
      </c>
      <c r="W17" s="115"/>
    </row>
    <row r="18" spans="1:23" ht="15.75" x14ac:dyDescent="0.25">
      <c r="A18" s="5">
        <v>1</v>
      </c>
      <c r="B18" s="21"/>
      <c r="C18" s="20"/>
      <c r="D18" s="36"/>
      <c r="E18" s="21"/>
      <c r="F18" s="21"/>
      <c r="G18" s="21"/>
      <c r="H18" s="21"/>
      <c r="I18" s="21"/>
      <c r="J18" s="21"/>
      <c r="K18" s="24"/>
      <c r="L18" s="29"/>
      <c r="M18" s="57"/>
      <c r="O18" s="21"/>
      <c r="P18" s="21"/>
      <c r="Q18" s="21"/>
      <c r="R18" s="21"/>
      <c r="S18" s="21"/>
      <c r="T18" s="21"/>
      <c r="U18" s="21"/>
      <c r="V18" s="21"/>
      <c r="W18" s="22"/>
    </row>
    <row r="19" spans="1:23" ht="15.75" x14ac:dyDescent="0.25">
      <c r="A19" s="6">
        <v>2</v>
      </c>
      <c r="B19" s="21"/>
      <c r="C19" s="13"/>
      <c r="D19" s="8"/>
      <c r="E19" s="8"/>
      <c r="F19" s="8"/>
      <c r="G19" s="8"/>
      <c r="H19" s="8"/>
      <c r="I19" s="8"/>
      <c r="J19" s="8"/>
      <c r="K19" s="25"/>
      <c r="L19" s="30"/>
      <c r="M19" s="57"/>
      <c r="N19" s="26"/>
      <c r="O19" s="8"/>
      <c r="P19" s="8"/>
      <c r="Q19" s="8"/>
      <c r="R19" s="8"/>
      <c r="S19" s="8"/>
      <c r="T19" s="8"/>
      <c r="U19" s="8"/>
      <c r="V19" s="8"/>
      <c r="W19" s="9"/>
    </row>
    <row r="20" spans="1:23" ht="15.75" x14ac:dyDescent="0.25">
      <c r="A20" s="6">
        <v>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27"/>
      <c r="M20" s="27"/>
      <c r="N20" s="8"/>
      <c r="O20" s="8"/>
      <c r="P20" s="8"/>
      <c r="Q20" s="8"/>
      <c r="R20" s="8"/>
      <c r="S20" s="8"/>
      <c r="T20" s="8"/>
      <c r="U20" s="8"/>
      <c r="V20" s="8"/>
      <c r="W20" s="9"/>
    </row>
    <row r="21" spans="1:23" ht="15.75" x14ac:dyDescent="0.25">
      <c r="A21" s="5">
        <v>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ht="15.75" x14ac:dyDescent="0.25">
      <c r="A22" s="5">
        <v>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</row>
    <row r="23" spans="1:23" ht="16.5" thickBot="1" x14ac:dyDescent="0.3">
      <c r="A23" s="7">
        <v>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5" spans="1:23" ht="15.75" thickBot="1" x14ac:dyDescent="0.3"/>
    <row r="26" spans="1:23" ht="15.75" x14ac:dyDescent="0.25">
      <c r="A26" s="100" t="s">
        <v>260</v>
      </c>
      <c r="B26" s="101"/>
      <c r="C26" s="111" t="s">
        <v>559</v>
      </c>
      <c r="D26" s="112"/>
      <c r="E26" s="111" t="s">
        <v>557</v>
      </c>
      <c r="F26" s="112"/>
      <c r="G26" s="101" t="s">
        <v>4</v>
      </c>
      <c r="H26" s="101"/>
      <c r="I26" s="102" t="s">
        <v>139</v>
      </c>
      <c r="J26" s="102"/>
      <c r="K26" s="102"/>
      <c r="L26" s="102"/>
      <c r="M26" s="102"/>
      <c r="N26" s="102"/>
      <c r="O26" s="101" t="s">
        <v>6</v>
      </c>
      <c r="P26" s="101"/>
      <c r="Q26" s="103"/>
      <c r="R26" s="104"/>
      <c r="S26" s="104"/>
      <c r="T26" s="104"/>
      <c r="U26" s="104"/>
      <c r="V26" s="104"/>
      <c r="W26" s="105"/>
    </row>
    <row r="27" spans="1:23" ht="15.75" x14ac:dyDescent="0.25">
      <c r="A27" s="106" t="s">
        <v>7</v>
      </c>
      <c r="B27" s="107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7"/>
      <c r="R27" s="107"/>
      <c r="S27" s="107"/>
      <c r="T27" s="107"/>
      <c r="U27" s="107"/>
      <c r="V27" s="107"/>
      <c r="W27" s="110"/>
    </row>
    <row r="28" spans="1:23" x14ac:dyDescent="0.25">
      <c r="A28" s="113" t="s">
        <v>8</v>
      </c>
      <c r="B28" s="114" t="s">
        <v>9</v>
      </c>
      <c r="C28" s="114" t="s">
        <v>10</v>
      </c>
      <c r="D28" s="114" t="s">
        <v>11</v>
      </c>
      <c r="E28" s="114" t="s">
        <v>12</v>
      </c>
      <c r="F28" s="114" t="s">
        <v>13</v>
      </c>
      <c r="G28" s="114" t="s">
        <v>14</v>
      </c>
      <c r="H28" s="114"/>
      <c r="I28" s="114"/>
      <c r="J28" s="114"/>
      <c r="K28" s="114"/>
      <c r="L28" s="114"/>
      <c r="M28" s="114" t="s">
        <v>15</v>
      </c>
      <c r="N28" s="114" t="s">
        <v>16</v>
      </c>
      <c r="O28" s="114" t="s">
        <v>17</v>
      </c>
      <c r="P28" s="114" t="s">
        <v>18</v>
      </c>
      <c r="Q28" s="114" t="s">
        <v>19</v>
      </c>
      <c r="R28" s="114"/>
      <c r="S28" s="114"/>
      <c r="T28" s="114"/>
      <c r="U28" s="114"/>
      <c r="V28" s="114"/>
      <c r="W28" s="115" t="s">
        <v>20</v>
      </c>
    </row>
    <row r="29" spans="1:23" x14ac:dyDescent="0.25">
      <c r="A29" s="113"/>
      <c r="B29" s="114"/>
      <c r="C29" s="114"/>
      <c r="D29" s="114"/>
      <c r="E29" s="114"/>
      <c r="F29" s="114"/>
      <c r="G29" s="31" t="s">
        <v>21</v>
      </c>
      <c r="H29" s="31" t="s">
        <v>21</v>
      </c>
      <c r="I29" s="31" t="s">
        <v>21</v>
      </c>
      <c r="J29" s="31" t="s">
        <v>22</v>
      </c>
      <c r="K29" s="31" t="s">
        <v>22</v>
      </c>
      <c r="L29" s="32" t="s">
        <v>22</v>
      </c>
      <c r="M29" s="138"/>
      <c r="N29" s="114"/>
      <c r="O29" s="114"/>
      <c r="P29" s="114"/>
      <c r="Q29" s="31" t="s">
        <v>21</v>
      </c>
      <c r="R29" s="31" t="s">
        <v>21</v>
      </c>
      <c r="S29" s="31" t="s">
        <v>21</v>
      </c>
      <c r="T29" s="31" t="s">
        <v>22</v>
      </c>
      <c r="U29" s="31" t="s">
        <v>22</v>
      </c>
      <c r="V29" s="31" t="s">
        <v>22</v>
      </c>
      <c r="W29" s="115"/>
    </row>
    <row r="30" spans="1:23" ht="15.75" x14ac:dyDescent="0.25">
      <c r="A30" s="5">
        <v>1</v>
      </c>
      <c r="B30" s="21"/>
      <c r="C30" s="20"/>
      <c r="D30" s="36"/>
      <c r="E30" s="21"/>
      <c r="F30" s="21"/>
      <c r="G30" s="21"/>
      <c r="H30" s="21"/>
      <c r="I30" s="21"/>
      <c r="J30" s="21"/>
      <c r="K30" s="24"/>
      <c r="L30" s="29"/>
      <c r="M30" s="57"/>
      <c r="O30" s="21"/>
      <c r="P30" s="21"/>
      <c r="Q30" s="21"/>
      <c r="R30" s="21"/>
      <c r="S30" s="21"/>
      <c r="T30" s="21"/>
      <c r="U30" s="21"/>
      <c r="V30" s="21"/>
      <c r="W30" s="22"/>
    </row>
    <row r="31" spans="1:23" ht="15.75" x14ac:dyDescent="0.25">
      <c r="A31" s="6">
        <v>2</v>
      </c>
      <c r="B31" s="21"/>
      <c r="C31" s="13"/>
      <c r="D31" s="8"/>
      <c r="E31" s="8"/>
      <c r="F31" s="8"/>
      <c r="G31" s="8"/>
      <c r="H31" s="8"/>
      <c r="I31" s="8"/>
      <c r="J31" s="8"/>
      <c r="K31" s="25"/>
      <c r="L31" s="30"/>
      <c r="M31" s="57"/>
      <c r="N31" s="26"/>
      <c r="O31" s="8"/>
      <c r="P31" s="8"/>
      <c r="Q31" s="8"/>
      <c r="R31" s="8"/>
      <c r="S31" s="8"/>
      <c r="T31" s="8"/>
      <c r="U31" s="8"/>
      <c r="V31" s="8"/>
      <c r="W31" s="9"/>
    </row>
    <row r="32" spans="1:23" ht="15.75" x14ac:dyDescent="0.25">
      <c r="A32" s="6">
        <v>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27"/>
      <c r="M32" s="27"/>
      <c r="N32" s="8"/>
      <c r="O32" s="8"/>
      <c r="P32" s="8"/>
      <c r="Q32" s="8"/>
      <c r="R32" s="8"/>
      <c r="S32" s="8"/>
      <c r="T32" s="8"/>
      <c r="U32" s="8"/>
      <c r="V32" s="8"/>
      <c r="W32" s="9"/>
    </row>
    <row r="33" spans="1:23" ht="15.75" x14ac:dyDescent="0.25">
      <c r="A33" s="5">
        <v>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</row>
    <row r="34" spans="1:23" ht="15.75" x14ac:dyDescent="0.25">
      <c r="A34" s="5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</row>
    <row r="35" spans="1:23" ht="16.5" thickBot="1" x14ac:dyDescent="0.3">
      <c r="A35" s="7">
        <v>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7" spans="1:23" ht="15.75" thickBot="1" x14ac:dyDescent="0.3"/>
    <row r="38" spans="1:23" ht="15.75" x14ac:dyDescent="0.25">
      <c r="A38" s="100" t="s">
        <v>260</v>
      </c>
      <c r="B38" s="101"/>
      <c r="C38" s="111" t="s">
        <v>560</v>
      </c>
      <c r="D38" s="112"/>
      <c r="E38" s="111" t="s">
        <v>557</v>
      </c>
      <c r="F38" s="112"/>
      <c r="G38" s="101" t="s">
        <v>4</v>
      </c>
      <c r="H38" s="101"/>
      <c r="I38" s="102" t="s">
        <v>139</v>
      </c>
      <c r="J38" s="102"/>
      <c r="K38" s="102"/>
      <c r="L38" s="102"/>
      <c r="M38" s="102"/>
      <c r="N38" s="102"/>
      <c r="O38" s="101" t="s">
        <v>6</v>
      </c>
      <c r="P38" s="101"/>
      <c r="Q38" s="103"/>
      <c r="R38" s="104"/>
      <c r="S38" s="104"/>
      <c r="T38" s="104"/>
      <c r="U38" s="104"/>
      <c r="V38" s="104"/>
      <c r="W38" s="105"/>
    </row>
    <row r="39" spans="1:23" ht="15.75" x14ac:dyDescent="0.25">
      <c r="A39" s="106" t="s">
        <v>7</v>
      </c>
      <c r="B39" s="107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7"/>
      <c r="R39" s="107"/>
      <c r="S39" s="107"/>
      <c r="T39" s="107"/>
      <c r="U39" s="107"/>
      <c r="V39" s="107"/>
      <c r="W39" s="110"/>
    </row>
    <row r="40" spans="1:23" x14ac:dyDescent="0.25">
      <c r="A40" s="113" t="s">
        <v>8</v>
      </c>
      <c r="B40" s="114" t="s">
        <v>9</v>
      </c>
      <c r="C40" s="114" t="s">
        <v>10</v>
      </c>
      <c r="D40" s="114" t="s">
        <v>11</v>
      </c>
      <c r="E40" s="114" t="s">
        <v>12</v>
      </c>
      <c r="F40" s="114" t="s">
        <v>13</v>
      </c>
      <c r="G40" s="114" t="s">
        <v>14</v>
      </c>
      <c r="H40" s="114"/>
      <c r="I40" s="114"/>
      <c r="J40" s="114"/>
      <c r="K40" s="114"/>
      <c r="L40" s="114"/>
      <c r="M40" s="114" t="s">
        <v>15</v>
      </c>
      <c r="N40" s="114" t="s">
        <v>16</v>
      </c>
      <c r="O40" s="114" t="s">
        <v>17</v>
      </c>
      <c r="P40" s="114" t="s">
        <v>18</v>
      </c>
      <c r="Q40" s="114" t="s">
        <v>19</v>
      </c>
      <c r="R40" s="114"/>
      <c r="S40" s="114"/>
      <c r="T40" s="114"/>
      <c r="U40" s="114"/>
      <c r="V40" s="114"/>
      <c r="W40" s="115" t="s">
        <v>20</v>
      </c>
    </row>
    <row r="41" spans="1:23" x14ac:dyDescent="0.25">
      <c r="A41" s="113"/>
      <c r="B41" s="114"/>
      <c r="C41" s="114"/>
      <c r="D41" s="114"/>
      <c r="E41" s="114"/>
      <c r="F41" s="114"/>
      <c r="G41" s="31" t="s">
        <v>21</v>
      </c>
      <c r="H41" s="31" t="s">
        <v>21</v>
      </c>
      <c r="I41" s="31" t="s">
        <v>21</v>
      </c>
      <c r="J41" s="31" t="s">
        <v>22</v>
      </c>
      <c r="K41" s="31" t="s">
        <v>22</v>
      </c>
      <c r="L41" s="32" t="s">
        <v>22</v>
      </c>
      <c r="M41" s="138"/>
      <c r="N41" s="114"/>
      <c r="O41" s="114"/>
      <c r="P41" s="114"/>
      <c r="Q41" s="31" t="s">
        <v>21</v>
      </c>
      <c r="R41" s="31" t="s">
        <v>21</v>
      </c>
      <c r="S41" s="31" t="s">
        <v>21</v>
      </c>
      <c r="T41" s="31" t="s">
        <v>22</v>
      </c>
      <c r="U41" s="31" t="s">
        <v>22</v>
      </c>
      <c r="V41" s="31" t="s">
        <v>22</v>
      </c>
      <c r="W41" s="115"/>
    </row>
    <row r="42" spans="1:23" ht="15.75" x14ac:dyDescent="0.25">
      <c r="A42" s="5">
        <v>1</v>
      </c>
      <c r="B42" s="21"/>
      <c r="C42" s="20"/>
      <c r="D42" s="36"/>
      <c r="E42" s="21"/>
      <c r="F42" s="21"/>
      <c r="G42" s="21"/>
      <c r="H42" s="21"/>
      <c r="I42" s="21"/>
      <c r="J42" s="21"/>
      <c r="K42" s="24"/>
      <c r="L42" s="29"/>
      <c r="M42" s="57"/>
      <c r="O42" s="21"/>
      <c r="P42" s="21"/>
      <c r="Q42" s="21"/>
      <c r="R42" s="21"/>
      <c r="S42" s="21"/>
      <c r="T42" s="21"/>
      <c r="U42" s="21"/>
      <c r="V42" s="21"/>
      <c r="W42" s="22"/>
    </row>
    <row r="43" spans="1:23" ht="15.75" x14ac:dyDescent="0.25">
      <c r="A43" s="6">
        <v>2</v>
      </c>
      <c r="B43" s="21"/>
      <c r="C43" s="13"/>
      <c r="D43" s="8"/>
      <c r="E43" s="8"/>
      <c r="F43" s="8"/>
      <c r="G43" s="8"/>
      <c r="H43" s="8"/>
      <c r="I43" s="8"/>
      <c r="J43" s="8"/>
      <c r="K43" s="25"/>
      <c r="L43" s="30"/>
      <c r="M43" s="57"/>
      <c r="N43" s="26"/>
      <c r="O43" s="8"/>
      <c r="P43" s="8"/>
      <c r="Q43" s="8"/>
      <c r="R43" s="8"/>
      <c r="S43" s="8"/>
      <c r="T43" s="8"/>
      <c r="U43" s="8"/>
      <c r="V43" s="8"/>
      <c r="W43" s="9"/>
    </row>
    <row r="44" spans="1:23" ht="15.75" x14ac:dyDescent="0.25">
      <c r="A44" s="6">
        <v>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27"/>
      <c r="M44" s="27"/>
      <c r="N44" s="8"/>
      <c r="O44" s="8"/>
      <c r="P44" s="8"/>
      <c r="Q44" s="8"/>
      <c r="R44" s="8"/>
      <c r="S44" s="8"/>
      <c r="T44" s="8"/>
      <c r="U44" s="8"/>
      <c r="V44" s="8"/>
      <c r="W44" s="9"/>
    </row>
    <row r="45" spans="1:23" ht="15.75" x14ac:dyDescent="0.25">
      <c r="A45" s="5">
        <v>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</row>
    <row r="46" spans="1:23" ht="15.75" x14ac:dyDescent="0.25">
      <c r="A46" s="5">
        <v>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9"/>
    </row>
    <row r="47" spans="1:23" ht="16.5" thickBot="1" x14ac:dyDescent="0.3">
      <c r="A47" s="7">
        <v>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9" spans="1:23" ht="15.75" thickBot="1" x14ac:dyDescent="0.3"/>
    <row r="50" spans="1:23" ht="15.75" x14ac:dyDescent="0.25">
      <c r="A50" s="100" t="s">
        <v>260</v>
      </c>
      <c r="B50" s="101"/>
      <c r="C50" s="111" t="s">
        <v>561</v>
      </c>
      <c r="D50" s="112"/>
      <c r="E50" s="111" t="s">
        <v>557</v>
      </c>
      <c r="F50" s="112"/>
      <c r="G50" s="101" t="s">
        <v>4</v>
      </c>
      <c r="H50" s="101"/>
      <c r="I50" s="102" t="s">
        <v>139</v>
      </c>
      <c r="J50" s="102"/>
      <c r="K50" s="102"/>
      <c r="L50" s="102"/>
      <c r="M50" s="102"/>
      <c r="N50" s="102"/>
      <c r="O50" s="101" t="s">
        <v>6</v>
      </c>
      <c r="P50" s="101"/>
      <c r="Q50" s="103"/>
      <c r="R50" s="104"/>
      <c r="S50" s="104"/>
      <c r="T50" s="104"/>
      <c r="U50" s="104"/>
      <c r="V50" s="104"/>
      <c r="W50" s="105"/>
    </row>
    <row r="51" spans="1:23" ht="15.75" x14ac:dyDescent="0.25">
      <c r="A51" s="106" t="s">
        <v>7</v>
      </c>
      <c r="B51" s="107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7"/>
      <c r="R51" s="107"/>
      <c r="S51" s="107"/>
      <c r="T51" s="107"/>
      <c r="U51" s="107"/>
      <c r="V51" s="107"/>
      <c r="W51" s="110"/>
    </row>
    <row r="52" spans="1:23" x14ac:dyDescent="0.25">
      <c r="A52" s="113" t="s">
        <v>8</v>
      </c>
      <c r="B52" s="114" t="s">
        <v>9</v>
      </c>
      <c r="C52" s="114" t="s">
        <v>10</v>
      </c>
      <c r="D52" s="114" t="s">
        <v>11</v>
      </c>
      <c r="E52" s="114" t="s">
        <v>12</v>
      </c>
      <c r="F52" s="114" t="s">
        <v>13</v>
      </c>
      <c r="G52" s="114" t="s">
        <v>14</v>
      </c>
      <c r="H52" s="114"/>
      <c r="I52" s="114"/>
      <c r="J52" s="114"/>
      <c r="K52" s="114"/>
      <c r="L52" s="114"/>
      <c r="M52" s="114" t="s">
        <v>15</v>
      </c>
      <c r="N52" s="114" t="s">
        <v>16</v>
      </c>
      <c r="O52" s="114" t="s">
        <v>17</v>
      </c>
      <c r="P52" s="114" t="s">
        <v>18</v>
      </c>
      <c r="Q52" s="114" t="s">
        <v>19</v>
      </c>
      <c r="R52" s="114"/>
      <c r="S52" s="114"/>
      <c r="T52" s="114"/>
      <c r="U52" s="114"/>
      <c r="V52" s="114"/>
      <c r="W52" s="115" t="s">
        <v>20</v>
      </c>
    </row>
    <row r="53" spans="1:23" x14ac:dyDescent="0.25">
      <c r="A53" s="113"/>
      <c r="B53" s="114"/>
      <c r="C53" s="114"/>
      <c r="D53" s="114"/>
      <c r="E53" s="114"/>
      <c r="F53" s="114"/>
      <c r="G53" s="31" t="s">
        <v>21</v>
      </c>
      <c r="H53" s="31" t="s">
        <v>21</v>
      </c>
      <c r="I53" s="31" t="s">
        <v>21</v>
      </c>
      <c r="J53" s="31" t="s">
        <v>22</v>
      </c>
      <c r="K53" s="31" t="s">
        <v>22</v>
      </c>
      <c r="L53" s="32" t="s">
        <v>22</v>
      </c>
      <c r="M53" s="138"/>
      <c r="N53" s="114"/>
      <c r="O53" s="114"/>
      <c r="P53" s="114"/>
      <c r="Q53" s="31" t="s">
        <v>21</v>
      </c>
      <c r="R53" s="31" t="s">
        <v>21</v>
      </c>
      <c r="S53" s="31" t="s">
        <v>21</v>
      </c>
      <c r="T53" s="31" t="s">
        <v>22</v>
      </c>
      <c r="U53" s="31" t="s">
        <v>22</v>
      </c>
      <c r="V53" s="31" t="s">
        <v>22</v>
      </c>
      <c r="W53" s="115"/>
    </row>
    <row r="54" spans="1:23" ht="15.75" x14ac:dyDescent="0.25">
      <c r="A54" s="5">
        <v>1</v>
      </c>
      <c r="B54" s="21"/>
      <c r="C54" s="20"/>
      <c r="D54" s="36"/>
      <c r="E54" s="21"/>
      <c r="F54" s="21"/>
      <c r="G54" s="21"/>
      <c r="H54" s="21"/>
      <c r="I54" s="21"/>
      <c r="J54" s="21"/>
      <c r="K54" s="24"/>
      <c r="L54" s="29"/>
      <c r="M54" s="57"/>
      <c r="O54" s="21"/>
      <c r="P54" s="21"/>
      <c r="Q54" s="21"/>
      <c r="R54" s="21"/>
      <c r="S54" s="21"/>
      <c r="T54" s="21"/>
      <c r="U54" s="21"/>
      <c r="V54" s="21"/>
      <c r="W54" s="22"/>
    </row>
    <row r="55" spans="1:23" ht="15.75" x14ac:dyDescent="0.25">
      <c r="A55" s="6">
        <v>2</v>
      </c>
      <c r="B55" s="21"/>
      <c r="C55" s="13"/>
      <c r="D55" s="8"/>
      <c r="E55" s="8"/>
      <c r="F55" s="8"/>
      <c r="G55" s="8"/>
      <c r="H55" s="8"/>
      <c r="I55" s="8"/>
      <c r="J55" s="8"/>
      <c r="K55" s="25"/>
      <c r="L55" s="30"/>
      <c r="M55" s="57"/>
      <c r="N55" s="26"/>
      <c r="O55" s="8"/>
      <c r="P55" s="8"/>
      <c r="Q55" s="8"/>
      <c r="R55" s="8"/>
      <c r="S55" s="8"/>
      <c r="T55" s="8"/>
      <c r="U55" s="8"/>
      <c r="V55" s="8"/>
      <c r="W55" s="9"/>
    </row>
    <row r="56" spans="1:23" ht="15.75" x14ac:dyDescent="0.25">
      <c r="A56" s="6">
        <v>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27"/>
      <c r="M56" s="27"/>
      <c r="N56" s="8"/>
      <c r="O56" s="8"/>
      <c r="P56" s="8"/>
      <c r="Q56" s="8"/>
      <c r="R56" s="8"/>
      <c r="S56" s="8"/>
      <c r="T56" s="8"/>
      <c r="U56" s="8"/>
      <c r="V56" s="8"/>
      <c r="W56" s="9"/>
    </row>
    <row r="57" spans="1:23" ht="15.75" x14ac:dyDescent="0.25">
      <c r="A57" s="5">
        <v>4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</row>
    <row r="58" spans="1:23" ht="15.75" x14ac:dyDescent="0.25">
      <c r="A58" s="5">
        <v>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</row>
    <row r="59" spans="1:23" ht="16.5" thickBot="1" x14ac:dyDescent="0.3">
      <c r="A59" s="7">
        <v>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1" spans="1:23" ht="15.75" thickBot="1" x14ac:dyDescent="0.3"/>
    <row r="62" spans="1:23" ht="15.75" x14ac:dyDescent="0.25">
      <c r="A62" s="100" t="s">
        <v>260</v>
      </c>
      <c r="B62" s="101"/>
      <c r="C62" s="111" t="s">
        <v>562</v>
      </c>
      <c r="D62" s="112"/>
      <c r="E62" s="111" t="s">
        <v>557</v>
      </c>
      <c r="F62" s="112"/>
      <c r="G62" s="101" t="s">
        <v>4</v>
      </c>
      <c r="H62" s="101"/>
      <c r="I62" s="102" t="s">
        <v>139</v>
      </c>
      <c r="J62" s="102"/>
      <c r="K62" s="102"/>
      <c r="L62" s="102"/>
      <c r="M62" s="102"/>
      <c r="N62" s="102"/>
      <c r="O62" s="101" t="s">
        <v>6</v>
      </c>
      <c r="P62" s="101"/>
      <c r="Q62" s="103"/>
      <c r="R62" s="104"/>
      <c r="S62" s="104"/>
      <c r="T62" s="104"/>
      <c r="U62" s="104"/>
      <c r="V62" s="104"/>
      <c r="W62" s="105"/>
    </row>
    <row r="63" spans="1:23" ht="15.75" x14ac:dyDescent="0.25">
      <c r="A63" s="106" t="s">
        <v>7</v>
      </c>
      <c r="B63" s="107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7"/>
      <c r="R63" s="107"/>
      <c r="S63" s="107"/>
      <c r="T63" s="107"/>
      <c r="U63" s="107"/>
      <c r="V63" s="107"/>
      <c r="W63" s="110"/>
    </row>
    <row r="64" spans="1:23" x14ac:dyDescent="0.25">
      <c r="A64" s="113" t="s">
        <v>8</v>
      </c>
      <c r="B64" s="114" t="s">
        <v>9</v>
      </c>
      <c r="C64" s="114" t="s">
        <v>10</v>
      </c>
      <c r="D64" s="114" t="s">
        <v>11</v>
      </c>
      <c r="E64" s="114" t="s">
        <v>12</v>
      </c>
      <c r="F64" s="114" t="s">
        <v>13</v>
      </c>
      <c r="G64" s="114" t="s">
        <v>14</v>
      </c>
      <c r="H64" s="114"/>
      <c r="I64" s="114"/>
      <c r="J64" s="114"/>
      <c r="K64" s="114"/>
      <c r="L64" s="114"/>
      <c r="M64" s="114" t="s">
        <v>15</v>
      </c>
      <c r="N64" s="114" t="s">
        <v>16</v>
      </c>
      <c r="O64" s="114" t="s">
        <v>17</v>
      </c>
      <c r="P64" s="114" t="s">
        <v>18</v>
      </c>
      <c r="Q64" s="114" t="s">
        <v>19</v>
      </c>
      <c r="R64" s="114"/>
      <c r="S64" s="114"/>
      <c r="T64" s="114"/>
      <c r="U64" s="114"/>
      <c r="V64" s="114"/>
      <c r="W64" s="115" t="s">
        <v>20</v>
      </c>
    </row>
    <row r="65" spans="1:23" x14ac:dyDescent="0.25">
      <c r="A65" s="113"/>
      <c r="B65" s="114"/>
      <c r="C65" s="114"/>
      <c r="D65" s="114"/>
      <c r="E65" s="114"/>
      <c r="F65" s="114"/>
      <c r="G65" s="31" t="s">
        <v>21</v>
      </c>
      <c r="H65" s="31" t="s">
        <v>21</v>
      </c>
      <c r="I65" s="31" t="s">
        <v>21</v>
      </c>
      <c r="J65" s="31" t="s">
        <v>22</v>
      </c>
      <c r="K65" s="31" t="s">
        <v>22</v>
      </c>
      <c r="L65" s="32" t="s">
        <v>22</v>
      </c>
      <c r="M65" s="138"/>
      <c r="N65" s="114"/>
      <c r="O65" s="114"/>
      <c r="P65" s="114"/>
      <c r="Q65" s="31" t="s">
        <v>21</v>
      </c>
      <c r="R65" s="31" t="s">
        <v>21</v>
      </c>
      <c r="S65" s="31" t="s">
        <v>21</v>
      </c>
      <c r="T65" s="31" t="s">
        <v>22</v>
      </c>
      <c r="U65" s="31" t="s">
        <v>22</v>
      </c>
      <c r="V65" s="31" t="s">
        <v>22</v>
      </c>
      <c r="W65" s="115"/>
    </row>
    <row r="66" spans="1:23" ht="15.75" x14ac:dyDescent="0.25">
      <c r="A66" s="5">
        <v>1</v>
      </c>
      <c r="B66" s="21"/>
      <c r="C66" s="20"/>
      <c r="D66" s="36"/>
      <c r="E66" s="21"/>
      <c r="F66" s="21"/>
      <c r="G66" s="21"/>
      <c r="H66" s="21"/>
      <c r="I66" s="21"/>
      <c r="J66" s="21"/>
      <c r="K66" s="24"/>
      <c r="L66" s="29"/>
      <c r="M66" s="57"/>
      <c r="O66" s="21"/>
      <c r="P66" s="21"/>
      <c r="Q66" s="21"/>
      <c r="R66" s="21"/>
      <c r="S66" s="21"/>
      <c r="T66" s="21"/>
      <c r="U66" s="21"/>
      <c r="V66" s="21"/>
      <c r="W66" s="22"/>
    </row>
    <row r="67" spans="1:23" ht="15.75" x14ac:dyDescent="0.25">
      <c r="A67" s="6">
        <v>2</v>
      </c>
      <c r="B67" s="21"/>
      <c r="C67" s="13"/>
      <c r="D67" s="8"/>
      <c r="E67" s="8"/>
      <c r="F67" s="8"/>
      <c r="G67" s="8"/>
      <c r="H67" s="8"/>
      <c r="I67" s="8"/>
      <c r="J67" s="8"/>
      <c r="K67" s="25"/>
      <c r="L67" s="30"/>
      <c r="M67" s="57"/>
      <c r="N67" s="26"/>
      <c r="O67" s="8"/>
      <c r="P67" s="8"/>
      <c r="Q67" s="8"/>
      <c r="R67" s="8"/>
      <c r="S67" s="8"/>
      <c r="T67" s="8"/>
      <c r="U67" s="8"/>
      <c r="V67" s="8"/>
      <c r="W67" s="9"/>
    </row>
    <row r="68" spans="1:23" ht="15.75" x14ac:dyDescent="0.25">
      <c r="A68" s="6">
        <v>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27"/>
      <c r="M68" s="27"/>
      <c r="N68" s="8"/>
      <c r="O68" s="8"/>
      <c r="P68" s="8"/>
      <c r="Q68" s="8"/>
      <c r="R68" s="8"/>
      <c r="S68" s="8"/>
      <c r="T68" s="8"/>
      <c r="U68" s="8"/>
      <c r="V68" s="8"/>
      <c r="W68" s="9"/>
    </row>
    <row r="69" spans="1:23" ht="15.75" x14ac:dyDescent="0.25">
      <c r="A69" s="5">
        <v>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</row>
    <row r="70" spans="1:23" ht="15.75" x14ac:dyDescent="0.25">
      <c r="A70" s="5">
        <v>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</row>
    <row r="71" spans="1:23" ht="16.5" thickBot="1" x14ac:dyDescent="0.3">
      <c r="A71" s="7">
        <v>6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3" spans="1:23" ht="15.75" thickBot="1" x14ac:dyDescent="0.3"/>
    <row r="74" spans="1:23" ht="15.75" x14ac:dyDescent="0.25">
      <c r="A74" s="100" t="s">
        <v>260</v>
      </c>
      <c r="B74" s="101"/>
      <c r="C74" s="111" t="s">
        <v>563</v>
      </c>
      <c r="D74" s="112"/>
      <c r="E74" s="111" t="s">
        <v>557</v>
      </c>
      <c r="F74" s="112"/>
      <c r="G74" s="101" t="s">
        <v>4</v>
      </c>
      <c r="H74" s="101"/>
      <c r="I74" s="102" t="s">
        <v>139</v>
      </c>
      <c r="J74" s="102"/>
      <c r="K74" s="102"/>
      <c r="L74" s="102"/>
      <c r="M74" s="102"/>
      <c r="N74" s="102"/>
      <c r="O74" s="101" t="s">
        <v>6</v>
      </c>
      <c r="P74" s="101"/>
      <c r="Q74" s="103"/>
      <c r="R74" s="104"/>
      <c r="S74" s="104"/>
      <c r="T74" s="104"/>
      <c r="U74" s="104"/>
      <c r="V74" s="104"/>
      <c r="W74" s="105"/>
    </row>
    <row r="75" spans="1:23" ht="15.75" x14ac:dyDescent="0.25">
      <c r="A75" s="106" t="s">
        <v>7</v>
      </c>
      <c r="B75" s="107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7"/>
      <c r="R75" s="107"/>
      <c r="S75" s="107"/>
      <c r="T75" s="107"/>
      <c r="U75" s="107"/>
      <c r="V75" s="107"/>
      <c r="W75" s="110"/>
    </row>
    <row r="76" spans="1:23" x14ac:dyDescent="0.25">
      <c r="A76" s="113" t="s">
        <v>8</v>
      </c>
      <c r="B76" s="114" t="s">
        <v>9</v>
      </c>
      <c r="C76" s="114" t="s">
        <v>10</v>
      </c>
      <c r="D76" s="114" t="s">
        <v>11</v>
      </c>
      <c r="E76" s="114" t="s">
        <v>12</v>
      </c>
      <c r="F76" s="114" t="s">
        <v>13</v>
      </c>
      <c r="G76" s="114" t="s">
        <v>14</v>
      </c>
      <c r="H76" s="114"/>
      <c r="I76" s="114"/>
      <c r="J76" s="114"/>
      <c r="K76" s="114"/>
      <c r="L76" s="114"/>
      <c r="M76" s="114" t="s">
        <v>15</v>
      </c>
      <c r="N76" s="114" t="s">
        <v>16</v>
      </c>
      <c r="O76" s="114" t="s">
        <v>17</v>
      </c>
      <c r="P76" s="114" t="s">
        <v>18</v>
      </c>
      <c r="Q76" s="114" t="s">
        <v>19</v>
      </c>
      <c r="R76" s="114"/>
      <c r="S76" s="114"/>
      <c r="T76" s="114"/>
      <c r="U76" s="114"/>
      <c r="V76" s="114"/>
      <c r="W76" s="115" t="s">
        <v>20</v>
      </c>
    </row>
    <row r="77" spans="1:23" x14ac:dyDescent="0.25">
      <c r="A77" s="113"/>
      <c r="B77" s="114"/>
      <c r="C77" s="114"/>
      <c r="D77" s="114"/>
      <c r="E77" s="114"/>
      <c r="F77" s="114"/>
      <c r="G77" s="31" t="s">
        <v>21</v>
      </c>
      <c r="H77" s="31" t="s">
        <v>21</v>
      </c>
      <c r="I77" s="31" t="s">
        <v>21</v>
      </c>
      <c r="J77" s="31" t="s">
        <v>22</v>
      </c>
      <c r="K77" s="31" t="s">
        <v>22</v>
      </c>
      <c r="L77" s="32" t="s">
        <v>22</v>
      </c>
      <c r="M77" s="138"/>
      <c r="N77" s="114"/>
      <c r="O77" s="114"/>
      <c r="P77" s="114"/>
      <c r="Q77" s="31" t="s">
        <v>21</v>
      </c>
      <c r="R77" s="31" t="s">
        <v>21</v>
      </c>
      <c r="S77" s="31" t="s">
        <v>21</v>
      </c>
      <c r="T77" s="31" t="s">
        <v>22</v>
      </c>
      <c r="U77" s="31" t="s">
        <v>22</v>
      </c>
      <c r="V77" s="31" t="s">
        <v>22</v>
      </c>
      <c r="W77" s="115"/>
    </row>
    <row r="78" spans="1:23" ht="15.75" x14ac:dyDescent="0.25">
      <c r="A78" s="5">
        <v>1</v>
      </c>
      <c r="B78" s="21"/>
      <c r="C78" s="20"/>
      <c r="D78" s="36"/>
      <c r="E78" s="21"/>
      <c r="F78" s="21"/>
      <c r="G78" s="21"/>
      <c r="H78" s="21"/>
      <c r="I78" s="21"/>
      <c r="J78" s="21"/>
      <c r="K78" s="24"/>
      <c r="L78" s="29"/>
      <c r="M78" s="57"/>
      <c r="O78" s="21"/>
      <c r="P78" s="21"/>
      <c r="Q78" s="21"/>
      <c r="R78" s="21"/>
      <c r="S78" s="21"/>
      <c r="T78" s="21"/>
      <c r="U78" s="21"/>
      <c r="V78" s="21"/>
      <c r="W78" s="22"/>
    </row>
    <row r="79" spans="1:23" ht="15.75" x14ac:dyDescent="0.25">
      <c r="A79" s="6">
        <v>2</v>
      </c>
      <c r="B79" s="21"/>
      <c r="C79" s="13"/>
      <c r="D79" s="8"/>
      <c r="E79" s="8"/>
      <c r="F79" s="8"/>
      <c r="G79" s="8"/>
      <c r="H79" s="8"/>
      <c r="I79" s="8"/>
      <c r="J79" s="8"/>
      <c r="K79" s="25"/>
      <c r="L79" s="30"/>
      <c r="M79" s="57"/>
      <c r="N79" s="26"/>
      <c r="O79" s="8"/>
      <c r="P79" s="8"/>
      <c r="Q79" s="8"/>
      <c r="R79" s="8"/>
      <c r="S79" s="8"/>
      <c r="T79" s="8"/>
      <c r="U79" s="8"/>
      <c r="V79" s="8"/>
      <c r="W79" s="9"/>
    </row>
    <row r="80" spans="1:23" ht="15.75" x14ac:dyDescent="0.25">
      <c r="A80" s="6">
        <v>3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27"/>
      <c r="M80" s="27"/>
      <c r="N80" s="8"/>
      <c r="O80" s="8"/>
      <c r="P80" s="8"/>
      <c r="Q80" s="8"/>
      <c r="R80" s="8"/>
      <c r="S80" s="8"/>
      <c r="T80" s="8"/>
      <c r="U80" s="8"/>
      <c r="V80" s="8"/>
      <c r="W80" s="9"/>
    </row>
    <row r="81" spans="1:23" ht="15.75" x14ac:dyDescent="0.25">
      <c r="A81" s="5">
        <v>4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3" ht="15.75" x14ac:dyDescent="0.25">
      <c r="A82" s="5">
        <v>5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</row>
    <row r="83" spans="1:23" ht="16.5" thickBot="1" x14ac:dyDescent="0.3">
      <c r="A83" s="7">
        <v>6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5" spans="1:23" ht="15.75" thickBot="1" x14ac:dyDescent="0.3"/>
    <row r="86" spans="1:23" ht="15.75" x14ac:dyDescent="0.25">
      <c r="A86" s="100" t="s">
        <v>260</v>
      </c>
      <c r="B86" s="101"/>
      <c r="C86" s="111" t="s">
        <v>565</v>
      </c>
      <c r="D86" s="112"/>
      <c r="E86" s="111" t="s">
        <v>564</v>
      </c>
      <c r="F86" s="112"/>
      <c r="G86" s="101" t="s">
        <v>4</v>
      </c>
      <c r="H86" s="101"/>
      <c r="I86" s="102" t="s">
        <v>135</v>
      </c>
      <c r="J86" s="102"/>
      <c r="K86" s="102"/>
      <c r="L86" s="102"/>
      <c r="M86" s="102"/>
      <c r="N86" s="102"/>
      <c r="O86" s="101" t="s">
        <v>6</v>
      </c>
      <c r="P86" s="101"/>
      <c r="Q86" s="103"/>
      <c r="R86" s="104"/>
      <c r="S86" s="104"/>
      <c r="T86" s="104"/>
      <c r="U86" s="104"/>
      <c r="V86" s="104"/>
      <c r="W86" s="105"/>
    </row>
    <row r="87" spans="1:23" ht="15.75" x14ac:dyDescent="0.25">
      <c r="A87" s="106" t="s">
        <v>7</v>
      </c>
      <c r="B87" s="107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7"/>
      <c r="R87" s="107"/>
      <c r="S87" s="107"/>
      <c r="T87" s="107"/>
      <c r="U87" s="107"/>
      <c r="V87" s="107"/>
      <c r="W87" s="110"/>
    </row>
    <row r="88" spans="1:23" x14ac:dyDescent="0.25">
      <c r="A88" s="113" t="s">
        <v>8</v>
      </c>
      <c r="B88" s="114" t="s">
        <v>9</v>
      </c>
      <c r="C88" s="114" t="s">
        <v>10</v>
      </c>
      <c r="D88" s="114" t="s">
        <v>11</v>
      </c>
      <c r="E88" s="114" t="s">
        <v>12</v>
      </c>
      <c r="F88" s="114" t="s">
        <v>13</v>
      </c>
      <c r="G88" s="114" t="s">
        <v>14</v>
      </c>
      <c r="H88" s="114"/>
      <c r="I88" s="114"/>
      <c r="J88" s="114"/>
      <c r="K88" s="114"/>
      <c r="L88" s="114"/>
      <c r="M88" s="114" t="s">
        <v>15</v>
      </c>
      <c r="N88" s="114" t="s">
        <v>16</v>
      </c>
      <c r="O88" s="114" t="s">
        <v>17</v>
      </c>
      <c r="P88" s="114" t="s">
        <v>18</v>
      </c>
      <c r="Q88" s="114" t="s">
        <v>19</v>
      </c>
      <c r="R88" s="114"/>
      <c r="S88" s="114"/>
      <c r="T88" s="114"/>
      <c r="U88" s="114"/>
      <c r="V88" s="114"/>
      <c r="W88" s="115" t="s">
        <v>20</v>
      </c>
    </row>
    <row r="89" spans="1:23" x14ac:dyDescent="0.25">
      <c r="A89" s="113"/>
      <c r="B89" s="114"/>
      <c r="C89" s="114"/>
      <c r="D89" s="114"/>
      <c r="E89" s="114"/>
      <c r="F89" s="114"/>
      <c r="G89" s="31" t="s">
        <v>21</v>
      </c>
      <c r="H89" s="31" t="s">
        <v>21</v>
      </c>
      <c r="I89" s="31" t="s">
        <v>21</v>
      </c>
      <c r="J89" s="31" t="s">
        <v>22</v>
      </c>
      <c r="K89" s="31" t="s">
        <v>22</v>
      </c>
      <c r="L89" s="32" t="s">
        <v>22</v>
      </c>
      <c r="M89" s="138"/>
      <c r="N89" s="114"/>
      <c r="O89" s="114"/>
      <c r="P89" s="114"/>
      <c r="Q89" s="31" t="s">
        <v>21</v>
      </c>
      <c r="R89" s="31" t="s">
        <v>21</v>
      </c>
      <c r="S89" s="31" t="s">
        <v>21</v>
      </c>
      <c r="T89" s="31" t="s">
        <v>22</v>
      </c>
      <c r="U89" s="31" t="s">
        <v>22</v>
      </c>
      <c r="V89" s="31" t="s">
        <v>22</v>
      </c>
      <c r="W89" s="115"/>
    </row>
    <row r="90" spans="1:23" ht="15.75" x14ac:dyDescent="0.25">
      <c r="A90" s="5">
        <v>1</v>
      </c>
      <c r="B90" s="21"/>
      <c r="C90" s="20"/>
      <c r="D90" s="36"/>
      <c r="E90" s="21"/>
      <c r="F90" s="21"/>
      <c r="G90" s="21"/>
      <c r="H90" s="21"/>
      <c r="I90" s="21"/>
      <c r="J90" s="21"/>
      <c r="K90" s="24"/>
      <c r="L90" s="29"/>
      <c r="M90" s="57"/>
      <c r="O90" s="21"/>
      <c r="P90" s="21"/>
      <c r="Q90" s="21"/>
      <c r="R90" s="21"/>
      <c r="S90" s="21"/>
      <c r="T90" s="21"/>
      <c r="U90" s="21"/>
      <c r="V90" s="21"/>
      <c r="W90" s="22"/>
    </row>
    <row r="91" spans="1:23" ht="15.75" x14ac:dyDescent="0.25">
      <c r="A91" s="6">
        <v>2</v>
      </c>
      <c r="B91" s="21"/>
      <c r="C91" s="13"/>
      <c r="D91" s="8"/>
      <c r="E91" s="8"/>
      <c r="F91" s="8"/>
      <c r="G91" s="8"/>
      <c r="H91" s="8"/>
      <c r="I91" s="8"/>
      <c r="J91" s="8"/>
      <c r="K91" s="25"/>
      <c r="L91" s="30"/>
      <c r="M91" s="57"/>
      <c r="N91" s="26"/>
      <c r="O91" s="8"/>
      <c r="P91" s="8"/>
      <c r="Q91" s="8"/>
      <c r="R91" s="8"/>
      <c r="S91" s="8"/>
      <c r="T91" s="8"/>
      <c r="U91" s="8"/>
      <c r="V91" s="8"/>
      <c r="W91" s="9"/>
    </row>
    <row r="92" spans="1:23" ht="15.75" x14ac:dyDescent="0.25">
      <c r="A92" s="6">
        <v>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27"/>
      <c r="M92" s="27"/>
      <c r="N92" s="8"/>
      <c r="O92" s="8"/>
      <c r="P92" s="8"/>
      <c r="Q92" s="8"/>
      <c r="R92" s="8"/>
      <c r="S92" s="8"/>
      <c r="T92" s="8"/>
      <c r="U92" s="8"/>
      <c r="V92" s="8"/>
      <c r="W92" s="9"/>
    </row>
    <row r="93" spans="1:23" ht="15.75" x14ac:dyDescent="0.25">
      <c r="A93" s="5">
        <v>4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5.75" x14ac:dyDescent="0.25">
      <c r="A94" s="5">
        <v>5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</row>
    <row r="95" spans="1:23" ht="16.5" thickBot="1" x14ac:dyDescent="0.3">
      <c r="A95" s="7">
        <v>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7" spans="1:23" ht="15.75" thickBot="1" x14ac:dyDescent="0.3"/>
    <row r="98" spans="1:23" ht="15.75" x14ac:dyDescent="0.25">
      <c r="A98" s="100" t="s">
        <v>260</v>
      </c>
      <c r="B98" s="101"/>
      <c r="C98" s="111" t="s">
        <v>566</v>
      </c>
      <c r="D98" s="112"/>
      <c r="E98" s="111" t="s">
        <v>564</v>
      </c>
      <c r="F98" s="112"/>
      <c r="G98" s="101" t="s">
        <v>4</v>
      </c>
      <c r="H98" s="101"/>
      <c r="I98" s="102" t="s">
        <v>135</v>
      </c>
      <c r="J98" s="102"/>
      <c r="K98" s="102"/>
      <c r="L98" s="102"/>
      <c r="M98" s="102"/>
      <c r="N98" s="102"/>
      <c r="O98" s="101" t="s">
        <v>6</v>
      </c>
      <c r="P98" s="101"/>
      <c r="Q98" s="103"/>
      <c r="R98" s="104"/>
      <c r="S98" s="104"/>
      <c r="T98" s="104"/>
      <c r="U98" s="104"/>
      <c r="V98" s="104"/>
      <c r="W98" s="105"/>
    </row>
    <row r="99" spans="1:23" ht="15.75" x14ac:dyDescent="0.25">
      <c r="A99" s="106" t="s">
        <v>7</v>
      </c>
      <c r="B99" s="107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7"/>
      <c r="R99" s="107"/>
      <c r="S99" s="107"/>
      <c r="T99" s="107"/>
      <c r="U99" s="107"/>
      <c r="V99" s="107"/>
      <c r="W99" s="110"/>
    </row>
    <row r="100" spans="1:23" x14ac:dyDescent="0.25">
      <c r="A100" s="113" t="s">
        <v>8</v>
      </c>
      <c r="B100" s="114" t="s">
        <v>9</v>
      </c>
      <c r="C100" s="114" t="s">
        <v>10</v>
      </c>
      <c r="D100" s="114" t="s">
        <v>11</v>
      </c>
      <c r="E100" s="114" t="s">
        <v>12</v>
      </c>
      <c r="F100" s="114" t="s">
        <v>13</v>
      </c>
      <c r="G100" s="114" t="s">
        <v>14</v>
      </c>
      <c r="H100" s="114"/>
      <c r="I100" s="114"/>
      <c r="J100" s="114"/>
      <c r="K100" s="114"/>
      <c r="L100" s="114"/>
      <c r="M100" s="114" t="s">
        <v>15</v>
      </c>
      <c r="N100" s="114" t="s">
        <v>16</v>
      </c>
      <c r="O100" s="114" t="s">
        <v>17</v>
      </c>
      <c r="P100" s="114" t="s">
        <v>18</v>
      </c>
      <c r="Q100" s="114" t="s">
        <v>19</v>
      </c>
      <c r="R100" s="114"/>
      <c r="S100" s="114"/>
      <c r="T100" s="114"/>
      <c r="U100" s="114"/>
      <c r="V100" s="114"/>
      <c r="W100" s="115" t="s">
        <v>20</v>
      </c>
    </row>
    <row r="101" spans="1:23" x14ac:dyDescent="0.25">
      <c r="A101" s="113"/>
      <c r="B101" s="114"/>
      <c r="C101" s="114"/>
      <c r="D101" s="114"/>
      <c r="E101" s="114"/>
      <c r="F101" s="114"/>
      <c r="G101" s="31" t="s">
        <v>21</v>
      </c>
      <c r="H101" s="31" t="s">
        <v>21</v>
      </c>
      <c r="I101" s="31" t="s">
        <v>21</v>
      </c>
      <c r="J101" s="31" t="s">
        <v>22</v>
      </c>
      <c r="K101" s="31" t="s">
        <v>22</v>
      </c>
      <c r="L101" s="32" t="s">
        <v>22</v>
      </c>
      <c r="M101" s="138"/>
      <c r="N101" s="114"/>
      <c r="O101" s="114"/>
      <c r="P101" s="114"/>
      <c r="Q101" s="31" t="s">
        <v>21</v>
      </c>
      <c r="R101" s="31" t="s">
        <v>21</v>
      </c>
      <c r="S101" s="31" t="s">
        <v>21</v>
      </c>
      <c r="T101" s="31" t="s">
        <v>22</v>
      </c>
      <c r="U101" s="31" t="s">
        <v>22</v>
      </c>
      <c r="V101" s="31" t="s">
        <v>22</v>
      </c>
      <c r="W101" s="115"/>
    </row>
    <row r="102" spans="1:23" ht="15.75" x14ac:dyDescent="0.25">
      <c r="A102" s="5">
        <v>1</v>
      </c>
      <c r="B102" s="21"/>
      <c r="C102" s="20"/>
      <c r="D102" s="36"/>
      <c r="E102" s="21"/>
      <c r="F102" s="21"/>
      <c r="G102" s="21"/>
      <c r="H102" s="21"/>
      <c r="I102" s="21"/>
      <c r="J102" s="21"/>
      <c r="K102" s="24"/>
      <c r="L102" s="29"/>
      <c r="M102" s="57"/>
      <c r="O102" s="21"/>
      <c r="P102" s="21"/>
      <c r="Q102" s="21"/>
      <c r="R102" s="21"/>
      <c r="S102" s="21"/>
      <c r="T102" s="21"/>
      <c r="U102" s="21"/>
      <c r="V102" s="21"/>
      <c r="W102" s="22"/>
    </row>
    <row r="103" spans="1:23" ht="15.75" x14ac:dyDescent="0.25">
      <c r="A103" s="6">
        <v>2</v>
      </c>
      <c r="B103" s="21"/>
      <c r="C103" s="13"/>
      <c r="D103" s="8"/>
      <c r="E103" s="8"/>
      <c r="F103" s="8"/>
      <c r="G103" s="8"/>
      <c r="H103" s="8"/>
      <c r="I103" s="8"/>
      <c r="J103" s="8"/>
      <c r="K103" s="25"/>
      <c r="L103" s="30"/>
      <c r="M103" s="57"/>
      <c r="N103" s="26"/>
      <c r="O103" s="8"/>
      <c r="P103" s="8"/>
      <c r="Q103" s="8"/>
      <c r="R103" s="8"/>
      <c r="S103" s="8"/>
      <c r="T103" s="8"/>
      <c r="U103" s="8"/>
      <c r="V103" s="8"/>
      <c r="W103" s="9"/>
    </row>
    <row r="104" spans="1:23" ht="15.75" x14ac:dyDescent="0.25">
      <c r="A104" s="6">
        <v>3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27"/>
      <c r="M104" s="27"/>
      <c r="N104" s="8"/>
      <c r="O104" s="8"/>
      <c r="P104" s="8"/>
      <c r="Q104" s="8"/>
      <c r="R104" s="8"/>
      <c r="S104" s="8"/>
      <c r="T104" s="8"/>
      <c r="U104" s="8"/>
      <c r="V104" s="8"/>
      <c r="W104" s="9"/>
    </row>
    <row r="105" spans="1:23" ht="15.75" x14ac:dyDescent="0.25">
      <c r="A105" s="5">
        <v>4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5.75" x14ac:dyDescent="0.25">
      <c r="A106" s="5">
        <v>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</row>
    <row r="107" spans="1:23" ht="16.5" thickBot="1" x14ac:dyDescent="0.3">
      <c r="A107" s="7">
        <v>6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9" spans="1:23" ht="15.75" thickBot="1" x14ac:dyDescent="0.3"/>
    <row r="110" spans="1:23" ht="15.75" x14ac:dyDescent="0.25">
      <c r="A110" s="100" t="s">
        <v>260</v>
      </c>
      <c r="B110" s="101"/>
      <c r="C110" s="111" t="s">
        <v>567</v>
      </c>
      <c r="D110" s="112"/>
      <c r="E110" s="111" t="s">
        <v>564</v>
      </c>
      <c r="F110" s="112"/>
      <c r="G110" s="101" t="s">
        <v>4</v>
      </c>
      <c r="H110" s="101"/>
      <c r="I110" s="102" t="s">
        <v>135</v>
      </c>
      <c r="J110" s="102"/>
      <c r="K110" s="102"/>
      <c r="L110" s="102"/>
      <c r="M110" s="102"/>
      <c r="N110" s="102"/>
      <c r="O110" s="101" t="s">
        <v>6</v>
      </c>
      <c r="P110" s="101"/>
      <c r="Q110" s="103"/>
      <c r="R110" s="104"/>
      <c r="S110" s="104"/>
      <c r="T110" s="104"/>
      <c r="U110" s="104"/>
      <c r="V110" s="104"/>
      <c r="W110" s="105"/>
    </row>
    <row r="111" spans="1:23" ht="15.75" x14ac:dyDescent="0.25">
      <c r="A111" s="106" t="s">
        <v>7</v>
      </c>
      <c r="B111" s="107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7"/>
      <c r="R111" s="107"/>
      <c r="S111" s="107"/>
      <c r="T111" s="107"/>
      <c r="U111" s="107"/>
      <c r="V111" s="107"/>
      <c r="W111" s="110"/>
    </row>
    <row r="112" spans="1:23" x14ac:dyDescent="0.25">
      <c r="A112" s="113" t="s">
        <v>8</v>
      </c>
      <c r="B112" s="114" t="s">
        <v>9</v>
      </c>
      <c r="C112" s="114" t="s">
        <v>10</v>
      </c>
      <c r="D112" s="114" t="s">
        <v>11</v>
      </c>
      <c r="E112" s="114" t="s">
        <v>12</v>
      </c>
      <c r="F112" s="114" t="s">
        <v>13</v>
      </c>
      <c r="G112" s="114" t="s">
        <v>14</v>
      </c>
      <c r="H112" s="114"/>
      <c r="I112" s="114"/>
      <c r="J112" s="114"/>
      <c r="K112" s="114"/>
      <c r="L112" s="114"/>
      <c r="M112" s="114" t="s">
        <v>15</v>
      </c>
      <c r="N112" s="114" t="s">
        <v>16</v>
      </c>
      <c r="O112" s="114" t="s">
        <v>17</v>
      </c>
      <c r="P112" s="114" t="s">
        <v>18</v>
      </c>
      <c r="Q112" s="114" t="s">
        <v>19</v>
      </c>
      <c r="R112" s="114"/>
      <c r="S112" s="114"/>
      <c r="T112" s="114"/>
      <c r="U112" s="114"/>
      <c r="V112" s="114"/>
      <c r="W112" s="115" t="s">
        <v>20</v>
      </c>
    </row>
    <row r="113" spans="1:23" x14ac:dyDescent="0.25">
      <c r="A113" s="113"/>
      <c r="B113" s="114"/>
      <c r="C113" s="114"/>
      <c r="D113" s="114"/>
      <c r="E113" s="114"/>
      <c r="F113" s="114"/>
      <c r="G113" s="31" t="s">
        <v>21</v>
      </c>
      <c r="H113" s="31" t="s">
        <v>21</v>
      </c>
      <c r="I113" s="31" t="s">
        <v>21</v>
      </c>
      <c r="J113" s="31" t="s">
        <v>22</v>
      </c>
      <c r="K113" s="31" t="s">
        <v>22</v>
      </c>
      <c r="L113" s="32" t="s">
        <v>22</v>
      </c>
      <c r="M113" s="138"/>
      <c r="N113" s="114"/>
      <c r="O113" s="114"/>
      <c r="P113" s="114"/>
      <c r="Q113" s="31" t="s">
        <v>21</v>
      </c>
      <c r="R113" s="31" t="s">
        <v>21</v>
      </c>
      <c r="S113" s="31" t="s">
        <v>21</v>
      </c>
      <c r="T113" s="31" t="s">
        <v>22</v>
      </c>
      <c r="U113" s="31" t="s">
        <v>22</v>
      </c>
      <c r="V113" s="31" t="s">
        <v>22</v>
      </c>
      <c r="W113" s="115"/>
    </row>
    <row r="114" spans="1:23" ht="15.75" x14ac:dyDescent="0.25">
      <c r="A114" s="5">
        <v>1</v>
      </c>
      <c r="B114" s="21"/>
      <c r="C114" s="20"/>
      <c r="D114" s="36"/>
      <c r="E114" s="21"/>
      <c r="F114" s="21"/>
      <c r="G114" s="21"/>
      <c r="H114" s="21"/>
      <c r="I114" s="21"/>
      <c r="J114" s="21"/>
      <c r="K114" s="24"/>
      <c r="L114" s="29"/>
      <c r="M114" s="57"/>
      <c r="O114" s="21"/>
      <c r="P114" s="21"/>
      <c r="Q114" s="21"/>
      <c r="R114" s="21"/>
      <c r="S114" s="21"/>
      <c r="T114" s="21"/>
      <c r="U114" s="21"/>
      <c r="V114" s="21"/>
      <c r="W114" s="22"/>
    </row>
    <row r="115" spans="1:23" ht="15.75" x14ac:dyDescent="0.25">
      <c r="A115" s="6">
        <v>2</v>
      </c>
      <c r="B115" s="21"/>
      <c r="C115" s="13"/>
      <c r="D115" s="8"/>
      <c r="E115" s="8"/>
      <c r="F115" s="8"/>
      <c r="G115" s="8"/>
      <c r="H115" s="8"/>
      <c r="I115" s="8"/>
      <c r="J115" s="8"/>
      <c r="K115" s="25"/>
      <c r="L115" s="30"/>
      <c r="M115" s="57"/>
      <c r="N115" s="26"/>
      <c r="O115" s="8"/>
      <c r="P115" s="8"/>
      <c r="Q115" s="8"/>
      <c r="R115" s="8"/>
      <c r="S115" s="8"/>
      <c r="T115" s="8"/>
      <c r="U115" s="8"/>
      <c r="V115" s="8"/>
      <c r="W115" s="9"/>
    </row>
    <row r="116" spans="1:23" ht="15.75" x14ac:dyDescent="0.25">
      <c r="A116" s="6">
        <v>3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27"/>
      <c r="M116" s="27"/>
      <c r="N116" s="8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5">
        <v>4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5.75" x14ac:dyDescent="0.25">
      <c r="A118" s="5">
        <v>5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</row>
    <row r="119" spans="1:23" ht="16.5" thickBot="1" x14ac:dyDescent="0.3">
      <c r="A119" s="7">
        <v>6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1" spans="1:23" ht="15.75" thickBot="1" x14ac:dyDescent="0.3"/>
    <row r="122" spans="1:23" ht="15.75" x14ac:dyDescent="0.25">
      <c r="A122" s="100" t="s">
        <v>260</v>
      </c>
      <c r="B122" s="101"/>
      <c r="C122" s="111" t="s">
        <v>568</v>
      </c>
      <c r="D122" s="112"/>
      <c r="E122" s="111" t="s">
        <v>564</v>
      </c>
      <c r="F122" s="112"/>
      <c r="G122" s="101" t="s">
        <v>4</v>
      </c>
      <c r="H122" s="101"/>
      <c r="I122" s="102" t="s">
        <v>135</v>
      </c>
      <c r="J122" s="102"/>
      <c r="K122" s="102"/>
      <c r="L122" s="102"/>
      <c r="M122" s="102"/>
      <c r="N122" s="102"/>
      <c r="O122" s="101" t="s">
        <v>6</v>
      </c>
      <c r="P122" s="101"/>
      <c r="Q122" s="103"/>
      <c r="R122" s="104"/>
      <c r="S122" s="104"/>
      <c r="T122" s="104"/>
      <c r="U122" s="104"/>
      <c r="V122" s="104"/>
      <c r="W122" s="105"/>
    </row>
    <row r="123" spans="1:23" ht="15.75" x14ac:dyDescent="0.25">
      <c r="A123" s="106" t="s">
        <v>7</v>
      </c>
      <c r="B123" s="107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7"/>
      <c r="R123" s="107"/>
      <c r="S123" s="107"/>
      <c r="T123" s="107"/>
      <c r="U123" s="107"/>
      <c r="V123" s="107"/>
      <c r="W123" s="110"/>
    </row>
    <row r="124" spans="1:23" x14ac:dyDescent="0.25">
      <c r="A124" s="113" t="s">
        <v>8</v>
      </c>
      <c r="B124" s="114" t="s">
        <v>9</v>
      </c>
      <c r="C124" s="114" t="s">
        <v>10</v>
      </c>
      <c r="D124" s="114" t="s">
        <v>11</v>
      </c>
      <c r="E124" s="114" t="s">
        <v>12</v>
      </c>
      <c r="F124" s="114" t="s">
        <v>13</v>
      </c>
      <c r="G124" s="114" t="s">
        <v>14</v>
      </c>
      <c r="H124" s="114"/>
      <c r="I124" s="114"/>
      <c r="J124" s="114"/>
      <c r="K124" s="114"/>
      <c r="L124" s="114"/>
      <c r="M124" s="114" t="s">
        <v>15</v>
      </c>
      <c r="N124" s="114" t="s">
        <v>16</v>
      </c>
      <c r="O124" s="114" t="s">
        <v>17</v>
      </c>
      <c r="P124" s="114" t="s">
        <v>18</v>
      </c>
      <c r="Q124" s="114" t="s">
        <v>19</v>
      </c>
      <c r="R124" s="114"/>
      <c r="S124" s="114"/>
      <c r="T124" s="114"/>
      <c r="U124" s="114"/>
      <c r="V124" s="114"/>
      <c r="W124" s="115" t="s">
        <v>20</v>
      </c>
    </row>
    <row r="125" spans="1:23" x14ac:dyDescent="0.25">
      <c r="A125" s="113"/>
      <c r="B125" s="114"/>
      <c r="C125" s="114"/>
      <c r="D125" s="114"/>
      <c r="E125" s="114"/>
      <c r="F125" s="114"/>
      <c r="G125" s="31" t="s">
        <v>21</v>
      </c>
      <c r="H125" s="31" t="s">
        <v>21</v>
      </c>
      <c r="I125" s="31" t="s">
        <v>21</v>
      </c>
      <c r="J125" s="31" t="s">
        <v>22</v>
      </c>
      <c r="K125" s="31" t="s">
        <v>22</v>
      </c>
      <c r="L125" s="32" t="s">
        <v>22</v>
      </c>
      <c r="M125" s="138"/>
      <c r="N125" s="114"/>
      <c r="O125" s="114"/>
      <c r="P125" s="114"/>
      <c r="Q125" s="31" t="s">
        <v>21</v>
      </c>
      <c r="R125" s="31" t="s">
        <v>21</v>
      </c>
      <c r="S125" s="31" t="s">
        <v>21</v>
      </c>
      <c r="T125" s="31" t="s">
        <v>22</v>
      </c>
      <c r="U125" s="31" t="s">
        <v>22</v>
      </c>
      <c r="V125" s="31" t="s">
        <v>22</v>
      </c>
      <c r="W125" s="115"/>
    </row>
    <row r="126" spans="1:23" ht="15.75" x14ac:dyDescent="0.25">
      <c r="A126" s="5">
        <v>1</v>
      </c>
      <c r="B126" s="21"/>
      <c r="C126" s="20"/>
      <c r="D126" s="36"/>
      <c r="E126" s="21"/>
      <c r="F126" s="21"/>
      <c r="G126" s="21"/>
      <c r="H126" s="21"/>
      <c r="I126" s="21"/>
      <c r="J126" s="21"/>
      <c r="K126" s="24"/>
      <c r="L126" s="29"/>
      <c r="M126" s="57"/>
      <c r="O126" s="21"/>
      <c r="P126" s="21"/>
      <c r="Q126" s="21"/>
      <c r="R126" s="21"/>
      <c r="S126" s="21"/>
      <c r="T126" s="21"/>
      <c r="U126" s="21"/>
      <c r="V126" s="21"/>
      <c r="W126" s="22"/>
    </row>
    <row r="127" spans="1:23" ht="15.75" x14ac:dyDescent="0.25">
      <c r="A127" s="6">
        <v>2</v>
      </c>
      <c r="B127" s="21"/>
      <c r="C127" s="13"/>
      <c r="D127" s="8"/>
      <c r="E127" s="8"/>
      <c r="F127" s="8"/>
      <c r="G127" s="8"/>
      <c r="H127" s="8"/>
      <c r="I127" s="8"/>
      <c r="J127" s="8"/>
      <c r="K127" s="25"/>
      <c r="L127" s="30"/>
      <c r="M127" s="57"/>
      <c r="N127" s="26"/>
      <c r="O127" s="8"/>
      <c r="P127" s="8"/>
      <c r="Q127" s="8"/>
      <c r="R127" s="8"/>
      <c r="S127" s="8"/>
      <c r="T127" s="8"/>
      <c r="U127" s="8"/>
      <c r="V127" s="8"/>
      <c r="W127" s="9"/>
    </row>
    <row r="128" spans="1:23" ht="15.75" x14ac:dyDescent="0.25">
      <c r="A128" s="6">
        <v>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27"/>
      <c r="M128" s="27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spans="1:23" ht="15.75" x14ac:dyDescent="0.25">
      <c r="A129" s="5">
        <v>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</row>
    <row r="130" spans="1:23" ht="15.75" x14ac:dyDescent="0.25">
      <c r="A130" s="5">
        <v>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9"/>
    </row>
    <row r="131" spans="1:23" ht="16.5" thickBot="1" x14ac:dyDescent="0.3">
      <c r="A131" s="7">
        <v>6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3" spans="1:23" ht="15.75" thickBot="1" x14ac:dyDescent="0.3"/>
    <row r="134" spans="1:23" ht="15.75" x14ac:dyDescent="0.25">
      <c r="A134" s="100" t="s">
        <v>260</v>
      </c>
      <c r="B134" s="101"/>
      <c r="C134" s="111" t="s">
        <v>569</v>
      </c>
      <c r="D134" s="112"/>
      <c r="E134" s="111" t="s">
        <v>564</v>
      </c>
      <c r="F134" s="112"/>
      <c r="G134" s="101" t="s">
        <v>4</v>
      </c>
      <c r="H134" s="101"/>
      <c r="I134" s="102" t="s">
        <v>135</v>
      </c>
      <c r="J134" s="102"/>
      <c r="K134" s="102"/>
      <c r="L134" s="102"/>
      <c r="M134" s="102"/>
      <c r="N134" s="102"/>
      <c r="O134" s="101" t="s">
        <v>6</v>
      </c>
      <c r="P134" s="101"/>
      <c r="Q134" s="103"/>
      <c r="R134" s="104"/>
      <c r="S134" s="104"/>
      <c r="T134" s="104"/>
      <c r="U134" s="104"/>
      <c r="V134" s="104"/>
      <c r="W134" s="105"/>
    </row>
    <row r="135" spans="1:23" ht="15.75" x14ac:dyDescent="0.25">
      <c r="A135" s="106" t="s">
        <v>7</v>
      </c>
      <c r="B135" s="107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7"/>
      <c r="R135" s="107"/>
      <c r="S135" s="107"/>
      <c r="T135" s="107"/>
      <c r="U135" s="107"/>
      <c r="V135" s="107"/>
      <c r="W135" s="110"/>
    </row>
    <row r="136" spans="1:23" x14ac:dyDescent="0.25">
      <c r="A136" s="113" t="s">
        <v>8</v>
      </c>
      <c r="B136" s="114" t="s">
        <v>9</v>
      </c>
      <c r="C136" s="114" t="s">
        <v>10</v>
      </c>
      <c r="D136" s="114" t="s">
        <v>11</v>
      </c>
      <c r="E136" s="114" t="s">
        <v>12</v>
      </c>
      <c r="F136" s="114" t="s">
        <v>13</v>
      </c>
      <c r="G136" s="114" t="s">
        <v>14</v>
      </c>
      <c r="H136" s="114"/>
      <c r="I136" s="114"/>
      <c r="J136" s="114"/>
      <c r="K136" s="114"/>
      <c r="L136" s="114"/>
      <c r="M136" s="114" t="s">
        <v>15</v>
      </c>
      <c r="N136" s="114" t="s">
        <v>16</v>
      </c>
      <c r="O136" s="114" t="s">
        <v>17</v>
      </c>
      <c r="P136" s="114" t="s">
        <v>18</v>
      </c>
      <c r="Q136" s="114" t="s">
        <v>19</v>
      </c>
      <c r="R136" s="114"/>
      <c r="S136" s="114"/>
      <c r="T136" s="114"/>
      <c r="U136" s="114"/>
      <c r="V136" s="114"/>
      <c r="W136" s="115" t="s">
        <v>20</v>
      </c>
    </row>
    <row r="137" spans="1:23" x14ac:dyDescent="0.25">
      <c r="A137" s="113"/>
      <c r="B137" s="114"/>
      <c r="C137" s="114"/>
      <c r="D137" s="114"/>
      <c r="E137" s="114"/>
      <c r="F137" s="114"/>
      <c r="G137" s="31" t="s">
        <v>21</v>
      </c>
      <c r="H137" s="31" t="s">
        <v>21</v>
      </c>
      <c r="I137" s="31" t="s">
        <v>21</v>
      </c>
      <c r="J137" s="31" t="s">
        <v>22</v>
      </c>
      <c r="K137" s="31" t="s">
        <v>22</v>
      </c>
      <c r="L137" s="32" t="s">
        <v>22</v>
      </c>
      <c r="M137" s="138"/>
      <c r="N137" s="114"/>
      <c r="O137" s="114"/>
      <c r="P137" s="114"/>
      <c r="Q137" s="31" t="s">
        <v>21</v>
      </c>
      <c r="R137" s="31" t="s">
        <v>21</v>
      </c>
      <c r="S137" s="31" t="s">
        <v>21</v>
      </c>
      <c r="T137" s="31" t="s">
        <v>22</v>
      </c>
      <c r="U137" s="31" t="s">
        <v>22</v>
      </c>
      <c r="V137" s="31" t="s">
        <v>22</v>
      </c>
      <c r="W137" s="115"/>
    </row>
    <row r="138" spans="1:23" ht="15.75" x14ac:dyDescent="0.25">
      <c r="A138" s="5">
        <v>1</v>
      </c>
      <c r="B138" s="21"/>
      <c r="C138" s="20"/>
      <c r="D138" s="36"/>
      <c r="E138" s="21"/>
      <c r="F138" s="21"/>
      <c r="G138" s="21"/>
      <c r="H138" s="21"/>
      <c r="I138" s="21"/>
      <c r="J138" s="21"/>
      <c r="K138" s="24"/>
      <c r="L138" s="29"/>
      <c r="M138" s="57"/>
      <c r="O138" s="21"/>
      <c r="P138" s="21"/>
      <c r="Q138" s="21"/>
      <c r="R138" s="21"/>
      <c r="S138" s="21"/>
      <c r="T138" s="21"/>
      <c r="U138" s="21"/>
      <c r="V138" s="21"/>
      <c r="W138" s="22"/>
    </row>
    <row r="139" spans="1:23" ht="15.75" x14ac:dyDescent="0.25">
      <c r="A139" s="6">
        <v>2</v>
      </c>
      <c r="B139" s="21"/>
      <c r="C139" s="13"/>
      <c r="D139" s="8"/>
      <c r="E139" s="8"/>
      <c r="F139" s="8"/>
      <c r="G139" s="8"/>
      <c r="H139" s="8"/>
      <c r="I139" s="8"/>
      <c r="J139" s="8"/>
      <c r="K139" s="25"/>
      <c r="L139" s="30"/>
      <c r="M139" s="57"/>
      <c r="N139" s="26"/>
      <c r="O139" s="8"/>
      <c r="P139" s="8"/>
      <c r="Q139" s="8"/>
      <c r="R139" s="8"/>
      <c r="S139" s="8"/>
      <c r="T139" s="8"/>
      <c r="U139" s="8"/>
      <c r="V139" s="8"/>
      <c r="W139" s="9"/>
    </row>
    <row r="140" spans="1:23" ht="15.75" x14ac:dyDescent="0.25">
      <c r="A140" s="6">
        <v>3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27"/>
      <c r="M140" s="27"/>
      <c r="N140" s="8"/>
      <c r="O140" s="8"/>
      <c r="P140" s="8"/>
      <c r="Q140" s="8"/>
      <c r="R140" s="8"/>
      <c r="S140" s="8"/>
      <c r="T140" s="8"/>
      <c r="U140" s="8"/>
      <c r="V140" s="8"/>
      <c r="W140" s="9"/>
    </row>
    <row r="141" spans="1:23" ht="15.75" x14ac:dyDescent="0.25">
      <c r="A141" s="5">
        <v>4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spans="1:23" ht="15.75" x14ac:dyDescent="0.25">
      <c r="A142" s="5">
        <v>5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</row>
    <row r="143" spans="1:23" ht="16.5" thickBot="1" x14ac:dyDescent="0.3">
      <c r="A143" s="7">
        <v>6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5" spans="1:23" ht="15.75" thickBot="1" x14ac:dyDescent="0.3"/>
    <row r="146" spans="1:23" ht="15.75" x14ac:dyDescent="0.25">
      <c r="A146" s="100" t="s">
        <v>260</v>
      </c>
      <c r="B146" s="101"/>
      <c r="C146" s="111" t="s">
        <v>570</v>
      </c>
      <c r="D146" s="112"/>
      <c r="E146" s="111" t="s">
        <v>571</v>
      </c>
      <c r="F146" s="112"/>
      <c r="G146" s="101" t="s">
        <v>4</v>
      </c>
      <c r="H146" s="101"/>
      <c r="I146" s="102" t="s">
        <v>135</v>
      </c>
      <c r="J146" s="102"/>
      <c r="K146" s="102"/>
      <c r="L146" s="102"/>
      <c r="M146" s="102"/>
      <c r="N146" s="102"/>
      <c r="O146" s="101" t="s">
        <v>6</v>
      </c>
      <c r="P146" s="101"/>
      <c r="Q146" s="103"/>
      <c r="R146" s="104"/>
      <c r="S146" s="104"/>
      <c r="T146" s="104"/>
      <c r="U146" s="104"/>
      <c r="V146" s="104"/>
      <c r="W146" s="105"/>
    </row>
    <row r="147" spans="1:23" ht="15.75" x14ac:dyDescent="0.25">
      <c r="A147" s="106" t="s">
        <v>7</v>
      </c>
      <c r="B147" s="107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7"/>
      <c r="R147" s="107"/>
      <c r="S147" s="107"/>
      <c r="T147" s="107"/>
      <c r="U147" s="107"/>
      <c r="V147" s="107"/>
      <c r="W147" s="110"/>
    </row>
    <row r="148" spans="1:23" x14ac:dyDescent="0.25">
      <c r="A148" s="113" t="s">
        <v>8</v>
      </c>
      <c r="B148" s="114" t="s">
        <v>9</v>
      </c>
      <c r="C148" s="114" t="s">
        <v>10</v>
      </c>
      <c r="D148" s="114" t="s">
        <v>11</v>
      </c>
      <c r="E148" s="114" t="s">
        <v>12</v>
      </c>
      <c r="F148" s="114" t="s">
        <v>13</v>
      </c>
      <c r="G148" s="114" t="s">
        <v>14</v>
      </c>
      <c r="H148" s="114"/>
      <c r="I148" s="114"/>
      <c r="J148" s="114"/>
      <c r="K148" s="114"/>
      <c r="L148" s="114"/>
      <c r="M148" s="114" t="s">
        <v>15</v>
      </c>
      <c r="N148" s="114" t="s">
        <v>16</v>
      </c>
      <c r="O148" s="114" t="s">
        <v>17</v>
      </c>
      <c r="P148" s="114" t="s">
        <v>18</v>
      </c>
      <c r="Q148" s="114" t="s">
        <v>19</v>
      </c>
      <c r="R148" s="114"/>
      <c r="S148" s="114"/>
      <c r="T148" s="114"/>
      <c r="U148" s="114"/>
      <c r="V148" s="114"/>
      <c r="W148" s="115" t="s">
        <v>20</v>
      </c>
    </row>
    <row r="149" spans="1:23" x14ac:dyDescent="0.25">
      <c r="A149" s="113"/>
      <c r="B149" s="114"/>
      <c r="C149" s="114"/>
      <c r="D149" s="114"/>
      <c r="E149" s="114"/>
      <c r="F149" s="114"/>
      <c r="G149" s="31" t="s">
        <v>21</v>
      </c>
      <c r="H149" s="31" t="s">
        <v>21</v>
      </c>
      <c r="I149" s="31" t="s">
        <v>21</v>
      </c>
      <c r="J149" s="31" t="s">
        <v>22</v>
      </c>
      <c r="K149" s="31" t="s">
        <v>22</v>
      </c>
      <c r="L149" s="32" t="s">
        <v>22</v>
      </c>
      <c r="M149" s="138"/>
      <c r="N149" s="114"/>
      <c r="O149" s="114"/>
      <c r="P149" s="114"/>
      <c r="Q149" s="31" t="s">
        <v>21</v>
      </c>
      <c r="R149" s="31" t="s">
        <v>21</v>
      </c>
      <c r="S149" s="31" t="s">
        <v>21</v>
      </c>
      <c r="T149" s="31" t="s">
        <v>22</v>
      </c>
      <c r="U149" s="31" t="s">
        <v>22</v>
      </c>
      <c r="V149" s="31" t="s">
        <v>22</v>
      </c>
      <c r="W149" s="115"/>
    </row>
    <row r="150" spans="1:23" ht="15.75" x14ac:dyDescent="0.25">
      <c r="A150" s="5">
        <v>1</v>
      </c>
      <c r="B150" s="21"/>
      <c r="C150" s="20"/>
      <c r="D150" s="36"/>
      <c r="E150" s="21"/>
      <c r="F150" s="21"/>
      <c r="G150" s="21"/>
      <c r="H150" s="21"/>
      <c r="I150" s="21"/>
      <c r="J150" s="21"/>
      <c r="K150" s="24"/>
      <c r="L150" s="29"/>
      <c r="M150" s="57"/>
      <c r="O150" s="21"/>
      <c r="P150" s="21"/>
      <c r="Q150" s="21"/>
      <c r="R150" s="21"/>
      <c r="S150" s="21"/>
      <c r="T150" s="21"/>
      <c r="U150" s="21"/>
      <c r="V150" s="21"/>
      <c r="W150" s="22"/>
    </row>
    <row r="151" spans="1:23" ht="15.75" x14ac:dyDescent="0.25">
      <c r="A151" s="6">
        <v>2</v>
      </c>
      <c r="B151" s="21"/>
      <c r="C151" s="13"/>
      <c r="D151" s="8"/>
      <c r="E151" s="8"/>
      <c r="F151" s="8"/>
      <c r="G151" s="8"/>
      <c r="H151" s="8"/>
      <c r="I151" s="8"/>
      <c r="J151" s="8"/>
      <c r="K151" s="25"/>
      <c r="L151" s="30"/>
      <c r="M151" s="57"/>
      <c r="N151" s="26"/>
      <c r="O151" s="8"/>
      <c r="P151" s="8"/>
      <c r="Q151" s="8"/>
      <c r="R151" s="8"/>
      <c r="S151" s="8"/>
      <c r="T151" s="8"/>
      <c r="U151" s="8"/>
      <c r="V151" s="8"/>
      <c r="W151" s="9"/>
    </row>
    <row r="152" spans="1:23" ht="15.75" x14ac:dyDescent="0.25">
      <c r="A152" s="6">
        <v>3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27"/>
      <c r="M152" s="27"/>
      <c r="N152" s="8"/>
      <c r="O152" s="8"/>
      <c r="P152" s="8"/>
      <c r="Q152" s="8"/>
      <c r="R152" s="8"/>
      <c r="S152" s="8"/>
      <c r="T152" s="8"/>
      <c r="U152" s="8"/>
      <c r="V152" s="8"/>
      <c r="W152" s="9"/>
    </row>
    <row r="153" spans="1:23" ht="15.75" x14ac:dyDescent="0.25">
      <c r="A153" s="5">
        <v>4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</row>
    <row r="154" spans="1:23" ht="15.75" x14ac:dyDescent="0.25">
      <c r="A154" s="5">
        <v>5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</row>
    <row r="155" spans="1:23" ht="16.5" thickBot="1" x14ac:dyDescent="0.3">
      <c r="A155" s="7">
        <v>6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7" spans="1:23" ht="15.75" thickBot="1" x14ac:dyDescent="0.3"/>
    <row r="158" spans="1:23" ht="15.75" x14ac:dyDescent="0.25">
      <c r="A158" s="100" t="s">
        <v>260</v>
      </c>
      <c r="B158" s="101"/>
      <c r="C158" s="111" t="s">
        <v>572</v>
      </c>
      <c r="D158" s="112"/>
      <c r="E158" s="111" t="s">
        <v>571</v>
      </c>
      <c r="F158" s="112"/>
      <c r="G158" s="101" t="s">
        <v>4</v>
      </c>
      <c r="H158" s="101"/>
      <c r="I158" s="102" t="s">
        <v>135</v>
      </c>
      <c r="J158" s="102"/>
      <c r="K158" s="102"/>
      <c r="L158" s="102"/>
      <c r="M158" s="102"/>
      <c r="N158" s="102"/>
      <c r="O158" s="101" t="s">
        <v>6</v>
      </c>
      <c r="P158" s="101"/>
      <c r="Q158" s="103"/>
      <c r="R158" s="104"/>
      <c r="S158" s="104"/>
      <c r="T158" s="104"/>
      <c r="U158" s="104"/>
      <c r="V158" s="104"/>
      <c r="W158" s="105"/>
    </row>
    <row r="159" spans="1:23" ht="15.75" x14ac:dyDescent="0.25">
      <c r="A159" s="106" t="s">
        <v>7</v>
      </c>
      <c r="B159" s="107"/>
      <c r="C159" s="116" t="s">
        <v>44</v>
      </c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09"/>
      <c r="P159" s="109"/>
      <c r="Q159" s="107"/>
      <c r="R159" s="107"/>
      <c r="S159" s="107"/>
      <c r="T159" s="107"/>
      <c r="U159" s="107"/>
      <c r="V159" s="107"/>
      <c r="W159" s="110"/>
    </row>
    <row r="160" spans="1:23" x14ac:dyDescent="0.25">
      <c r="A160" s="113" t="s">
        <v>8</v>
      </c>
      <c r="B160" s="114" t="s">
        <v>9</v>
      </c>
      <c r="C160" s="114" t="s">
        <v>10</v>
      </c>
      <c r="D160" s="114" t="s">
        <v>11</v>
      </c>
      <c r="E160" s="114" t="s">
        <v>12</v>
      </c>
      <c r="F160" s="114" t="s">
        <v>13</v>
      </c>
      <c r="G160" s="114" t="s">
        <v>14</v>
      </c>
      <c r="H160" s="114"/>
      <c r="I160" s="114"/>
      <c r="J160" s="114"/>
      <c r="K160" s="114"/>
      <c r="L160" s="114"/>
      <c r="M160" s="114" t="s">
        <v>15</v>
      </c>
      <c r="N160" s="114" t="s">
        <v>16</v>
      </c>
      <c r="O160" s="114" t="s">
        <v>17</v>
      </c>
      <c r="P160" s="114" t="s">
        <v>18</v>
      </c>
      <c r="Q160" s="114" t="s">
        <v>19</v>
      </c>
      <c r="R160" s="114"/>
      <c r="S160" s="114"/>
      <c r="T160" s="114"/>
      <c r="U160" s="114"/>
      <c r="V160" s="114"/>
      <c r="W160" s="115" t="s">
        <v>20</v>
      </c>
    </row>
    <row r="161" spans="1:23" x14ac:dyDescent="0.25">
      <c r="A161" s="113"/>
      <c r="B161" s="114"/>
      <c r="C161" s="114"/>
      <c r="D161" s="114"/>
      <c r="E161" s="114"/>
      <c r="F161" s="114"/>
      <c r="G161" s="31" t="s">
        <v>21</v>
      </c>
      <c r="H161" s="31" t="s">
        <v>21</v>
      </c>
      <c r="I161" s="31" t="s">
        <v>21</v>
      </c>
      <c r="J161" s="31" t="s">
        <v>22</v>
      </c>
      <c r="K161" s="31" t="s">
        <v>22</v>
      </c>
      <c r="L161" s="32" t="s">
        <v>22</v>
      </c>
      <c r="M161" s="138"/>
      <c r="N161" s="114"/>
      <c r="O161" s="114"/>
      <c r="P161" s="114"/>
      <c r="Q161" s="31" t="s">
        <v>21</v>
      </c>
      <c r="R161" s="31" t="s">
        <v>21</v>
      </c>
      <c r="S161" s="31" t="s">
        <v>21</v>
      </c>
      <c r="T161" s="31" t="s">
        <v>22</v>
      </c>
      <c r="U161" s="31" t="s">
        <v>22</v>
      </c>
      <c r="V161" s="31" t="s">
        <v>22</v>
      </c>
      <c r="W161" s="115"/>
    </row>
    <row r="162" spans="1:23" ht="15.75" x14ac:dyDescent="0.25">
      <c r="A162" s="5">
        <v>1</v>
      </c>
      <c r="B162" s="21"/>
      <c r="C162" s="20"/>
      <c r="D162" s="36"/>
      <c r="E162" s="21"/>
      <c r="F162" s="21"/>
      <c r="G162" s="21"/>
      <c r="H162" s="21"/>
      <c r="I162" s="21"/>
      <c r="J162" s="21"/>
      <c r="K162" s="24"/>
      <c r="L162" s="29"/>
      <c r="M162" s="57"/>
      <c r="O162" s="21"/>
      <c r="P162" s="21"/>
      <c r="Q162" s="21"/>
      <c r="R162" s="21"/>
      <c r="S162" s="21"/>
      <c r="T162" s="21"/>
      <c r="U162" s="21"/>
      <c r="V162" s="21"/>
      <c r="W162" s="22"/>
    </row>
    <row r="163" spans="1:23" ht="15.75" x14ac:dyDescent="0.25">
      <c r="A163" s="6">
        <v>2</v>
      </c>
      <c r="B163" s="21"/>
      <c r="C163" s="13"/>
      <c r="D163" s="8"/>
      <c r="E163" s="8"/>
      <c r="F163" s="8"/>
      <c r="G163" s="8"/>
      <c r="H163" s="8"/>
      <c r="I163" s="8"/>
      <c r="J163" s="8"/>
      <c r="K163" s="25"/>
      <c r="L163" s="30"/>
      <c r="M163" s="57"/>
      <c r="N163" s="26"/>
      <c r="O163" s="8"/>
      <c r="P163" s="8"/>
      <c r="Q163" s="8"/>
      <c r="R163" s="8"/>
      <c r="S163" s="8"/>
      <c r="T163" s="8"/>
      <c r="U163" s="8"/>
      <c r="V163" s="8"/>
      <c r="W163" s="9"/>
    </row>
    <row r="164" spans="1:23" ht="15.75" x14ac:dyDescent="0.25">
      <c r="A164" s="6">
        <v>3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27"/>
      <c r="M164" s="27"/>
      <c r="N164" s="8"/>
      <c r="O164" s="8"/>
      <c r="P164" s="8"/>
      <c r="Q164" s="8"/>
      <c r="R164" s="8"/>
      <c r="S164" s="8"/>
      <c r="T164" s="8"/>
      <c r="U164" s="8"/>
      <c r="V164" s="8"/>
      <c r="W164" s="9"/>
    </row>
    <row r="165" spans="1:23" ht="15.75" x14ac:dyDescent="0.25">
      <c r="A165" s="5">
        <v>4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spans="1:23" ht="15.75" x14ac:dyDescent="0.25">
      <c r="A166" s="5">
        <v>5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</row>
    <row r="167" spans="1:23" ht="16.5" thickBot="1" x14ac:dyDescent="0.3">
      <c r="A167" s="7">
        <v>6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9" spans="1:23" ht="15.75" thickBot="1" x14ac:dyDescent="0.3"/>
    <row r="170" spans="1:23" ht="15.75" x14ac:dyDescent="0.25">
      <c r="A170" s="100" t="s">
        <v>260</v>
      </c>
      <c r="B170" s="101"/>
      <c r="C170" s="111" t="s">
        <v>573</v>
      </c>
      <c r="D170" s="112"/>
      <c r="E170" s="111" t="s">
        <v>571</v>
      </c>
      <c r="F170" s="112"/>
      <c r="G170" s="101" t="s">
        <v>4</v>
      </c>
      <c r="H170" s="101"/>
      <c r="I170" s="102" t="s">
        <v>135</v>
      </c>
      <c r="J170" s="102"/>
      <c r="K170" s="102"/>
      <c r="L170" s="102"/>
      <c r="M170" s="102"/>
      <c r="N170" s="102"/>
      <c r="O170" s="101" t="s">
        <v>6</v>
      </c>
      <c r="P170" s="101"/>
      <c r="Q170" s="103"/>
      <c r="R170" s="104"/>
      <c r="S170" s="104"/>
      <c r="T170" s="104"/>
      <c r="U170" s="104"/>
      <c r="V170" s="104"/>
      <c r="W170" s="105"/>
    </row>
    <row r="171" spans="1:23" ht="15.75" x14ac:dyDescent="0.25">
      <c r="A171" s="106" t="s">
        <v>7</v>
      </c>
      <c r="B171" s="107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7"/>
      <c r="R171" s="107"/>
      <c r="S171" s="107"/>
      <c r="T171" s="107"/>
      <c r="U171" s="107"/>
      <c r="V171" s="107"/>
      <c r="W171" s="110"/>
    </row>
    <row r="172" spans="1:23" x14ac:dyDescent="0.25">
      <c r="A172" s="113" t="s">
        <v>8</v>
      </c>
      <c r="B172" s="114" t="s">
        <v>9</v>
      </c>
      <c r="C172" s="114" t="s">
        <v>10</v>
      </c>
      <c r="D172" s="114" t="s">
        <v>11</v>
      </c>
      <c r="E172" s="114" t="s">
        <v>12</v>
      </c>
      <c r="F172" s="114" t="s">
        <v>13</v>
      </c>
      <c r="G172" s="114" t="s">
        <v>14</v>
      </c>
      <c r="H172" s="114"/>
      <c r="I172" s="114"/>
      <c r="J172" s="114"/>
      <c r="K172" s="114"/>
      <c r="L172" s="114"/>
      <c r="M172" s="114" t="s">
        <v>15</v>
      </c>
      <c r="N172" s="114" t="s">
        <v>16</v>
      </c>
      <c r="O172" s="114" t="s">
        <v>17</v>
      </c>
      <c r="P172" s="114" t="s">
        <v>18</v>
      </c>
      <c r="Q172" s="114" t="s">
        <v>19</v>
      </c>
      <c r="R172" s="114"/>
      <c r="S172" s="114"/>
      <c r="T172" s="114"/>
      <c r="U172" s="114"/>
      <c r="V172" s="114"/>
      <c r="W172" s="115" t="s">
        <v>20</v>
      </c>
    </row>
    <row r="173" spans="1:23" x14ac:dyDescent="0.25">
      <c r="A173" s="113"/>
      <c r="B173" s="114"/>
      <c r="C173" s="114"/>
      <c r="D173" s="114"/>
      <c r="E173" s="114"/>
      <c r="F173" s="114"/>
      <c r="G173" s="31" t="s">
        <v>21</v>
      </c>
      <c r="H173" s="31" t="s">
        <v>21</v>
      </c>
      <c r="I173" s="31" t="s">
        <v>21</v>
      </c>
      <c r="J173" s="31" t="s">
        <v>22</v>
      </c>
      <c r="K173" s="31" t="s">
        <v>22</v>
      </c>
      <c r="L173" s="32" t="s">
        <v>22</v>
      </c>
      <c r="M173" s="138"/>
      <c r="N173" s="114"/>
      <c r="O173" s="114"/>
      <c r="P173" s="114"/>
      <c r="Q173" s="31" t="s">
        <v>21</v>
      </c>
      <c r="R173" s="31" t="s">
        <v>21</v>
      </c>
      <c r="S173" s="31" t="s">
        <v>21</v>
      </c>
      <c r="T173" s="31" t="s">
        <v>22</v>
      </c>
      <c r="U173" s="31" t="s">
        <v>22</v>
      </c>
      <c r="V173" s="31" t="s">
        <v>22</v>
      </c>
      <c r="W173" s="115"/>
    </row>
    <row r="174" spans="1:23" ht="15.75" x14ac:dyDescent="0.25">
      <c r="A174" s="5">
        <v>1</v>
      </c>
      <c r="B174" s="21"/>
      <c r="C174" s="20"/>
      <c r="D174" s="36"/>
      <c r="E174" s="21"/>
      <c r="F174" s="21"/>
      <c r="G174" s="21"/>
      <c r="H174" s="21"/>
      <c r="I174" s="21"/>
      <c r="J174" s="21"/>
      <c r="K174" s="24"/>
      <c r="L174" s="29"/>
      <c r="M174" s="57"/>
      <c r="O174" s="21"/>
      <c r="P174" s="21"/>
      <c r="Q174" s="21"/>
      <c r="R174" s="21"/>
      <c r="S174" s="21"/>
      <c r="T174" s="21"/>
      <c r="U174" s="21"/>
      <c r="V174" s="21"/>
      <c r="W174" s="22"/>
    </row>
    <row r="175" spans="1:23" ht="15.75" x14ac:dyDescent="0.25">
      <c r="A175" s="6">
        <v>2</v>
      </c>
      <c r="B175" s="21"/>
      <c r="C175" s="13"/>
      <c r="D175" s="8"/>
      <c r="E175" s="8"/>
      <c r="F175" s="8"/>
      <c r="G175" s="8"/>
      <c r="H175" s="8"/>
      <c r="I175" s="8"/>
      <c r="J175" s="8"/>
      <c r="K175" s="25"/>
      <c r="L175" s="30"/>
      <c r="M175" s="57"/>
      <c r="N175" s="26"/>
      <c r="O175" s="8"/>
      <c r="P175" s="8"/>
      <c r="Q175" s="8"/>
      <c r="R175" s="8"/>
      <c r="S175" s="8"/>
      <c r="T175" s="8"/>
      <c r="U175" s="8"/>
      <c r="V175" s="8"/>
      <c r="W175" s="9"/>
    </row>
    <row r="176" spans="1:23" ht="15.75" x14ac:dyDescent="0.25">
      <c r="A176" s="6">
        <v>3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27"/>
      <c r="M176" s="27"/>
      <c r="N176" s="8"/>
      <c r="O176" s="8"/>
      <c r="P176" s="8"/>
      <c r="Q176" s="8"/>
      <c r="R176" s="8"/>
      <c r="S176" s="8"/>
      <c r="T176" s="8"/>
      <c r="U176" s="8"/>
      <c r="V176" s="8"/>
      <c r="W176" s="9"/>
    </row>
    <row r="177" spans="1:23" ht="15.75" x14ac:dyDescent="0.25">
      <c r="A177" s="5">
        <v>4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</row>
    <row r="178" spans="1:23" ht="15.75" x14ac:dyDescent="0.25">
      <c r="A178" s="5">
        <v>5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</row>
    <row r="179" spans="1:23" ht="16.5" thickBot="1" x14ac:dyDescent="0.3">
      <c r="A179" s="7">
        <v>6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1" spans="1:23" ht="15.75" thickBot="1" x14ac:dyDescent="0.3"/>
    <row r="182" spans="1:23" ht="15.75" x14ac:dyDescent="0.25">
      <c r="A182" s="100" t="s">
        <v>260</v>
      </c>
      <c r="B182" s="101"/>
      <c r="C182" s="111" t="s">
        <v>574</v>
      </c>
      <c r="D182" s="112"/>
      <c r="E182" s="111" t="s">
        <v>571</v>
      </c>
      <c r="F182" s="112"/>
      <c r="G182" s="101" t="s">
        <v>4</v>
      </c>
      <c r="H182" s="101"/>
      <c r="I182" s="102" t="s">
        <v>135</v>
      </c>
      <c r="J182" s="102"/>
      <c r="K182" s="102"/>
      <c r="L182" s="102"/>
      <c r="M182" s="102"/>
      <c r="N182" s="102"/>
      <c r="O182" s="101" t="s">
        <v>6</v>
      </c>
      <c r="P182" s="101"/>
      <c r="Q182" s="103"/>
      <c r="R182" s="104"/>
      <c r="S182" s="104"/>
      <c r="T182" s="104"/>
      <c r="U182" s="104"/>
      <c r="V182" s="104"/>
      <c r="W182" s="105"/>
    </row>
    <row r="183" spans="1:23" ht="15.75" x14ac:dyDescent="0.25">
      <c r="A183" s="106" t="s">
        <v>7</v>
      </c>
      <c r="B183" s="107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7"/>
      <c r="R183" s="107"/>
      <c r="S183" s="107"/>
      <c r="T183" s="107"/>
      <c r="U183" s="107"/>
      <c r="V183" s="107"/>
      <c r="W183" s="110"/>
    </row>
    <row r="184" spans="1:23" x14ac:dyDescent="0.25">
      <c r="A184" s="113" t="s">
        <v>8</v>
      </c>
      <c r="B184" s="114" t="s">
        <v>9</v>
      </c>
      <c r="C184" s="114" t="s">
        <v>10</v>
      </c>
      <c r="D184" s="114" t="s">
        <v>11</v>
      </c>
      <c r="E184" s="114" t="s">
        <v>12</v>
      </c>
      <c r="F184" s="114" t="s">
        <v>13</v>
      </c>
      <c r="G184" s="114" t="s">
        <v>14</v>
      </c>
      <c r="H184" s="114"/>
      <c r="I184" s="114"/>
      <c r="J184" s="114"/>
      <c r="K184" s="114"/>
      <c r="L184" s="114"/>
      <c r="M184" s="114" t="s">
        <v>15</v>
      </c>
      <c r="N184" s="114" t="s">
        <v>16</v>
      </c>
      <c r="O184" s="114" t="s">
        <v>17</v>
      </c>
      <c r="P184" s="114" t="s">
        <v>18</v>
      </c>
      <c r="Q184" s="114" t="s">
        <v>19</v>
      </c>
      <c r="R184" s="114"/>
      <c r="S184" s="114"/>
      <c r="T184" s="114"/>
      <c r="U184" s="114"/>
      <c r="V184" s="114"/>
      <c r="W184" s="115" t="s">
        <v>20</v>
      </c>
    </row>
    <row r="185" spans="1:23" x14ac:dyDescent="0.25">
      <c r="A185" s="113"/>
      <c r="B185" s="114"/>
      <c r="C185" s="114"/>
      <c r="D185" s="114"/>
      <c r="E185" s="114"/>
      <c r="F185" s="114"/>
      <c r="G185" s="31" t="s">
        <v>21</v>
      </c>
      <c r="H185" s="31" t="s">
        <v>21</v>
      </c>
      <c r="I185" s="31" t="s">
        <v>21</v>
      </c>
      <c r="J185" s="31" t="s">
        <v>22</v>
      </c>
      <c r="K185" s="31" t="s">
        <v>22</v>
      </c>
      <c r="L185" s="32" t="s">
        <v>22</v>
      </c>
      <c r="M185" s="138"/>
      <c r="N185" s="114"/>
      <c r="O185" s="114"/>
      <c r="P185" s="114"/>
      <c r="Q185" s="31" t="s">
        <v>21</v>
      </c>
      <c r="R185" s="31" t="s">
        <v>21</v>
      </c>
      <c r="S185" s="31" t="s">
        <v>21</v>
      </c>
      <c r="T185" s="31" t="s">
        <v>22</v>
      </c>
      <c r="U185" s="31" t="s">
        <v>22</v>
      </c>
      <c r="V185" s="31" t="s">
        <v>22</v>
      </c>
      <c r="W185" s="115"/>
    </row>
    <row r="186" spans="1:23" ht="15.75" x14ac:dyDescent="0.25">
      <c r="A186" s="5">
        <v>1</v>
      </c>
      <c r="B186" s="21"/>
      <c r="C186" s="20"/>
      <c r="D186" s="36"/>
      <c r="E186" s="21"/>
      <c r="F186" s="21"/>
      <c r="G186" s="21"/>
      <c r="H186" s="21"/>
      <c r="I186" s="21"/>
      <c r="J186" s="21"/>
      <c r="K186" s="24"/>
      <c r="L186" s="29"/>
      <c r="M186" s="57"/>
      <c r="O186" s="21"/>
      <c r="P186" s="21"/>
      <c r="Q186" s="21"/>
      <c r="R186" s="21"/>
      <c r="S186" s="21"/>
      <c r="T186" s="21"/>
      <c r="U186" s="21"/>
      <c r="V186" s="21"/>
      <c r="W186" s="22"/>
    </row>
    <row r="187" spans="1:23" ht="15.75" x14ac:dyDescent="0.25">
      <c r="A187" s="6">
        <v>2</v>
      </c>
      <c r="B187" s="21"/>
      <c r="C187" s="13"/>
      <c r="D187" s="8"/>
      <c r="E187" s="8"/>
      <c r="F187" s="8"/>
      <c r="G187" s="8"/>
      <c r="H187" s="8"/>
      <c r="I187" s="8"/>
      <c r="J187" s="8"/>
      <c r="K187" s="25"/>
      <c r="L187" s="30"/>
      <c r="M187" s="57"/>
      <c r="N187" s="26"/>
      <c r="O187" s="8"/>
      <c r="P187" s="8"/>
      <c r="Q187" s="8"/>
      <c r="R187" s="8"/>
      <c r="S187" s="8"/>
      <c r="T187" s="8"/>
      <c r="U187" s="8"/>
      <c r="V187" s="8"/>
      <c r="W187" s="9"/>
    </row>
    <row r="188" spans="1:23" ht="15.75" x14ac:dyDescent="0.25">
      <c r="A188" s="6">
        <v>3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27"/>
      <c r="M188" s="27"/>
      <c r="N188" s="8"/>
      <c r="O188" s="8"/>
      <c r="P188" s="8"/>
      <c r="Q188" s="8"/>
      <c r="R188" s="8"/>
      <c r="S188" s="8"/>
      <c r="T188" s="8"/>
      <c r="U188" s="8"/>
      <c r="V188" s="8"/>
      <c r="W188" s="9"/>
    </row>
    <row r="189" spans="1:23" ht="15.75" x14ac:dyDescent="0.25">
      <c r="A189" s="5">
        <v>4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</row>
    <row r="190" spans="1:23" ht="15.75" x14ac:dyDescent="0.25">
      <c r="A190" s="5">
        <v>5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</row>
    <row r="191" spans="1:23" ht="16.5" thickBot="1" x14ac:dyDescent="0.3">
      <c r="A191" s="7">
        <v>6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3" spans="1:23" ht="15.75" thickBot="1" x14ac:dyDescent="0.3"/>
    <row r="194" spans="1:23" ht="15.75" x14ac:dyDescent="0.25">
      <c r="A194" s="100" t="s">
        <v>260</v>
      </c>
      <c r="B194" s="101"/>
      <c r="C194" s="111" t="s">
        <v>575</v>
      </c>
      <c r="D194" s="112"/>
      <c r="E194" s="111" t="s">
        <v>571</v>
      </c>
      <c r="F194" s="112"/>
      <c r="G194" s="101" t="s">
        <v>4</v>
      </c>
      <c r="H194" s="101"/>
      <c r="I194" s="102" t="s">
        <v>135</v>
      </c>
      <c r="J194" s="102"/>
      <c r="K194" s="102"/>
      <c r="L194" s="102"/>
      <c r="M194" s="102"/>
      <c r="N194" s="102"/>
      <c r="O194" s="101" t="s">
        <v>6</v>
      </c>
      <c r="P194" s="101"/>
      <c r="Q194" s="103"/>
      <c r="R194" s="104"/>
      <c r="S194" s="104"/>
      <c r="T194" s="104"/>
      <c r="U194" s="104"/>
      <c r="V194" s="104"/>
      <c r="W194" s="105"/>
    </row>
    <row r="195" spans="1:23" ht="15.75" x14ac:dyDescent="0.25">
      <c r="A195" s="106" t="s">
        <v>7</v>
      </c>
      <c r="B195" s="107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7"/>
      <c r="R195" s="107"/>
      <c r="S195" s="107"/>
      <c r="T195" s="107"/>
      <c r="U195" s="107"/>
      <c r="V195" s="107"/>
      <c r="W195" s="110"/>
    </row>
    <row r="196" spans="1:23" x14ac:dyDescent="0.25">
      <c r="A196" s="113" t="s">
        <v>8</v>
      </c>
      <c r="B196" s="114" t="s">
        <v>9</v>
      </c>
      <c r="C196" s="114" t="s">
        <v>10</v>
      </c>
      <c r="D196" s="114" t="s">
        <v>11</v>
      </c>
      <c r="E196" s="114" t="s">
        <v>12</v>
      </c>
      <c r="F196" s="114" t="s">
        <v>13</v>
      </c>
      <c r="G196" s="114" t="s">
        <v>14</v>
      </c>
      <c r="H196" s="114"/>
      <c r="I196" s="114"/>
      <c r="J196" s="114"/>
      <c r="K196" s="114"/>
      <c r="L196" s="114"/>
      <c r="M196" s="114" t="s">
        <v>15</v>
      </c>
      <c r="N196" s="114" t="s">
        <v>16</v>
      </c>
      <c r="O196" s="114" t="s">
        <v>17</v>
      </c>
      <c r="P196" s="114" t="s">
        <v>18</v>
      </c>
      <c r="Q196" s="114" t="s">
        <v>19</v>
      </c>
      <c r="R196" s="114"/>
      <c r="S196" s="114"/>
      <c r="T196" s="114"/>
      <c r="U196" s="114"/>
      <c r="V196" s="114"/>
      <c r="W196" s="115" t="s">
        <v>20</v>
      </c>
    </row>
    <row r="197" spans="1:23" x14ac:dyDescent="0.25">
      <c r="A197" s="113"/>
      <c r="B197" s="114"/>
      <c r="C197" s="114"/>
      <c r="D197" s="114"/>
      <c r="E197" s="114"/>
      <c r="F197" s="114"/>
      <c r="G197" s="31" t="s">
        <v>21</v>
      </c>
      <c r="H197" s="31" t="s">
        <v>21</v>
      </c>
      <c r="I197" s="31" t="s">
        <v>21</v>
      </c>
      <c r="J197" s="31" t="s">
        <v>22</v>
      </c>
      <c r="K197" s="31" t="s">
        <v>22</v>
      </c>
      <c r="L197" s="32" t="s">
        <v>22</v>
      </c>
      <c r="M197" s="138"/>
      <c r="N197" s="114"/>
      <c r="O197" s="114"/>
      <c r="P197" s="114"/>
      <c r="Q197" s="31" t="s">
        <v>21</v>
      </c>
      <c r="R197" s="31" t="s">
        <v>21</v>
      </c>
      <c r="S197" s="31" t="s">
        <v>21</v>
      </c>
      <c r="T197" s="31" t="s">
        <v>22</v>
      </c>
      <c r="U197" s="31" t="s">
        <v>22</v>
      </c>
      <c r="V197" s="31" t="s">
        <v>22</v>
      </c>
      <c r="W197" s="115"/>
    </row>
    <row r="198" spans="1:23" ht="15.75" x14ac:dyDescent="0.25">
      <c r="A198" s="5">
        <v>1</v>
      </c>
      <c r="B198" s="21"/>
      <c r="C198" s="20"/>
      <c r="D198" s="36"/>
      <c r="E198" s="21"/>
      <c r="F198" s="21"/>
      <c r="G198" s="21"/>
      <c r="H198" s="21"/>
      <c r="I198" s="21"/>
      <c r="J198" s="21"/>
      <c r="K198" s="24"/>
      <c r="L198" s="29"/>
      <c r="M198" s="57"/>
      <c r="O198" s="21"/>
      <c r="P198" s="21"/>
      <c r="Q198" s="21"/>
      <c r="R198" s="21"/>
      <c r="S198" s="21"/>
      <c r="T198" s="21"/>
      <c r="U198" s="21"/>
      <c r="V198" s="21"/>
      <c r="W198" s="22"/>
    </row>
    <row r="199" spans="1:23" ht="15.75" x14ac:dyDescent="0.25">
      <c r="A199" s="6">
        <v>2</v>
      </c>
      <c r="B199" s="21"/>
      <c r="C199" s="13"/>
      <c r="D199" s="8"/>
      <c r="E199" s="8"/>
      <c r="F199" s="8"/>
      <c r="G199" s="8"/>
      <c r="H199" s="8"/>
      <c r="I199" s="8"/>
      <c r="J199" s="8"/>
      <c r="K199" s="25"/>
      <c r="L199" s="30"/>
      <c r="M199" s="57"/>
      <c r="N199" s="26"/>
      <c r="O199" s="8"/>
      <c r="P199" s="8"/>
      <c r="Q199" s="8"/>
      <c r="R199" s="8"/>
      <c r="S199" s="8"/>
      <c r="T199" s="8"/>
      <c r="U199" s="8"/>
      <c r="V199" s="8"/>
      <c r="W199" s="9"/>
    </row>
    <row r="200" spans="1:23" ht="15.75" x14ac:dyDescent="0.25">
      <c r="A200" s="6">
        <v>3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27"/>
      <c r="M200" s="27"/>
      <c r="N200" s="8"/>
      <c r="O200" s="8"/>
      <c r="P200" s="8"/>
      <c r="Q200" s="8"/>
      <c r="R200" s="8"/>
      <c r="S200" s="8"/>
      <c r="T200" s="8"/>
      <c r="U200" s="8"/>
      <c r="V200" s="8"/>
      <c r="W200" s="9"/>
    </row>
    <row r="201" spans="1:23" ht="15.75" x14ac:dyDescent="0.25">
      <c r="A201" s="5">
        <v>4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</row>
    <row r="202" spans="1:23" ht="15.75" x14ac:dyDescent="0.25">
      <c r="A202" s="5">
        <v>5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</row>
    <row r="203" spans="1:23" ht="16.5" thickBot="1" x14ac:dyDescent="0.3">
      <c r="A203" s="7">
        <v>6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5" spans="1:23" ht="15.75" thickBot="1" x14ac:dyDescent="0.3"/>
    <row r="206" spans="1:23" ht="15.75" x14ac:dyDescent="0.25">
      <c r="A206" s="100" t="s">
        <v>260</v>
      </c>
      <c r="B206" s="101"/>
      <c r="C206" s="111" t="s">
        <v>576</v>
      </c>
      <c r="D206" s="112"/>
      <c r="E206" s="111" t="s">
        <v>571</v>
      </c>
      <c r="F206" s="112"/>
      <c r="G206" s="101" t="s">
        <v>4</v>
      </c>
      <c r="H206" s="101"/>
      <c r="I206" s="102" t="s">
        <v>135</v>
      </c>
      <c r="J206" s="102"/>
      <c r="K206" s="102"/>
      <c r="L206" s="102"/>
      <c r="M206" s="102"/>
      <c r="N206" s="102"/>
      <c r="O206" s="101" t="s">
        <v>6</v>
      </c>
      <c r="P206" s="101"/>
      <c r="Q206" s="103"/>
      <c r="R206" s="104"/>
      <c r="S206" s="104"/>
      <c r="T206" s="104"/>
      <c r="U206" s="104"/>
      <c r="V206" s="104"/>
      <c r="W206" s="105"/>
    </row>
    <row r="207" spans="1:23" ht="15.75" x14ac:dyDescent="0.25">
      <c r="A207" s="106" t="s">
        <v>7</v>
      </c>
      <c r="B207" s="107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7"/>
      <c r="R207" s="107"/>
      <c r="S207" s="107"/>
      <c r="T207" s="107"/>
      <c r="U207" s="107"/>
      <c r="V207" s="107"/>
      <c r="W207" s="110"/>
    </row>
    <row r="208" spans="1:23" x14ac:dyDescent="0.25">
      <c r="A208" s="113" t="s">
        <v>8</v>
      </c>
      <c r="B208" s="114" t="s">
        <v>9</v>
      </c>
      <c r="C208" s="114" t="s">
        <v>10</v>
      </c>
      <c r="D208" s="114" t="s">
        <v>11</v>
      </c>
      <c r="E208" s="114" t="s">
        <v>12</v>
      </c>
      <c r="F208" s="114" t="s">
        <v>13</v>
      </c>
      <c r="G208" s="114" t="s">
        <v>14</v>
      </c>
      <c r="H208" s="114"/>
      <c r="I208" s="114"/>
      <c r="J208" s="114"/>
      <c r="K208" s="114"/>
      <c r="L208" s="114"/>
      <c r="M208" s="114" t="s">
        <v>15</v>
      </c>
      <c r="N208" s="114" t="s">
        <v>16</v>
      </c>
      <c r="O208" s="114" t="s">
        <v>17</v>
      </c>
      <c r="P208" s="114" t="s">
        <v>18</v>
      </c>
      <c r="Q208" s="114" t="s">
        <v>19</v>
      </c>
      <c r="R208" s="114"/>
      <c r="S208" s="114"/>
      <c r="T208" s="114"/>
      <c r="U208" s="114"/>
      <c r="V208" s="114"/>
      <c r="W208" s="115" t="s">
        <v>20</v>
      </c>
    </row>
    <row r="209" spans="1:23" x14ac:dyDescent="0.25">
      <c r="A209" s="113"/>
      <c r="B209" s="114"/>
      <c r="C209" s="114"/>
      <c r="D209" s="114"/>
      <c r="E209" s="114"/>
      <c r="F209" s="114"/>
      <c r="G209" s="31" t="s">
        <v>21</v>
      </c>
      <c r="H209" s="31" t="s">
        <v>21</v>
      </c>
      <c r="I209" s="31" t="s">
        <v>21</v>
      </c>
      <c r="J209" s="31" t="s">
        <v>22</v>
      </c>
      <c r="K209" s="31" t="s">
        <v>22</v>
      </c>
      <c r="L209" s="32" t="s">
        <v>22</v>
      </c>
      <c r="M209" s="138"/>
      <c r="N209" s="114"/>
      <c r="O209" s="114"/>
      <c r="P209" s="114"/>
      <c r="Q209" s="31" t="s">
        <v>21</v>
      </c>
      <c r="R209" s="31" t="s">
        <v>21</v>
      </c>
      <c r="S209" s="31" t="s">
        <v>21</v>
      </c>
      <c r="T209" s="31" t="s">
        <v>22</v>
      </c>
      <c r="U209" s="31" t="s">
        <v>22</v>
      </c>
      <c r="V209" s="31" t="s">
        <v>22</v>
      </c>
      <c r="W209" s="115"/>
    </row>
    <row r="210" spans="1:23" ht="15.75" x14ac:dyDescent="0.25">
      <c r="A210" s="5">
        <v>1</v>
      </c>
      <c r="B210" s="21"/>
      <c r="C210" s="20"/>
      <c r="D210" s="36"/>
      <c r="E210" s="21"/>
      <c r="F210" s="21"/>
      <c r="G210" s="21"/>
      <c r="H210" s="21"/>
      <c r="I210" s="21"/>
      <c r="J210" s="21"/>
      <c r="K210" s="24"/>
      <c r="L210" s="29"/>
      <c r="M210" s="57"/>
      <c r="O210" s="21"/>
      <c r="P210" s="21"/>
      <c r="Q210" s="21"/>
      <c r="R210" s="21"/>
      <c r="S210" s="21"/>
      <c r="T210" s="21"/>
      <c r="U210" s="21"/>
      <c r="V210" s="21"/>
      <c r="W210" s="22"/>
    </row>
    <row r="211" spans="1:23" ht="15.75" x14ac:dyDescent="0.25">
      <c r="A211" s="6">
        <v>2</v>
      </c>
      <c r="B211" s="21"/>
      <c r="C211" s="13"/>
      <c r="D211" s="8"/>
      <c r="E211" s="8"/>
      <c r="F211" s="8"/>
      <c r="G211" s="8"/>
      <c r="H211" s="8"/>
      <c r="I211" s="8"/>
      <c r="J211" s="8"/>
      <c r="K211" s="25"/>
      <c r="L211" s="30"/>
      <c r="M211" s="57"/>
      <c r="N211" s="26"/>
      <c r="O211" s="8"/>
      <c r="P211" s="8"/>
      <c r="Q211" s="8"/>
      <c r="R211" s="8"/>
      <c r="S211" s="8"/>
      <c r="T211" s="8"/>
      <c r="U211" s="8"/>
      <c r="V211" s="8"/>
      <c r="W211" s="9"/>
    </row>
    <row r="212" spans="1:23" ht="15.75" x14ac:dyDescent="0.25">
      <c r="A212" s="6">
        <v>3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27"/>
      <c r="M212" s="27"/>
      <c r="N212" s="8"/>
      <c r="O212" s="8"/>
      <c r="P212" s="8"/>
      <c r="Q212" s="8"/>
      <c r="R212" s="8"/>
      <c r="S212" s="8"/>
      <c r="T212" s="8"/>
      <c r="U212" s="8"/>
      <c r="V212" s="8"/>
      <c r="W212" s="9"/>
    </row>
    <row r="213" spans="1:23" ht="15.75" x14ac:dyDescent="0.25">
      <c r="A213" s="5">
        <v>4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</row>
    <row r="214" spans="1:23" ht="15.75" x14ac:dyDescent="0.25">
      <c r="A214" s="5">
        <v>5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</row>
    <row r="215" spans="1:23" ht="16.5" thickBot="1" x14ac:dyDescent="0.3">
      <c r="A215" s="7">
        <v>6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7" spans="1:23" ht="15.75" thickBot="1" x14ac:dyDescent="0.3"/>
    <row r="218" spans="1:23" ht="15.75" x14ac:dyDescent="0.25">
      <c r="A218" s="100" t="s">
        <v>260</v>
      </c>
      <c r="B218" s="101"/>
      <c r="C218" s="111" t="s">
        <v>577</v>
      </c>
      <c r="D218" s="112"/>
      <c r="E218" s="111" t="s">
        <v>578</v>
      </c>
      <c r="F218" s="112"/>
      <c r="G218" s="101" t="s">
        <v>4</v>
      </c>
      <c r="H218" s="101"/>
      <c r="I218" s="102" t="s">
        <v>366</v>
      </c>
      <c r="J218" s="102"/>
      <c r="K218" s="102"/>
      <c r="L218" s="102"/>
      <c r="M218" s="102"/>
      <c r="N218" s="102"/>
      <c r="O218" s="101" t="s">
        <v>6</v>
      </c>
      <c r="P218" s="101"/>
      <c r="Q218" s="103"/>
      <c r="R218" s="104"/>
      <c r="S218" s="104"/>
      <c r="T218" s="104"/>
      <c r="U218" s="104"/>
      <c r="V218" s="104"/>
      <c r="W218" s="105"/>
    </row>
    <row r="219" spans="1:23" ht="15.75" x14ac:dyDescent="0.25">
      <c r="A219" s="106" t="s">
        <v>7</v>
      </c>
      <c r="B219" s="107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7"/>
      <c r="R219" s="107"/>
      <c r="S219" s="107"/>
      <c r="T219" s="107"/>
      <c r="U219" s="107"/>
      <c r="V219" s="107"/>
      <c r="W219" s="110"/>
    </row>
    <row r="220" spans="1:23" x14ac:dyDescent="0.25">
      <c r="A220" s="113" t="s">
        <v>8</v>
      </c>
      <c r="B220" s="114" t="s">
        <v>9</v>
      </c>
      <c r="C220" s="114" t="s">
        <v>10</v>
      </c>
      <c r="D220" s="114" t="s">
        <v>11</v>
      </c>
      <c r="E220" s="114" t="s">
        <v>12</v>
      </c>
      <c r="F220" s="114" t="s">
        <v>13</v>
      </c>
      <c r="G220" s="114" t="s">
        <v>14</v>
      </c>
      <c r="H220" s="114"/>
      <c r="I220" s="114"/>
      <c r="J220" s="114"/>
      <c r="K220" s="114"/>
      <c r="L220" s="114"/>
      <c r="M220" s="114" t="s">
        <v>15</v>
      </c>
      <c r="N220" s="114" t="s">
        <v>16</v>
      </c>
      <c r="O220" s="114" t="s">
        <v>17</v>
      </c>
      <c r="P220" s="114" t="s">
        <v>18</v>
      </c>
      <c r="Q220" s="114" t="s">
        <v>19</v>
      </c>
      <c r="R220" s="114"/>
      <c r="S220" s="114"/>
      <c r="T220" s="114"/>
      <c r="U220" s="114"/>
      <c r="V220" s="114"/>
      <c r="W220" s="115" t="s">
        <v>20</v>
      </c>
    </row>
    <row r="221" spans="1:23" x14ac:dyDescent="0.25">
      <c r="A221" s="113"/>
      <c r="B221" s="114"/>
      <c r="C221" s="114"/>
      <c r="D221" s="114"/>
      <c r="E221" s="114"/>
      <c r="F221" s="114"/>
      <c r="G221" s="31" t="s">
        <v>21</v>
      </c>
      <c r="H221" s="31" t="s">
        <v>21</v>
      </c>
      <c r="I221" s="31" t="s">
        <v>21</v>
      </c>
      <c r="J221" s="31" t="s">
        <v>22</v>
      </c>
      <c r="K221" s="31" t="s">
        <v>22</v>
      </c>
      <c r="L221" s="32" t="s">
        <v>22</v>
      </c>
      <c r="M221" s="138"/>
      <c r="N221" s="114"/>
      <c r="O221" s="114"/>
      <c r="P221" s="114"/>
      <c r="Q221" s="31" t="s">
        <v>21</v>
      </c>
      <c r="R221" s="31" t="s">
        <v>21</v>
      </c>
      <c r="S221" s="31" t="s">
        <v>21</v>
      </c>
      <c r="T221" s="31" t="s">
        <v>22</v>
      </c>
      <c r="U221" s="31" t="s">
        <v>22</v>
      </c>
      <c r="V221" s="31" t="s">
        <v>22</v>
      </c>
      <c r="W221" s="115"/>
    </row>
    <row r="222" spans="1:23" ht="15.75" x14ac:dyDescent="0.25">
      <c r="A222" s="5">
        <v>1</v>
      </c>
      <c r="B222" s="21"/>
      <c r="C222" s="20"/>
      <c r="D222" s="36"/>
      <c r="E222" s="21"/>
      <c r="F222" s="21"/>
      <c r="G222" s="21"/>
      <c r="H222" s="21"/>
      <c r="I222" s="21"/>
      <c r="J222" s="21"/>
      <c r="K222" s="24"/>
      <c r="L222" s="29"/>
      <c r="M222" s="57"/>
      <c r="O222" s="21"/>
      <c r="P222" s="21"/>
      <c r="Q222" s="21"/>
      <c r="R222" s="21"/>
      <c r="S222" s="21"/>
      <c r="T222" s="21"/>
      <c r="U222" s="21"/>
      <c r="V222" s="21"/>
      <c r="W222" s="22"/>
    </row>
    <row r="223" spans="1:23" ht="15.75" x14ac:dyDescent="0.25">
      <c r="A223" s="6">
        <v>2</v>
      </c>
      <c r="B223" s="21"/>
      <c r="C223" s="13"/>
      <c r="D223" s="8"/>
      <c r="E223" s="8"/>
      <c r="F223" s="8"/>
      <c r="G223" s="8"/>
      <c r="H223" s="8"/>
      <c r="I223" s="8"/>
      <c r="J223" s="8"/>
      <c r="K223" s="25"/>
      <c r="L223" s="30"/>
      <c r="M223" s="57"/>
      <c r="N223" s="26"/>
      <c r="O223" s="8"/>
      <c r="P223" s="8"/>
      <c r="Q223" s="8"/>
      <c r="R223" s="8"/>
      <c r="S223" s="8"/>
      <c r="T223" s="8"/>
      <c r="U223" s="8"/>
      <c r="V223" s="8"/>
      <c r="W223" s="9"/>
    </row>
    <row r="224" spans="1:23" ht="15.75" x14ac:dyDescent="0.25">
      <c r="A224" s="6">
        <v>3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27"/>
      <c r="M224" s="27"/>
      <c r="N224" s="8"/>
      <c r="O224" s="8"/>
      <c r="P224" s="8"/>
      <c r="Q224" s="8"/>
      <c r="R224" s="8"/>
      <c r="S224" s="8"/>
      <c r="T224" s="8"/>
      <c r="U224" s="8"/>
      <c r="V224" s="8"/>
      <c r="W224" s="9"/>
    </row>
    <row r="225" spans="1:23" ht="15.75" x14ac:dyDescent="0.25">
      <c r="A225" s="5">
        <v>4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</row>
    <row r="226" spans="1:23" ht="15.75" x14ac:dyDescent="0.25">
      <c r="A226" s="5">
        <v>5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</row>
    <row r="227" spans="1:23" ht="16.5" thickBot="1" x14ac:dyDescent="0.3">
      <c r="A227" s="7">
        <v>6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9" spans="1:23" ht="15.75" thickBot="1" x14ac:dyDescent="0.3"/>
    <row r="230" spans="1:23" ht="15.75" x14ac:dyDescent="0.25">
      <c r="A230" s="100" t="s">
        <v>260</v>
      </c>
      <c r="B230" s="101"/>
      <c r="C230" s="111" t="s">
        <v>579</v>
      </c>
      <c r="D230" s="112"/>
      <c r="E230" s="111" t="s">
        <v>578</v>
      </c>
      <c r="F230" s="112"/>
      <c r="G230" s="101" t="s">
        <v>4</v>
      </c>
      <c r="H230" s="101"/>
      <c r="I230" s="102" t="s">
        <v>366</v>
      </c>
      <c r="J230" s="102"/>
      <c r="K230" s="102"/>
      <c r="L230" s="102"/>
      <c r="M230" s="102"/>
      <c r="N230" s="102"/>
      <c r="O230" s="101" t="s">
        <v>6</v>
      </c>
      <c r="P230" s="101"/>
      <c r="Q230" s="103"/>
      <c r="R230" s="104"/>
      <c r="S230" s="104"/>
      <c r="T230" s="104"/>
      <c r="U230" s="104"/>
      <c r="V230" s="104"/>
      <c r="W230" s="105"/>
    </row>
    <row r="231" spans="1:23" ht="15.75" x14ac:dyDescent="0.25">
      <c r="A231" s="106" t="s">
        <v>7</v>
      </c>
      <c r="B231" s="107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7"/>
      <c r="R231" s="107"/>
      <c r="S231" s="107"/>
      <c r="T231" s="107"/>
      <c r="U231" s="107"/>
      <c r="V231" s="107"/>
      <c r="W231" s="110"/>
    </row>
    <row r="232" spans="1:23" x14ac:dyDescent="0.25">
      <c r="A232" s="113" t="s">
        <v>8</v>
      </c>
      <c r="B232" s="114" t="s">
        <v>9</v>
      </c>
      <c r="C232" s="114" t="s">
        <v>10</v>
      </c>
      <c r="D232" s="114" t="s">
        <v>11</v>
      </c>
      <c r="E232" s="114" t="s">
        <v>12</v>
      </c>
      <c r="F232" s="114" t="s">
        <v>13</v>
      </c>
      <c r="G232" s="114" t="s">
        <v>14</v>
      </c>
      <c r="H232" s="114"/>
      <c r="I232" s="114"/>
      <c r="J232" s="114"/>
      <c r="K232" s="114"/>
      <c r="L232" s="114"/>
      <c r="M232" s="114" t="s">
        <v>15</v>
      </c>
      <c r="N232" s="114" t="s">
        <v>16</v>
      </c>
      <c r="O232" s="114" t="s">
        <v>17</v>
      </c>
      <c r="P232" s="114" t="s">
        <v>18</v>
      </c>
      <c r="Q232" s="114" t="s">
        <v>19</v>
      </c>
      <c r="R232" s="114"/>
      <c r="S232" s="114"/>
      <c r="T232" s="114"/>
      <c r="U232" s="114"/>
      <c r="V232" s="114"/>
      <c r="W232" s="115" t="s">
        <v>20</v>
      </c>
    </row>
    <row r="233" spans="1:23" x14ac:dyDescent="0.25">
      <c r="A233" s="113"/>
      <c r="B233" s="114"/>
      <c r="C233" s="114"/>
      <c r="D233" s="114"/>
      <c r="E233" s="114"/>
      <c r="F233" s="114"/>
      <c r="G233" s="31" t="s">
        <v>21</v>
      </c>
      <c r="H233" s="31" t="s">
        <v>21</v>
      </c>
      <c r="I233" s="31" t="s">
        <v>21</v>
      </c>
      <c r="J233" s="31" t="s">
        <v>22</v>
      </c>
      <c r="K233" s="31" t="s">
        <v>22</v>
      </c>
      <c r="L233" s="32" t="s">
        <v>22</v>
      </c>
      <c r="M233" s="138"/>
      <c r="N233" s="114"/>
      <c r="O233" s="114"/>
      <c r="P233" s="114"/>
      <c r="Q233" s="31" t="s">
        <v>21</v>
      </c>
      <c r="R233" s="31" t="s">
        <v>21</v>
      </c>
      <c r="S233" s="31" t="s">
        <v>21</v>
      </c>
      <c r="T233" s="31" t="s">
        <v>22</v>
      </c>
      <c r="U233" s="31" t="s">
        <v>22</v>
      </c>
      <c r="V233" s="31" t="s">
        <v>22</v>
      </c>
      <c r="W233" s="115"/>
    </row>
    <row r="234" spans="1:23" ht="15.75" x14ac:dyDescent="0.25">
      <c r="A234" s="5">
        <v>1</v>
      </c>
      <c r="B234" s="21"/>
      <c r="C234" s="20"/>
      <c r="D234" s="36"/>
      <c r="E234" s="21"/>
      <c r="F234" s="21"/>
      <c r="G234" s="21"/>
      <c r="H234" s="21"/>
      <c r="I234" s="21"/>
      <c r="J234" s="21"/>
      <c r="K234" s="24"/>
      <c r="L234" s="29"/>
      <c r="M234" s="57"/>
      <c r="O234" s="21"/>
      <c r="P234" s="21"/>
      <c r="Q234" s="21"/>
      <c r="R234" s="21"/>
      <c r="S234" s="21"/>
      <c r="T234" s="21"/>
      <c r="U234" s="21"/>
      <c r="V234" s="21"/>
      <c r="W234" s="22"/>
    </row>
    <row r="235" spans="1:23" ht="15.75" x14ac:dyDescent="0.25">
      <c r="A235" s="6">
        <v>2</v>
      </c>
      <c r="B235" s="21"/>
      <c r="C235" s="13"/>
      <c r="D235" s="8"/>
      <c r="E235" s="8"/>
      <c r="F235" s="8"/>
      <c r="G235" s="8"/>
      <c r="H235" s="8"/>
      <c r="I235" s="8"/>
      <c r="J235" s="8"/>
      <c r="K235" s="25"/>
      <c r="L235" s="30"/>
      <c r="M235" s="57"/>
      <c r="N235" s="26"/>
      <c r="O235" s="8"/>
      <c r="P235" s="8"/>
      <c r="Q235" s="8"/>
      <c r="R235" s="8"/>
      <c r="S235" s="8"/>
      <c r="T235" s="8"/>
      <c r="U235" s="8"/>
      <c r="V235" s="8"/>
      <c r="W235" s="9"/>
    </row>
    <row r="236" spans="1:23" ht="15.75" x14ac:dyDescent="0.25">
      <c r="A236" s="6">
        <v>3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27"/>
      <c r="M236" s="27"/>
      <c r="N236" s="8"/>
      <c r="O236" s="8"/>
      <c r="P236" s="8"/>
      <c r="Q236" s="8"/>
      <c r="R236" s="8"/>
      <c r="S236" s="8"/>
      <c r="T236" s="8"/>
      <c r="U236" s="8"/>
      <c r="V236" s="8"/>
      <c r="W236" s="9"/>
    </row>
    <row r="237" spans="1:23" ht="15.75" x14ac:dyDescent="0.25">
      <c r="A237" s="5">
        <v>4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</row>
    <row r="238" spans="1:23" ht="15.75" x14ac:dyDescent="0.25">
      <c r="A238" s="5">
        <v>5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</row>
    <row r="239" spans="1:23" ht="16.5" thickBot="1" x14ac:dyDescent="0.3">
      <c r="A239" s="7">
        <v>6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</sheetData>
  <mergeCells count="480">
    <mergeCell ref="Q2:W2"/>
    <mergeCell ref="A3:B3"/>
    <mergeCell ref="C3:N3"/>
    <mergeCell ref="O3:P3"/>
    <mergeCell ref="Q3:W3"/>
    <mergeCell ref="A4:A5"/>
    <mergeCell ref="B4:B5"/>
    <mergeCell ref="C4:C5"/>
    <mergeCell ref="D4:D5"/>
    <mergeCell ref="E4:E5"/>
    <mergeCell ref="A2:B2"/>
    <mergeCell ref="C2:D2"/>
    <mergeCell ref="E2:F2"/>
    <mergeCell ref="G2:H2"/>
    <mergeCell ref="I2:N2"/>
    <mergeCell ref="O2:P2"/>
    <mergeCell ref="Q4:V4"/>
    <mergeCell ref="W4:W5"/>
    <mergeCell ref="A14:B14"/>
    <mergeCell ref="C14:D14"/>
    <mergeCell ref="E14:F14"/>
    <mergeCell ref="G14:H14"/>
    <mergeCell ref="I14:N14"/>
    <mergeCell ref="O14:P14"/>
    <mergeCell ref="Q14:W14"/>
    <mergeCell ref="F4:F5"/>
    <mergeCell ref="G4:L4"/>
    <mergeCell ref="M4:M5"/>
    <mergeCell ref="N4:N5"/>
    <mergeCell ref="O4:O5"/>
    <mergeCell ref="P4:P5"/>
    <mergeCell ref="A15:B15"/>
    <mergeCell ref="C15:N15"/>
    <mergeCell ref="O15:P15"/>
    <mergeCell ref="Q15:W15"/>
    <mergeCell ref="A16:A17"/>
    <mergeCell ref="B16:B17"/>
    <mergeCell ref="C16:C17"/>
    <mergeCell ref="D16:D17"/>
    <mergeCell ref="E16:E17"/>
    <mergeCell ref="F16:F17"/>
    <mergeCell ref="W16:W17"/>
    <mergeCell ref="A26:B26"/>
    <mergeCell ref="C26:D26"/>
    <mergeCell ref="E26:F26"/>
    <mergeCell ref="G26:H26"/>
    <mergeCell ref="I26:N26"/>
    <mergeCell ref="O26:P26"/>
    <mergeCell ref="Q26:W26"/>
    <mergeCell ref="G16:L16"/>
    <mergeCell ref="M16:M17"/>
    <mergeCell ref="N16:N17"/>
    <mergeCell ref="O16:O17"/>
    <mergeCell ref="P16:P17"/>
    <mergeCell ref="Q16:V16"/>
    <mergeCell ref="A27:B27"/>
    <mergeCell ref="C27:N27"/>
    <mergeCell ref="O27:P27"/>
    <mergeCell ref="Q27:W27"/>
    <mergeCell ref="A28:A29"/>
    <mergeCell ref="B28:B29"/>
    <mergeCell ref="C28:C29"/>
    <mergeCell ref="D28:D29"/>
    <mergeCell ref="E28:E29"/>
    <mergeCell ref="F28:F29"/>
    <mergeCell ref="W28:W29"/>
    <mergeCell ref="A38:B38"/>
    <mergeCell ref="C38:D38"/>
    <mergeCell ref="E38:F38"/>
    <mergeCell ref="G38:H38"/>
    <mergeCell ref="I38:N38"/>
    <mergeCell ref="O38:P38"/>
    <mergeCell ref="Q38:W38"/>
    <mergeCell ref="G28:L28"/>
    <mergeCell ref="M28:M29"/>
    <mergeCell ref="N28:N29"/>
    <mergeCell ref="O28:O29"/>
    <mergeCell ref="P28:P29"/>
    <mergeCell ref="Q28:V28"/>
    <mergeCell ref="A39:B39"/>
    <mergeCell ref="C39:N39"/>
    <mergeCell ref="O39:P39"/>
    <mergeCell ref="Q39:W39"/>
    <mergeCell ref="A40:A41"/>
    <mergeCell ref="B40:B41"/>
    <mergeCell ref="C40:C41"/>
    <mergeCell ref="D40:D41"/>
    <mergeCell ref="E40:E41"/>
    <mergeCell ref="F40:F41"/>
    <mergeCell ref="W40:W41"/>
    <mergeCell ref="A50:B50"/>
    <mergeCell ref="C50:D50"/>
    <mergeCell ref="E50:F50"/>
    <mergeCell ref="G50:H50"/>
    <mergeCell ref="I50:N50"/>
    <mergeCell ref="O50:P50"/>
    <mergeCell ref="Q50:W50"/>
    <mergeCell ref="G40:L40"/>
    <mergeCell ref="M40:M41"/>
    <mergeCell ref="N40:N41"/>
    <mergeCell ref="O40:O41"/>
    <mergeCell ref="P40:P41"/>
    <mergeCell ref="Q40:V40"/>
    <mergeCell ref="A51:B51"/>
    <mergeCell ref="C51:N51"/>
    <mergeCell ref="O51:P51"/>
    <mergeCell ref="Q51:W51"/>
    <mergeCell ref="A52:A53"/>
    <mergeCell ref="B52:B53"/>
    <mergeCell ref="C52:C53"/>
    <mergeCell ref="D52:D53"/>
    <mergeCell ref="E52:E53"/>
    <mergeCell ref="F52:F53"/>
    <mergeCell ref="W52:W53"/>
    <mergeCell ref="A62:B62"/>
    <mergeCell ref="C62:D62"/>
    <mergeCell ref="E62:F62"/>
    <mergeCell ref="G62:H62"/>
    <mergeCell ref="I62:N62"/>
    <mergeCell ref="O62:P62"/>
    <mergeCell ref="Q62:W62"/>
    <mergeCell ref="G52:L52"/>
    <mergeCell ref="M52:M53"/>
    <mergeCell ref="N52:N53"/>
    <mergeCell ref="O52:O53"/>
    <mergeCell ref="P52:P53"/>
    <mergeCell ref="Q52:V52"/>
    <mergeCell ref="A63:B63"/>
    <mergeCell ref="C63:N63"/>
    <mergeCell ref="O63:P63"/>
    <mergeCell ref="Q63:W63"/>
    <mergeCell ref="A64:A65"/>
    <mergeCell ref="B64:B65"/>
    <mergeCell ref="C64:C65"/>
    <mergeCell ref="D64:D65"/>
    <mergeCell ref="E64:E65"/>
    <mergeCell ref="F64:F65"/>
    <mergeCell ref="W64:W65"/>
    <mergeCell ref="A74:B74"/>
    <mergeCell ref="C74:D74"/>
    <mergeCell ref="E74:F74"/>
    <mergeCell ref="G74:H74"/>
    <mergeCell ref="I74:N74"/>
    <mergeCell ref="O74:P74"/>
    <mergeCell ref="Q74:W74"/>
    <mergeCell ref="G64:L64"/>
    <mergeCell ref="M64:M65"/>
    <mergeCell ref="N64:N65"/>
    <mergeCell ref="O64:O65"/>
    <mergeCell ref="P64:P65"/>
    <mergeCell ref="Q64:V64"/>
    <mergeCell ref="A75:B75"/>
    <mergeCell ref="C75:N75"/>
    <mergeCell ref="O75:P75"/>
    <mergeCell ref="Q75:W75"/>
    <mergeCell ref="A76:A77"/>
    <mergeCell ref="B76:B77"/>
    <mergeCell ref="C76:C77"/>
    <mergeCell ref="D76:D77"/>
    <mergeCell ref="E76:E77"/>
    <mergeCell ref="F76:F77"/>
    <mergeCell ref="W76:W77"/>
    <mergeCell ref="A86:B86"/>
    <mergeCell ref="C86:D86"/>
    <mergeCell ref="E86:F86"/>
    <mergeCell ref="G86:H86"/>
    <mergeCell ref="I86:N86"/>
    <mergeCell ref="O86:P86"/>
    <mergeCell ref="Q86:W86"/>
    <mergeCell ref="G76:L76"/>
    <mergeCell ref="M76:M77"/>
    <mergeCell ref="N76:N77"/>
    <mergeCell ref="O76:O77"/>
    <mergeCell ref="P76:P77"/>
    <mergeCell ref="Q76:V76"/>
    <mergeCell ref="A87:B87"/>
    <mergeCell ref="C87:N87"/>
    <mergeCell ref="O87:P87"/>
    <mergeCell ref="Q87:W87"/>
    <mergeCell ref="A88:A89"/>
    <mergeCell ref="B88:B89"/>
    <mergeCell ref="C88:C89"/>
    <mergeCell ref="D88:D89"/>
    <mergeCell ref="E88:E89"/>
    <mergeCell ref="F88:F89"/>
    <mergeCell ref="W88:W89"/>
    <mergeCell ref="A98:B98"/>
    <mergeCell ref="C98:D98"/>
    <mergeCell ref="E98:F98"/>
    <mergeCell ref="G98:H98"/>
    <mergeCell ref="I98:N98"/>
    <mergeCell ref="O98:P98"/>
    <mergeCell ref="Q98:W98"/>
    <mergeCell ref="G88:L88"/>
    <mergeCell ref="M88:M89"/>
    <mergeCell ref="N88:N89"/>
    <mergeCell ref="O88:O89"/>
    <mergeCell ref="P88:P89"/>
    <mergeCell ref="Q88:V88"/>
    <mergeCell ref="A99:B99"/>
    <mergeCell ref="C99:N99"/>
    <mergeCell ref="O99:P99"/>
    <mergeCell ref="Q99:W99"/>
    <mergeCell ref="A100:A101"/>
    <mergeCell ref="B100:B101"/>
    <mergeCell ref="C100:C101"/>
    <mergeCell ref="D100:D101"/>
    <mergeCell ref="E100:E101"/>
    <mergeCell ref="F100:F101"/>
    <mergeCell ref="W100:W101"/>
    <mergeCell ref="A110:B110"/>
    <mergeCell ref="C110:D110"/>
    <mergeCell ref="E110:F110"/>
    <mergeCell ref="G110:H110"/>
    <mergeCell ref="I110:N110"/>
    <mergeCell ref="O110:P110"/>
    <mergeCell ref="Q110:W110"/>
    <mergeCell ref="G100:L100"/>
    <mergeCell ref="M100:M101"/>
    <mergeCell ref="N100:N101"/>
    <mergeCell ref="O100:O101"/>
    <mergeCell ref="P100:P101"/>
    <mergeCell ref="Q100:V100"/>
    <mergeCell ref="A111:B111"/>
    <mergeCell ref="C111:N111"/>
    <mergeCell ref="O111:P111"/>
    <mergeCell ref="Q111:W111"/>
    <mergeCell ref="A112:A113"/>
    <mergeCell ref="B112:B113"/>
    <mergeCell ref="C112:C113"/>
    <mergeCell ref="D112:D113"/>
    <mergeCell ref="E112:E113"/>
    <mergeCell ref="F112:F113"/>
    <mergeCell ref="W112:W113"/>
    <mergeCell ref="A122:B122"/>
    <mergeCell ref="C122:D122"/>
    <mergeCell ref="E122:F122"/>
    <mergeCell ref="G122:H122"/>
    <mergeCell ref="I122:N122"/>
    <mergeCell ref="O122:P122"/>
    <mergeCell ref="Q122:W122"/>
    <mergeCell ref="G112:L112"/>
    <mergeCell ref="M112:M113"/>
    <mergeCell ref="N112:N113"/>
    <mergeCell ref="O112:O113"/>
    <mergeCell ref="P112:P113"/>
    <mergeCell ref="Q112:V112"/>
    <mergeCell ref="A123:B123"/>
    <mergeCell ref="C123:N123"/>
    <mergeCell ref="O123:P123"/>
    <mergeCell ref="Q123:W123"/>
    <mergeCell ref="A124:A125"/>
    <mergeCell ref="B124:B125"/>
    <mergeCell ref="C124:C125"/>
    <mergeCell ref="D124:D125"/>
    <mergeCell ref="E124:E125"/>
    <mergeCell ref="F124:F125"/>
    <mergeCell ref="W124:W125"/>
    <mergeCell ref="A134:B134"/>
    <mergeCell ref="C134:D134"/>
    <mergeCell ref="E134:F134"/>
    <mergeCell ref="G134:H134"/>
    <mergeCell ref="I134:N134"/>
    <mergeCell ref="O134:P134"/>
    <mergeCell ref="Q134:W134"/>
    <mergeCell ref="G124:L124"/>
    <mergeCell ref="M124:M125"/>
    <mergeCell ref="N124:N125"/>
    <mergeCell ref="O124:O125"/>
    <mergeCell ref="P124:P125"/>
    <mergeCell ref="Q124:V124"/>
    <mergeCell ref="A135:B135"/>
    <mergeCell ref="C135:N135"/>
    <mergeCell ref="O135:P135"/>
    <mergeCell ref="Q135:W135"/>
    <mergeCell ref="A136:A137"/>
    <mergeCell ref="B136:B137"/>
    <mergeCell ref="C136:C137"/>
    <mergeCell ref="D136:D137"/>
    <mergeCell ref="E136:E137"/>
    <mergeCell ref="F136:F137"/>
    <mergeCell ref="W136:W137"/>
    <mergeCell ref="A146:B146"/>
    <mergeCell ref="C146:D146"/>
    <mergeCell ref="E146:F146"/>
    <mergeCell ref="G146:H146"/>
    <mergeCell ref="I146:N146"/>
    <mergeCell ref="O146:P146"/>
    <mergeCell ref="Q146:W146"/>
    <mergeCell ref="G136:L136"/>
    <mergeCell ref="M136:M137"/>
    <mergeCell ref="N136:N137"/>
    <mergeCell ref="O136:O137"/>
    <mergeCell ref="P136:P137"/>
    <mergeCell ref="Q136:V136"/>
    <mergeCell ref="A147:B147"/>
    <mergeCell ref="C147:N147"/>
    <mergeCell ref="O147:P147"/>
    <mergeCell ref="Q147:W147"/>
    <mergeCell ref="A148:A149"/>
    <mergeCell ref="B148:B149"/>
    <mergeCell ref="C148:C149"/>
    <mergeCell ref="D148:D149"/>
    <mergeCell ref="E148:E149"/>
    <mergeCell ref="F148:F149"/>
    <mergeCell ref="W148:W149"/>
    <mergeCell ref="A158:B158"/>
    <mergeCell ref="C158:D158"/>
    <mergeCell ref="E158:F158"/>
    <mergeCell ref="G158:H158"/>
    <mergeCell ref="I158:N158"/>
    <mergeCell ref="O158:P158"/>
    <mergeCell ref="Q158:W158"/>
    <mergeCell ref="G148:L148"/>
    <mergeCell ref="M148:M149"/>
    <mergeCell ref="N148:N149"/>
    <mergeCell ref="O148:O149"/>
    <mergeCell ref="P148:P149"/>
    <mergeCell ref="Q148:V148"/>
    <mergeCell ref="A159:B159"/>
    <mergeCell ref="C159:N159"/>
    <mergeCell ref="O159:P159"/>
    <mergeCell ref="Q159:W159"/>
    <mergeCell ref="A160:A161"/>
    <mergeCell ref="B160:B161"/>
    <mergeCell ref="C160:C161"/>
    <mergeCell ref="D160:D161"/>
    <mergeCell ref="E160:E161"/>
    <mergeCell ref="F160:F161"/>
    <mergeCell ref="W160:W161"/>
    <mergeCell ref="A170:B170"/>
    <mergeCell ref="C170:D170"/>
    <mergeCell ref="E170:F170"/>
    <mergeCell ref="G170:H170"/>
    <mergeCell ref="I170:N170"/>
    <mergeCell ref="O170:P170"/>
    <mergeCell ref="Q170:W170"/>
    <mergeCell ref="G160:L160"/>
    <mergeCell ref="M160:M161"/>
    <mergeCell ref="N160:N161"/>
    <mergeCell ref="O160:O161"/>
    <mergeCell ref="P160:P161"/>
    <mergeCell ref="Q160:V160"/>
    <mergeCell ref="A171:B171"/>
    <mergeCell ref="C171:N171"/>
    <mergeCell ref="O171:P171"/>
    <mergeCell ref="Q171:W171"/>
    <mergeCell ref="A172:A173"/>
    <mergeCell ref="B172:B173"/>
    <mergeCell ref="C172:C173"/>
    <mergeCell ref="D172:D173"/>
    <mergeCell ref="E172:E173"/>
    <mergeCell ref="F172:F173"/>
    <mergeCell ref="W172:W173"/>
    <mergeCell ref="A182:B182"/>
    <mergeCell ref="C182:D182"/>
    <mergeCell ref="E182:F182"/>
    <mergeCell ref="G182:H182"/>
    <mergeCell ref="I182:N182"/>
    <mergeCell ref="O182:P182"/>
    <mergeCell ref="Q182:W182"/>
    <mergeCell ref="G172:L172"/>
    <mergeCell ref="M172:M173"/>
    <mergeCell ref="N172:N173"/>
    <mergeCell ref="O172:O173"/>
    <mergeCell ref="P172:P173"/>
    <mergeCell ref="Q172:V172"/>
    <mergeCell ref="A183:B183"/>
    <mergeCell ref="C183:N183"/>
    <mergeCell ref="O183:P183"/>
    <mergeCell ref="Q183:W183"/>
    <mergeCell ref="A184:A185"/>
    <mergeCell ref="B184:B185"/>
    <mergeCell ref="C184:C185"/>
    <mergeCell ref="D184:D185"/>
    <mergeCell ref="E184:E185"/>
    <mergeCell ref="F184:F185"/>
    <mergeCell ref="W184:W185"/>
    <mergeCell ref="A194:B194"/>
    <mergeCell ref="C194:D194"/>
    <mergeCell ref="E194:F194"/>
    <mergeCell ref="G194:H194"/>
    <mergeCell ref="I194:N194"/>
    <mergeCell ref="O194:P194"/>
    <mergeCell ref="Q194:W194"/>
    <mergeCell ref="G184:L184"/>
    <mergeCell ref="M184:M185"/>
    <mergeCell ref="N184:N185"/>
    <mergeCell ref="O184:O185"/>
    <mergeCell ref="P184:P185"/>
    <mergeCell ref="Q184:V184"/>
    <mergeCell ref="A195:B195"/>
    <mergeCell ref="C195:N195"/>
    <mergeCell ref="O195:P195"/>
    <mergeCell ref="Q195:W195"/>
    <mergeCell ref="A196:A197"/>
    <mergeCell ref="B196:B197"/>
    <mergeCell ref="C196:C197"/>
    <mergeCell ref="D196:D197"/>
    <mergeCell ref="E196:E197"/>
    <mergeCell ref="F196:F197"/>
    <mergeCell ref="W196:W197"/>
    <mergeCell ref="A206:B206"/>
    <mergeCell ref="C206:D206"/>
    <mergeCell ref="E206:F206"/>
    <mergeCell ref="G206:H206"/>
    <mergeCell ref="I206:N206"/>
    <mergeCell ref="O206:P206"/>
    <mergeCell ref="Q206:W206"/>
    <mergeCell ref="G196:L196"/>
    <mergeCell ref="M196:M197"/>
    <mergeCell ref="N196:N197"/>
    <mergeCell ref="O196:O197"/>
    <mergeCell ref="P196:P197"/>
    <mergeCell ref="Q196:V196"/>
    <mergeCell ref="A207:B207"/>
    <mergeCell ref="C207:N207"/>
    <mergeCell ref="O207:P207"/>
    <mergeCell ref="Q207:W207"/>
    <mergeCell ref="A208:A209"/>
    <mergeCell ref="B208:B209"/>
    <mergeCell ref="C208:C209"/>
    <mergeCell ref="D208:D209"/>
    <mergeCell ref="E208:E209"/>
    <mergeCell ref="F208:F209"/>
    <mergeCell ref="W208:W209"/>
    <mergeCell ref="A218:B218"/>
    <mergeCell ref="C218:D218"/>
    <mergeCell ref="E218:F218"/>
    <mergeCell ref="G218:H218"/>
    <mergeCell ref="I218:N218"/>
    <mergeCell ref="O218:P218"/>
    <mergeCell ref="Q218:W218"/>
    <mergeCell ref="G208:L208"/>
    <mergeCell ref="M208:M209"/>
    <mergeCell ref="N208:N209"/>
    <mergeCell ref="O208:O209"/>
    <mergeCell ref="P208:P209"/>
    <mergeCell ref="Q208:V208"/>
    <mergeCell ref="A219:B219"/>
    <mergeCell ref="C219:N219"/>
    <mergeCell ref="O219:P219"/>
    <mergeCell ref="Q219:W219"/>
    <mergeCell ref="A220:A221"/>
    <mergeCell ref="B220:B221"/>
    <mergeCell ref="C220:C221"/>
    <mergeCell ref="D220:D221"/>
    <mergeCell ref="E220:E221"/>
    <mergeCell ref="F220:F221"/>
    <mergeCell ref="W220:W221"/>
    <mergeCell ref="A230:B230"/>
    <mergeCell ref="C230:D230"/>
    <mergeCell ref="E230:F230"/>
    <mergeCell ref="G230:H230"/>
    <mergeCell ref="I230:N230"/>
    <mergeCell ref="O230:P230"/>
    <mergeCell ref="Q230:W230"/>
    <mergeCell ref="G220:L220"/>
    <mergeCell ref="M220:M221"/>
    <mergeCell ref="N220:N221"/>
    <mergeCell ref="O220:O221"/>
    <mergeCell ref="P220:P221"/>
    <mergeCell ref="Q220:V220"/>
    <mergeCell ref="W232:W233"/>
    <mergeCell ref="G232:L232"/>
    <mergeCell ref="M232:M233"/>
    <mergeCell ref="N232:N233"/>
    <mergeCell ref="O232:O233"/>
    <mergeCell ref="P232:P233"/>
    <mergeCell ref="Q232:V232"/>
    <mergeCell ref="A231:B231"/>
    <mergeCell ref="C231:N231"/>
    <mergeCell ref="O231:P231"/>
    <mergeCell ref="Q231:W231"/>
    <mergeCell ref="A232:A233"/>
    <mergeCell ref="B232:B233"/>
    <mergeCell ref="C232:C233"/>
    <mergeCell ref="D232:D233"/>
    <mergeCell ref="E232:E233"/>
    <mergeCell ref="F232:F23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7DA6-CBF0-44B7-A896-D1F6DEDBC2BD}">
  <dimension ref="A1:W119"/>
  <sheetViews>
    <sheetView workbookViewId="0">
      <selection activeCell="B19" sqref="B19"/>
    </sheetView>
  </sheetViews>
  <sheetFormatPr baseColWidth="10" defaultRowHeight="15" x14ac:dyDescent="0.25"/>
  <cols>
    <col min="2" max="2" width="8.5703125" customWidth="1"/>
    <col min="3" max="3" width="12.7109375" bestFit="1" customWidth="1"/>
    <col min="5" max="5" width="9.42578125" customWidth="1"/>
    <col min="7" max="7" width="6.28515625" customWidth="1"/>
    <col min="8" max="9" width="5.85546875" customWidth="1"/>
    <col min="10" max="11" width="5.5703125" customWidth="1"/>
    <col min="12" max="12" width="5.7109375" customWidth="1"/>
    <col min="13" max="13" width="10" customWidth="1"/>
    <col min="15" max="15" width="9" customWidth="1"/>
    <col min="17" max="17" width="6.28515625" customWidth="1"/>
    <col min="18" max="18" width="5.85546875" customWidth="1"/>
    <col min="19" max="19" width="5.42578125" customWidth="1"/>
    <col min="20" max="20" width="6" customWidth="1"/>
    <col min="21" max="21" width="5.5703125" customWidth="1"/>
    <col min="22" max="22" width="6.28515625" customWidth="1"/>
  </cols>
  <sheetData>
    <row r="1" spans="1:23" ht="15.75" thickBot="1" x14ac:dyDescent="0.3"/>
    <row r="2" spans="1:23" ht="15.75" x14ac:dyDescent="0.25">
      <c r="A2" s="100" t="s">
        <v>260</v>
      </c>
      <c r="B2" s="101"/>
      <c r="C2" s="111" t="s">
        <v>555</v>
      </c>
      <c r="D2" s="112"/>
      <c r="E2" s="111" t="s">
        <v>578</v>
      </c>
      <c r="F2" s="112"/>
      <c r="G2" s="101" t="s">
        <v>4</v>
      </c>
      <c r="H2" s="101"/>
      <c r="I2" s="102" t="s">
        <v>366</v>
      </c>
      <c r="J2" s="102"/>
      <c r="K2" s="102"/>
      <c r="L2" s="102"/>
      <c r="M2" s="102"/>
      <c r="N2" s="102"/>
      <c r="O2" s="101" t="s">
        <v>6</v>
      </c>
      <c r="P2" s="101"/>
      <c r="Q2" s="103"/>
      <c r="R2" s="104"/>
      <c r="S2" s="104"/>
      <c r="T2" s="104"/>
      <c r="U2" s="104"/>
      <c r="V2" s="104"/>
      <c r="W2" s="105"/>
    </row>
    <row r="3" spans="1:23" ht="15.75" x14ac:dyDescent="0.25">
      <c r="A3" s="106" t="s">
        <v>7</v>
      </c>
      <c r="B3" s="107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7"/>
      <c r="R3" s="107"/>
      <c r="S3" s="107"/>
      <c r="T3" s="107"/>
      <c r="U3" s="107"/>
      <c r="V3" s="107"/>
      <c r="W3" s="110"/>
    </row>
    <row r="4" spans="1:23" x14ac:dyDescent="0.25">
      <c r="A4" s="113" t="s">
        <v>8</v>
      </c>
      <c r="B4" s="114" t="s">
        <v>9</v>
      </c>
      <c r="C4" s="114" t="s">
        <v>10</v>
      </c>
      <c r="D4" s="114" t="s">
        <v>11</v>
      </c>
      <c r="E4" s="114" t="s">
        <v>12</v>
      </c>
      <c r="F4" s="114" t="s">
        <v>13</v>
      </c>
      <c r="G4" s="114" t="s">
        <v>14</v>
      </c>
      <c r="H4" s="114"/>
      <c r="I4" s="114"/>
      <c r="J4" s="114"/>
      <c r="K4" s="114"/>
      <c r="L4" s="114"/>
      <c r="M4" s="114" t="s">
        <v>15</v>
      </c>
      <c r="N4" s="114" t="s">
        <v>16</v>
      </c>
      <c r="O4" s="114" t="s">
        <v>17</v>
      </c>
      <c r="P4" s="114" t="s">
        <v>18</v>
      </c>
      <c r="Q4" s="114" t="s">
        <v>19</v>
      </c>
      <c r="R4" s="114"/>
      <c r="S4" s="114"/>
      <c r="T4" s="114"/>
      <c r="U4" s="114"/>
      <c r="V4" s="114"/>
      <c r="W4" s="115" t="s">
        <v>20</v>
      </c>
    </row>
    <row r="5" spans="1:23" x14ac:dyDescent="0.25">
      <c r="A5" s="113"/>
      <c r="B5" s="114"/>
      <c r="C5" s="114"/>
      <c r="D5" s="114"/>
      <c r="E5" s="114"/>
      <c r="F5" s="114"/>
      <c r="G5" s="31" t="s">
        <v>21</v>
      </c>
      <c r="H5" s="31" t="s">
        <v>21</v>
      </c>
      <c r="I5" s="31" t="s">
        <v>21</v>
      </c>
      <c r="J5" s="31" t="s">
        <v>22</v>
      </c>
      <c r="K5" s="31" t="s">
        <v>22</v>
      </c>
      <c r="L5" s="32" t="s">
        <v>22</v>
      </c>
      <c r="M5" s="138"/>
      <c r="N5" s="114"/>
      <c r="O5" s="114"/>
      <c r="P5" s="114"/>
      <c r="Q5" s="31" t="s">
        <v>21</v>
      </c>
      <c r="R5" s="31" t="s">
        <v>21</v>
      </c>
      <c r="S5" s="31" t="s">
        <v>21</v>
      </c>
      <c r="T5" s="31" t="s">
        <v>22</v>
      </c>
      <c r="U5" s="31" t="s">
        <v>22</v>
      </c>
      <c r="V5" s="31" t="s">
        <v>22</v>
      </c>
      <c r="W5" s="115"/>
    </row>
    <row r="6" spans="1:23" ht="15.75" x14ac:dyDescent="0.25">
      <c r="A6" s="5">
        <v>1</v>
      </c>
      <c r="B6" s="21"/>
      <c r="C6" s="20"/>
      <c r="D6" s="36"/>
      <c r="E6" s="21"/>
      <c r="F6" s="21"/>
      <c r="G6" s="21"/>
      <c r="H6" s="21"/>
      <c r="I6" s="21"/>
      <c r="J6" s="21"/>
      <c r="K6" s="24"/>
      <c r="L6" s="29"/>
      <c r="M6" s="57"/>
      <c r="O6" s="21"/>
      <c r="P6" s="21"/>
      <c r="Q6" s="21"/>
      <c r="R6" s="21"/>
      <c r="S6" s="21"/>
      <c r="T6" s="21"/>
      <c r="U6" s="21"/>
      <c r="V6" s="21"/>
      <c r="W6" s="22"/>
    </row>
    <row r="7" spans="1:23" ht="15.75" x14ac:dyDescent="0.25">
      <c r="A7" s="6">
        <v>2</v>
      </c>
      <c r="B7" s="21"/>
      <c r="C7" s="13"/>
      <c r="D7" s="8"/>
      <c r="E7" s="8"/>
      <c r="F7" s="8"/>
      <c r="G7" s="8"/>
      <c r="H7" s="8"/>
      <c r="I7" s="8"/>
      <c r="J7" s="8"/>
      <c r="K7" s="25"/>
      <c r="L7" s="30"/>
      <c r="M7" s="57"/>
      <c r="N7" s="26"/>
      <c r="O7" s="8"/>
      <c r="P7" s="8"/>
      <c r="Q7" s="8"/>
      <c r="R7" s="8"/>
      <c r="S7" s="8"/>
      <c r="T7" s="8"/>
      <c r="U7" s="8"/>
      <c r="V7" s="8"/>
      <c r="W7" s="9"/>
    </row>
    <row r="8" spans="1:23" ht="15.75" x14ac:dyDescent="0.25">
      <c r="A8" s="6">
        <v>3</v>
      </c>
      <c r="B8" s="8"/>
      <c r="C8" s="8"/>
      <c r="D8" s="8"/>
      <c r="E8" s="8"/>
      <c r="F8" s="8"/>
      <c r="G8" s="8"/>
      <c r="H8" s="8"/>
      <c r="I8" s="8"/>
      <c r="J8" s="8"/>
      <c r="K8" s="8"/>
      <c r="L8" s="27"/>
      <c r="M8" s="27"/>
      <c r="N8" s="8"/>
      <c r="O8" s="8"/>
      <c r="P8" s="8"/>
      <c r="Q8" s="8"/>
      <c r="R8" s="8"/>
      <c r="S8" s="8"/>
      <c r="T8" s="8"/>
      <c r="U8" s="8"/>
      <c r="V8" s="8"/>
      <c r="W8" s="9"/>
    </row>
    <row r="9" spans="1:23" ht="15.75" x14ac:dyDescent="0.25">
      <c r="A9" s="5">
        <v>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</row>
    <row r="10" spans="1:23" ht="15.75" x14ac:dyDescent="0.25">
      <c r="A10" s="5">
        <v>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</row>
    <row r="11" spans="1:23" ht="16.5" thickBot="1" x14ac:dyDescent="0.3">
      <c r="A11" s="7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3" spans="1:23" ht="15.75" thickBot="1" x14ac:dyDescent="0.3"/>
    <row r="14" spans="1:23" ht="15.75" x14ac:dyDescent="0.25">
      <c r="A14" s="100" t="s">
        <v>260</v>
      </c>
      <c r="B14" s="101"/>
      <c r="C14" s="111" t="s">
        <v>580</v>
      </c>
      <c r="D14" s="112"/>
      <c r="E14" s="111" t="s">
        <v>578</v>
      </c>
      <c r="F14" s="112"/>
      <c r="G14" s="101" t="s">
        <v>4</v>
      </c>
      <c r="H14" s="101"/>
      <c r="I14" s="102" t="s">
        <v>366</v>
      </c>
      <c r="J14" s="102"/>
      <c r="K14" s="102"/>
      <c r="L14" s="102"/>
      <c r="M14" s="102"/>
      <c r="N14" s="102"/>
      <c r="O14" s="101" t="s">
        <v>6</v>
      </c>
      <c r="P14" s="101"/>
      <c r="Q14" s="103"/>
      <c r="R14" s="104"/>
      <c r="S14" s="104"/>
      <c r="T14" s="104"/>
      <c r="U14" s="104"/>
      <c r="V14" s="104"/>
      <c r="W14" s="105"/>
    </row>
    <row r="15" spans="1:23" ht="15.75" x14ac:dyDescent="0.25">
      <c r="A15" s="106" t="s">
        <v>7</v>
      </c>
      <c r="B15" s="107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7"/>
      <c r="R15" s="107"/>
      <c r="S15" s="107"/>
      <c r="T15" s="107"/>
      <c r="U15" s="107"/>
      <c r="V15" s="107"/>
      <c r="W15" s="110"/>
    </row>
    <row r="16" spans="1:23" x14ac:dyDescent="0.25">
      <c r="A16" s="113" t="s">
        <v>8</v>
      </c>
      <c r="B16" s="114" t="s">
        <v>9</v>
      </c>
      <c r="C16" s="114" t="s">
        <v>10</v>
      </c>
      <c r="D16" s="114" t="s">
        <v>11</v>
      </c>
      <c r="E16" s="114" t="s">
        <v>12</v>
      </c>
      <c r="F16" s="114" t="s">
        <v>13</v>
      </c>
      <c r="G16" s="114" t="s">
        <v>14</v>
      </c>
      <c r="H16" s="114"/>
      <c r="I16" s="114"/>
      <c r="J16" s="114"/>
      <c r="K16" s="114"/>
      <c r="L16" s="114"/>
      <c r="M16" s="114" t="s">
        <v>15</v>
      </c>
      <c r="N16" s="114" t="s">
        <v>16</v>
      </c>
      <c r="O16" s="114" t="s">
        <v>17</v>
      </c>
      <c r="P16" s="114" t="s">
        <v>18</v>
      </c>
      <c r="Q16" s="114" t="s">
        <v>19</v>
      </c>
      <c r="R16" s="114"/>
      <c r="S16" s="114"/>
      <c r="T16" s="114"/>
      <c r="U16" s="114"/>
      <c r="V16" s="114"/>
      <c r="W16" s="115" t="s">
        <v>20</v>
      </c>
    </row>
    <row r="17" spans="1:23" x14ac:dyDescent="0.25">
      <c r="A17" s="113"/>
      <c r="B17" s="114"/>
      <c r="C17" s="114"/>
      <c r="D17" s="114"/>
      <c r="E17" s="114"/>
      <c r="F17" s="114"/>
      <c r="G17" s="31" t="s">
        <v>21</v>
      </c>
      <c r="H17" s="31" t="s">
        <v>21</v>
      </c>
      <c r="I17" s="31" t="s">
        <v>21</v>
      </c>
      <c r="J17" s="31" t="s">
        <v>22</v>
      </c>
      <c r="K17" s="31" t="s">
        <v>22</v>
      </c>
      <c r="L17" s="32" t="s">
        <v>22</v>
      </c>
      <c r="M17" s="138"/>
      <c r="N17" s="114"/>
      <c r="O17" s="114"/>
      <c r="P17" s="114"/>
      <c r="Q17" s="31" t="s">
        <v>21</v>
      </c>
      <c r="R17" s="31" t="s">
        <v>21</v>
      </c>
      <c r="S17" s="31" t="s">
        <v>21</v>
      </c>
      <c r="T17" s="31" t="s">
        <v>22</v>
      </c>
      <c r="U17" s="31" t="s">
        <v>22</v>
      </c>
      <c r="V17" s="31" t="s">
        <v>22</v>
      </c>
      <c r="W17" s="115"/>
    </row>
    <row r="18" spans="1:23" ht="15.75" x14ac:dyDescent="0.25">
      <c r="A18" s="5">
        <v>1</v>
      </c>
      <c r="B18" s="21" t="s">
        <v>251</v>
      </c>
      <c r="C18" s="20">
        <v>46108</v>
      </c>
      <c r="D18" s="36">
        <v>46175</v>
      </c>
      <c r="E18" s="21">
        <v>3</v>
      </c>
      <c r="F18" s="21">
        <v>0</v>
      </c>
      <c r="G18" s="21">
        <v>108</v>
      </c>
      <c r="H18" s="21"/>
      <c r="I18" s="21"/>
      <c r="J18" s="21">
        <v>112</v>
      </c>
      <c r="K18" s="24">
        <v>113</v>
      </c>
      <c r="L18" s="29"/>
      <c r="M18" s="57">
        <f>AVERAGE(G18:L18)</f>
        <v>111</v>
      </c>
      <c r="N18" s="70">
        <v>46204</v>
      </c>
      <c r="O18" s="21">
        <v>2</v>
      </c>
      <c r="P18" s="21">
        <v>1</v>
      </c>
      <c r="Q18" s="21"/>
      <c r="R18" s="21"/>
      <c r="S18" s="21"/>
      <c r="T18" s="21">
        <v>200</v>
      </c>
      <c r="U18" s="21">
        <v>215</v>
      </c>
      <c r="V18" s="21"/>
      <c r="W18" s="22">
        <f>AVERAGE(Q18:V18)</f>
        <v>207.5</v>
      </c>
    </row>
    <row r="19" spans="1:23" ht="15.75" x14ac:dyDescent="0.25">
      <c r="A19" s="6">
        <v>2</v>
      </c>
      <c r="B19" s="21"/>
      <c r="C19" s="13"/>
      <c r="D19" s="8"/>
      <c r="E19" s="8"/>
      <c r="F19" s="8"/>
      <c r="G19" s="8"/>
      <c r="H19" s="8"/>
      <c r="I19" s="8"/>
      <c r="J19" s="8"/>
      <c r="K19" s="25"/>
      <c r="L19" s="30"/>
      <c r="M19" s="57"/>
      <c r="N19" s="26"/>
      <c r="O19" s="8"/>
      <c r="P19" s="8"/>
      <c r="Q19" s="8"/>
      <c r="R19" s="8"/>
      <c r="S19" s="8"/>
      <c r="T19" s="8"/>
      <c r="U19" s="8"/>
      <c r="V19" s="8"/>
      <c r="W19" s="9"/>
    </row>
    <row r="20" spans="1:23" ht="15.75" x14ac:dyDescent="0.25">
      <c r="A20" s="6">
        <v>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27"/>
      <c r="M20" s="27"/>
      <c r="N20" s="8"/>
      <c r="O20" s="8"/>
      <c r="P20" s="8"/>
      <c r="Q20" s="8"/>
      <c r="R20" s="8"/>
      <c r="S20" s="8"/>
      <c r="T20" s="8"/>
      <c r="U20" s="8"/>
      <c r="V20" s="8"/>
      <c r="W20" s="9"/>
    </row>
    <row r="21" spans="1:23" ht="15.75" x14ac:dyDescent="0.25">
      <c r="A21" s="5">
        <v>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ht="15.75" x14ac:dyDescent="0.25">
      <c r="A22" s="5">
        <v>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</row>
    <row r="23" spans="1:23" ht="16.5" thickBot="1" x14ac:dyDescent="0.3">
      <c r="A23" s="7">
        <v>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5" spans="1:23" ht="15.75" thickBot="1" x14ac:dyDescent="0.3"/>
    <row r="26" spans="1:23" ht="15.75" x14ac:dyDescent="0.25">
      <c r="A26" s="100" t="s">
        <v>260</v>
      </c>
      <c r="B26" s="101"/>
      <c r="C26" s="111" t="s">
        <v>581</v>
      </c>
      <c r="D26" s="112"/>
      <c r="E26" s="111" t="s">
        <v>578</v>
      </c>
      <c r="F26" s="112"/>
      <c r="G26" s="101" t="s">
        <v>4</v>
      </c>
      <c r="H26" s="101"/>
      <c r="I26" s="102" t="s">
        <v>366</v>
      </c>
      <c r="J26" s="102"/>
      <c r="K26" s="102"/>
      <c r="L26" s="102"/>
      <c r="M26" s="102"/>
      <c r="N26" s="102"/>
      <c r="O26" s="101" t="s">
        <v>6</v>
      </c>
      <c r="P26" s="101"/>
      <c r="Q26" s="103"/>
      <c r="R26" s="104"/>
      <c r="S26" s="104"/>
      <c r="T26" s="104"/>
      <c r="U26" s="104"/>
      <c r="V26" s="104"/>
      <c r="W26" s="105"/>
    </row>
    <row r="27" spans="1:23" ht="15.75" x14ac:dyDescent="0.25">
      <c r="A27" s="106" t="s">
        <v>7</v>
      </c>
      <c r="B27" s="107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7"/>
      <c r="R27" s="107"/>
      <c r="S27" s="107"/>
      <c r="T27" s="107"/>
      <c r="U27" s="107"/>
      <c r="V27" s="107"/>
      <c r="W27" s="110"/>
    </row>
    <row r="28" spans="1:23" x14ac:dyDescent="0.25">
      <c r="A28" s="113" t="s">
        <v>8</v>
      </c>
      <c r="B28" s="114" t="s">
        <v>9</v>
      </c>
      <c r="C28" s="114" t="s">
        <v>10</v>
      </c>
      <c r="D28" s="114" t="s">
        <v>11</v>
      </c>
      <c r="E28" s="114" t="s">
        <v>12</v>
      </c>
      <c r="F28" s="114" t="s">
        <v>13</v>
      </c>
      <c r="G28" s="114" t="s">
        <v>14</v>
      </c>
      <c r="H28" s="114"/>
      <c r="I28" s="114"/>
      <c r="J28" s="114"/>
      <c r="K28" s="114"/>
      <c r="L28" s="114"/>
      <c r="M28" s="114" t="s">
        <v>15</v>
      </c>
      <c r="N28" s="114" t="s">
        <v>16</v>
      </c>
      <c r="O28" s="114" t="s">
        <v>17</v>
      </c>
      <c r="P28" s="114" t="s">
        <v>18</v>
      </c>
      <c r="Q28" s="114" t="s">
        <v>19</v>
      </c>
      <c r="R28" s="114"/>
      <c r="S28" s="114"/>
      <c r="T28" s="114"/>
      <c r="U28" s="114"/>
      <c r="V28" s="114"/>
      <c r="W28" s="115" t="s">
        <v>20</v>
      </c>
    </row>
    <row r="29" spans="1:23" x14ac:dyDescent="0.25">
      <c r="A29" s="113"/>
      <c r="B29" s="114"/>
      <c r="C29" s="114"/>
      <c r="D29" s="114"/>
      <c r="E29" s="114"/>
      <c r="F29" s="114"/>
      <c r="G29" s="31" t="s">
        <v>21</v>
      </c>
      <c r="H29" s="31" t="s">
        <v>21</v>
      </c>
      <c r="I29" s="31" t="s">
        <v>21</v>
      </c>
      <c r="J29" s="31" t="s">
        <v>22</v>
      </c>
      <c r="K29" s="31" t="s">
        <v>22</v>
      </c>
      <c r="L29" s="32" t="s">
        <v>22</v>
      </c>
      <c r="M29" s="138"/>
      <c r="N29" s="114"/>
      <c r="O29" s="114"/>
      <c r="P29" s="114"/>
      <c r="Q29" s="31" t="s">
        <v>21</v>
      </c>
      <c r="R29" s="31" t="s">
        <v>21</v>
      </c>
      <c r="S29" s="31" t="s">
        <v>21</v>
      </c>
      <c r="T29" s="31" t="s">
        <v>22</v>
      </c>
      <c r="U29" s="31" t="s">
        <v>22</v>
      </c>
      <c r="V29" s="31" t="s">
        <v>22</v>
      </c>
      <c r="W29" s="115"/>
    </row>
    <row r="30" spans="1:23" ht="15.75" x14ac:dyDescent="0.25">
      <c r="A30" s="5">
        <v>1</v>
      </c>
      <c r="B30" s="21"/>
      <c r="C30" s="20"/>
      <c r="D30" s="36"/>
      <c r="E30" s="21"/>
      <c r="F30" s="21"/>
      <c r="G30" s="21"/>
      <c r="H30" s="21"/>
      <c r="I30" s="21"/>
      <c r="J30" s="21"/>
      <c r="K30" s="24"/>
      <c r="L30" s="29"/>
      <c r="M30" s="57"/>
      <c r="O30" s="21"/>
      <c r="P30" s="21"/>
      <c r="Q30" s="21"/>
      <c r="R30" s="21"/>
      <c r="S30" s="21"/>
      <c r="T30" s="21"/>
      <c r="U30" s="21"/>
      <c r="V30" s="21"/>
      <c r="W30" s="22"/>
    </row>
    <row r="31" spans="1:23" ht="15.75" x14ac:dyDescent="0.25">
      <c r="A31" s="6">
        <v>2</v>
      </c>
      <c r="B31" s="21"/>
      <c r="C31" s="13"/>
      <c r="D31" s="8"/>
      <c r="E31" s="8"/>
      <c r="F31" s="8"/>
      <c r="G31" s="8"/>
      <c r="H31" s="8"/>
      <c r="I31" s="8"/>
      <c r="J31" s="8"/>
      <c r="K31" s="25"/>
      <c r="L31" s="30"/>
      <c r="M31" s="57"/>
      <c r="N31" s="26"/>
      <c r="O31" s="8"/>
      <c r="P31" s="8"/>
      <c r="Q31" s="8"/>
      <c r="R31" s="8"/>
      <c r="S31" s="8"/>
      <c r="T31" s="8"/>
      <c r="U31" s="8"/>
      <c r="V31" s="8"/>
      <c r="W31" s="9"/>
    </row>
    <row r="32" spans="1:23" ht="15.75" x14ac:dyDescent="0.25">
      <c r="A32" s="6">
        <v>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27"/>
      <c r="M32" s="27"/>
      <c r="N32" s="8"/>
      <c r="O32" s="8"/>
      <c r="P32" s="8"/>
      <c r="Q32" s="8"/>
      <c r="R32" s="8"/>
      <c r="S32" s="8"/>
      <c r="T32" s="8"/>
      <c r="U32" s="8"/>
      <c r="V32" s="8"/>
      <c r="W32" s="9"/>
    </row>
    <row r="33" spans="1:23" ht="15.75" x14ac:dyDescent="0.25">
      <c r="A33" s="5">
        <v>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</row>
    <row r="34" spans="1:23" ht="15.75" x14ac:dyDescent="0.25">
      <c r="A34" s="5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</row>
    <row r="35" spans="1:23" ht="16.5" thickBot="1" x14ac:dyDescent="0.3">
      <c r="A35" s="7">
        <v>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7" spans="1:23" ht="15.75" thickBot="1" x14ac:dyDescent="0.3"/>
    <row r="38" spans="1:23" ht="15.75" x14ac:dyDescent="0.25">
      <c r="A38" s="100" t="s">
        <v>260</v>
      </c>
      <c r="B38" s="101"/>
      <c r="C38" s="111" t="s">
        <v>582</v>
      </c>
      <c r="D38" s="112"/>
      <c r="E38" s="111" t="s">
        <v>578</v>
      </c>
      <c r="F38" s="112"/>
      <c r="G38" s="101" t="s">
        <v>4</v>
      </c>
      <c r="H38" s="101"/>
      <c r="I38" s="102" t="s">
        <v>366</v>
      </c>
      <c r="J38" s="102"/>
      <c r="K38" s="102"/>
      <c r="L38" s="102"/>
      <c r="M38" s="102"/>
      <c r="N38" s="102"/>
      <c r="O38" s="101" t="s">
        <v>6</v>
      </c>
      <c r="P38" s="101"/>
      <c r="Q38" s="103"/>
      <c r="R38" s="104"/>
      <c r="S38" s="104"/>
      <c r="T38" s="104"/>
      <c r="U38" s="104"/>
      <c r="V38" s="104"/>
      <c r="W38" s="105"/>
    </row>
    <row r="39" spans="1:23" ht="15.75" x14ac:dyDescent="0.25">
      <c r="A39" s="106" t="s">
        <v>7</v>
      </c>
      <c r="B39" s="107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7"/>
      <c r="R39" s="107"/>
      <c r="S39" s="107"/>
      <c r="T39" s="107"/>
      <c r="U39" s="107"/>
      <c r="V39" s="107"/>
      <c r="W39" s="110"/>
    </row>
    <row r="40" spans="1:23" x14ac:dyDescent="0.25">
      <c r="A40" s="113" t="s">
        <v>8</v>
      </c>
      <c r="B40" s="114" t="s">
        <v>9</v>
      </c>
      <c r="C40" s="114" t="s">
        <v>10</v>
      </c>
      <c r="D40" s="114" t="s">
        <v>11</v>
      </c>
      <c r="E40" s="114" t="s">
        <v>12</v>
      </c>
      <c r="F40" s="114" t="s">
        <v>13</v>
      </c>
      <c r="G40" s="114" t="s">
        <v>14</v>
      </c>
      <c r="H40" s="114"/>
      <c r="I40" s="114"/>
      <c r="J40" s="114"/>
      <c r="K40" s="114"/>
      <c r="L40" s="114"/>
      <c r="M40" s="114" t="s">
        <v>15</v>
      </c>
      <c r="N40" s="114" t="s">
        <v>16</v>
      </c>
      <c r="O40" s="114" t="s">
        <v>17</v>
      </c>
      <c r="P40" s="114" t="s">
        <v>18</v>
      </c>
      <c r="Q40" s="114" t="s">
        <v>19</v>
      </c>
      <c r="R40" s="114"/>
      <c r="S40" s="114"/>
      <c r="T40" s="114"/>
      <c r="U40" s="114"/>
      <c r="V40" s="114"/>
      <c r="W40" s="115" t="s">
        <v>20</v>
      </c>
    </row>
    <row r="41" spans="1:23" x14ac:dyDescent="0.25">
      <c r="A41" s="113"/>
      <c r="B41" s="114"/>
      <c r="C41" s="114"/>
      <c r="D41" s="114"/>
      <c r="E41" s="114"/>
      <c r="F41" s="114"/>
      <c r="G41" s="31" t="s">
        <v>21</v>
      </c>
      <c r="H41" s="31" t="s">
        <v>21</v>
      </c>
      <c r="I41" s="31" t="s">
        <v>21</v>
      </c>
      <c r="J41" s="31" t="s">
        <v>22</v>
      </c>
      <c r="K41" s="31" t="s">
        <v>22</v>
      </c>
      <c r="L41" s="32" t="s">
        <v>22</v>
      </c>
      <c r="M41" s="138"/>
      <c r="N41" s="114"/>
      <c r="O41" s="114"/>
      <c r="P41" s="114"/>
      <c r="Q41" s="31" t="s">
        <v>21</v>
      </c>
      <c r="R41" s="31" t="s">
        <v>21</v>
      </c>
      <c r="S41" s="31" t="s">
        <v>21</v>
      </c>
      <c r="T41" s="31" t="s">
        <v>22</v>
      </c>
      <c r="U41" s="31" t="s">
        <v>22</v>
      </c>
      <c r="V41" s="31" t="s">
        <v>22</v>
      </c>
      <c r="W41" s="115"/>
    </row>
    <row r="42" spans="1:23" ht="15.75" x14ac:dyDescent="0.25">
      <c r="A42" s="5">
        <v>1</v>
      </c>
      <c r="B42" s="21"/>
      <c r="C42" s="20"/>
      <c r="D42" s="36"/>
      <c r="E42" s="21"/>
      <c r="F42" s="21"/>
      <c r="G42" s="21"/>
      <c r="H42" s="21"/>
      <c r="I42" s="21"/>
      <c r="J42" s="21"/>
      <c r="K42" s="24"/>
      <c r="L42" s="29"/>
      <c r="M42" s="57"/>
      <c r="O42" s="21"/>
      <c r="P42" s="21"/>
      <c r="Q42" s="21"/>
      <c r="R42" s="21"/>
      <c r="S42" s="21"/>
      <c r="T42" s="21"/>
      <c r="U42" s="21"/>
      <c r="V42" s="21"/>
      <c r="W42" s="22"/>
    </row>
    <row r="43" spans="1:23" ht="15.75" x14ac:dyDescent="0.25">
      <c r="A43" s="6">
        <v>2</v>
      </c>
      <c r="B43" s="21"/>
      <c r="C43" s="13"/>
      <c r="D43" s="8"/>
      <c r="E43" s="8"/>
      <c r="F43" s="8"/>
      <c r="G43" s="8"/>
      <c r="H43" s="8"/>
      <c r="I43" s="8"/>
      <c r="J43" s="8"/>
      <c r="K43" s="25"/>
      <c r="L43" s="30"/>
      <c r="M43" s="57"/>
      <c r="N43" s="26"/>
      <c r="O43" s="8"/>
      <c r="P43" s="8"/>
      <c r="Q43" s="8"/>
      <c r="R43" s="8"/>
      <c r="S43" s="8"/>
      <c r="T43" s="8"/>
      <c r="U43" s="8"/>
      <c r="V43" s="8"/>
      <c r="W43" s="9"/>
    </row>
    <row r="44" spans="1:23" ht="15.75" x14ac:dyDescent="0.25">
      <c r="A44" s="6">
        <v>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27"/>
      <c r="M44" s="27"/>
      <c r="N44" s="8"/>
      <c r="O44" s="8"/>
      <c r="P44" s="8"/>
      <c r="Q44" s="8"/>
      <c r="R44" s="8"/>
      <c r="S44" s="8"/>
      <c r="T44" s="8"/>
      <c r="U44" s="8"/>
      <c r="V44" s="8"/>
      <c r="W44" s="9"/>
    </row>
    <row r="45" spans="1:23" ht="15.75" x14ac:dyDescent="0.25">
      <c r="A45" s="5">
        <v>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</row>
    <row r="46" spans="1:23" ht="15.75" x14ac:dyDescent="0.25">
      <c r="A46" s="5">
        <v>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9"/>
    </row>
    <row r="47" spans="1:23" ht="16.5" thickBot="1" x14ac:dyDescent="0.3">
      <c r="A47" s="7">
        <v>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9" spans="1:23" ht="15.75" thickBot="1" x14ac:dyDescent="0.3"/>
    <row r="50" spans="1:23" ht="15.75" x14ac:dyDescent="0.25">
      <c r="A50" s="100" t="s">
        <v>260</v>
      </c>
      <c r="B50" s="101"/>
      <c r="C50" s="111" t="s">
        <v>583</v>
      </c>
      <c r="D50" s="112"/>
      <c r="E50" s="111" t="s">
        <v>578</v>
      </c>
      <c r="F50" s="112"/>
      <c r="G50" s="101" t="s">
        <v>4</v>
      </c>
      <c r="H50" s="101"/>
      <c r="I50" s="102" t="s">
        <v>366</v>
      </c>
      <c r="J50" s="102"/>
      <c r="K50" s="102"/>
      <c r="L50" s="102"/>
      <c r="M50" s="102"/>
      <c r="N50" s="102"/>
      <c r="O50" s="101" t="s">
        <v>6</v>
      </c>
      <c r="P50" s="101"/>
      <c r="Q50" s="103"/>
      <c r="R50" s="104"/>
      <c r="S50" s="104"/>
      <c r="T50" s="104"/>
      <c r="U50" s="104"/>
      <c r="V50" s="104"/>
      <c r="W50" s="105"/>
    </row>
    <row r="51" spans="1:23" ht="15.75" x14ac:dyDescent="0.25">
      <c r="A51" s="106" t="s">
        <v>7</v>
      </c>
      <c r="B51" s="107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7"/>
      <c r="R51" s="107"/>
      <c r="S51" s="107"/>
      <c r="T51" s="107"/>
      <c r="U51" s="107"/>
      <c r="V51" s="107"/>
      <c r="W51" s="110"/>
    </row>
    <row r="52" spans="1:23" x14ac:dyDescent="0.25">
      <c r="A52" s="113" t="s">
        <v>8</v>
      </c>
      <c r="B52" s="114" t="s">
        <v>9</v>
      </c>
      <c r="C52" s="114" t="s">
        <v>10</v>
      </c>
      <c r="D52" s="114" t="s">
        <v>11</v>
      </c>
      <c r="E52" s="114" t="s">
        <v>12</v>
      </c>
      <c r="F52" s="114" t="s">
        <v>13</v>
      </c>
      <c r="G52" s="114" t="s">
        <v>14</v>
      </c>
      <c r="H52" s="114"/>
      <c r="I52" s="114"/>
      <c r="J52" s="114"/>
      <c r="K52" s="114"/>
      <c r="L52" s="114"/>
      <c r="M52" s="114" t="s">
        <v>15</v>
      </c>
      <c r="N52" s="114" t="s">
        <v>16</v>
      </c>
      <c r="O52" s="114" t="s">
        <v>17</v>
      </c>
      <c r="P52" s="114" t="s">
        <v>18</v>
      </c>
      <c r="Q52" s="114" t="s">
        <v>19</v>
      </c>
      <c r="R52" s="114"/>
      <c r="S52" s="114"/>
      <c r="T52" s="114"/>
      <c r="U52" s="114"/>
      <c r="V52" s="114"/>
      <c r="W52" s="115" t="s">
        <v>20</v>
      </c>
    </row>
    <row r="53" spans="1:23" x14ac:dyDescent="0.25">
      <c r="A53" s="113"/>
      <c r="B53" s="114"/>
      <c r="C53" s="114"/>
      <c r="D53" s="114"/>
      <c r="E53" s="114"/>
      <c r="F53" s="114"/>
      <c r="G53" s="31" t="s">
        <v>21</v>
      </c>
      <c r="H53" s="31" t="s">
        <v>21</v>
      </c>
      <c r="I53" s="31" t="s">
        <v>21</v>
      </c>
      <c r="J53" s="31" t="s">
        <v>22</v>
      </c>
      <c r="K53" s="31" t="s">
        <v>22</v>
      </c>
      <c r="L53" s="32" t="s">
        <v>22</v>
      </c>
      <c r="M53" s="138"/>
      <c r="N53" s="114"/>
      <c r="O53" s="114"/>
      <c r="P53" s="114"/>
      <c r="Q53" s="31" t="s">
        <v>21</v>
      </c>
      <c r="R53" s="31" t="s">
        <v>21</v>
      </c>
      <c r="S53" s="31" t="s">
        <v>21</v>
      </c>
      <c r="T53" s="31" t="s">
        <v>22</v>
      </c>
      <c r="U53" s="31" t="s">
        <v>22</v>
      </c>
      <c r="V53" s="31" t="s">
        <v>22</v>
      </c>
      <c r="W53" s="115"/>
    </row>
    <row r="54" spans="1:23" ht="15.75" x14ac:dyDescent="0.25">
      <c r="A54" s="5">
        <v>1</v>
      </c>
      <c r="B54" s="21"/>
      <c r="C54" s="20"/>
      <c r="D54" s="36"/>
      <c r="E54" s="21"/>
      <c r="F54" s="21"/>
      <c r="G54" s="21"/>
      <c r="H54" s="21"/>
      <c r="I54" s="21"/>
      <c r="J54" s="21"/>
      <c r="K54" s="24"/>
      <c r="L54" s="29"/>
      <c r="M54" s="57"/>
      <c r="O54" s="21"/>
      <c r="P54" s="21"/>
      <c r="Q54" s="21"/>
      <c r="R54" s="21"/>
      <c r="S54" s="21"/>
      <c r="T54" s="21"/>
      <c r="U54" s="21"/>
      <c r="V54" s="21"/>
      <c r="W54" s="22"/>
    </row>
    <row r="55" spans="1:23" ht="15.75" x14ac:dyDescent="0.25">
      <c r="A55" s="6">
        <v>2</v>
      </c>
      <c r="B55" s="21"/>
      <c r="C55" s="13"/>
      <c r="D55" s="8"/>
      <c r="E55" s="8"/>
      <c r="F55" s="8"/>
      <c r="G55" s="8"/>
      <c r="H55" s="8"/>
      <c r="I55" s="8"/>
      <c r="J55" s="8"/>
      <c r="K55" s="25"/>
      <c r="L55" s="30"/>
      <c r="M55" s="57"/>
      <c r="N55" s="26"/>
      <c r="O55" s="8"/>
      <c r="P55" s="8"/>
      <c r="Q55" s="8"/>
      <c r="R55" s="8"/>
      <c r="S55" s="8"/>
      <c r="T55" s="8"/>
      <c r="U55" s="8"/>
      <c r="V55" s="8"/>
      <c r="W55" s="9"/>
    </row>
    <row r="56" spans="1:23" ht="15.75" x14ac:dyDescent="0.25">
      <c r="A56" s="6">
        <v>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27"/>
      <c r="M56" s="27"/>
      <c r="N56" s="8"/>
      <c r="O56" s="8"/>
      <c r="P56" s="8"/>
      <c r="Q56" s="8"/>
      <c r="R56" s="8"/>
      <c r="S56" s="8"/>
      <c r="T56" s="8"/>
      <c r="U56" s="8"/>
      <c r="V56" s="8"/>
      <c r="W56" s="9"/>
    </row>
    <row r="57" spans="1:23" ht="15.75" x14ac:dyDescent="0.25">
      <c r="A57" s="5">
        <v>4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</row>
    <row r="58" spans="1:23" ht="15.75" x14ac:dyDescent="0.25">
      <c r="A58" s="5">
        <v>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</row>
    <row r="59" spans="1:23" ht="16.5" thickBot="1" x14ac:dyDescent="0.3">
      <c r="A59" s="7">
        <v>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1" spans="1:23" ht="15.75" thickBot="1" x14ac:dyDescent="0.3"/>
    <row r="62" spans="1:23" ht="15.75" x14ac:dyDescent="0.25">
      <c r="A62" s="100" t="s">
        <v>260</v>
      </c>
      <c r="B62" s="101"/>
      <c r="C62" s="111" t="s">
        <v>584</v>
      </c>
      <c r="D62" s="112"/>
      <c r="E62" s="111" t="s">
        <v>578</v>
      </c>
      <c r="F62" s="112"/>
      <c r="G62" s="101" t="s">
        <v>4</v>
      </c>
      <c r="H62" s="101"/>
      <c r="I62" s="102" t="s">
        <v>427</v>
      </c>
      <c r="J62" s="102"/>
      <c r="K62" s="102"/>
      <c r="L62" s="102"/>
      <c r="M62" s="102"/>
      <c r="N62" s="102"/>
      <c r="O62" s="101" t="s">
        <v>6</v>
      </c>
      <c r="P62" s="101"/>
      <c r="Q62" s="103"/>
      <c r="R62" s="104"/>
      <c r="S62" s="104"/>
      <c r="T62" s="104"/>
      <c r="U62" s="104"/>
      <c r="V62" s="104"/>
      <c r="W62" s="105"/>
    </row>
    <row r="63" spans="1:23" ht="15.75" x14ac:dyDescent="0.25">
      <c r="A63" s="106" t="s">
        <v>7</v>
      </c>
      <c r="B63" s="107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7"/>
      <c r="R63" s="107"/>
      <c r="S63" s="107"/>
      <c r="T63" s="107"/>
      <c r="U63" s="107"/>
      <c r="V63" s="107"/>
      <c r="W63" s="110"/>
    </row>
    <row r="64" spans="1:23" x14ac:dyDescent="0.25">
      <c r="A64" s="113" t="s">
        <v>8</v>
      </c>
      <c r="B64" s="114" t="s">
        <v>9</v>
      </c>
      <c r="C64" s="114" t="s">
        <v>10</v>
      </c>
      <c r="D64" s="114" t="s">
        <v>11</v>
      </c>
      <c r="E64" s="114" t="s">
        <v>12</v>
      </c>
      <c r="F64" s="114" t="s">
        <v>13</v>
      </c>
      <c r="G64" s="114" t="s">
        <v>14</v>
      </c>
      <c r="H64" s="114"/>
      <c r="I64" s="114"/>
      <c r="J64" s="114"/>
      <c r="K64" s="114"/>
      <c r="L64" s="114"/>
      <c r="M64" s="114" t="s">
        <v>15</v>
      </c>
      <c r="N64" s="114" t="s">
        <v>16</v>
      </c>
      <c r="O64" s="114" t="s">
        <v>17</v>
      </c>
      <c r="P64" s="114" t="s">
        <v>18</v>
      </c>
      <c r="Q64" s="114" t="s">
        <v>19</v>
      </c>
      <c r="R64" s="114"/>
      <c r="S64" s="114"/>
      <c r="T64" s="114"/>
      <c r="U64" s="114"/>
      <c r="V64" s="114"/>
      <c r="W64" s="115" t="s">
        <v>20</v>
      </c>
    </row>
    <row r="65" spans="1:23" x14ac:dyDescent="0.25">
      <c r="A65" s="113"/>
      <c r="B65" s="114"/>
      <c r="C65" s="114"/>
      <c r="D65" s="114"/>
      <c r="E65" s="114"/>
      <c r="F65" s="114"/>
      <c r="G65" s="31" t="s">
        <v>21</v>
      </c>
      <c r="H65" s="31" t="s">
        <v>21</v>
      </c>
      <c r="I65" s="31" t="s">
        <v>21</v>
      </c>
      <c r="J65" s="31" t="s">
        <v>22</v>
      </c>
      <c r="K65" s="31" t="s">
        <v>22</v>
      </c>
      <c r="L65" s="32" t="s">
        <v>22</v>
      </c>
      <c r="M65" s="138"/>
      <c r="N65" s="114"/>
      <c r="O65" s="114"/>
      <c r="P65" s="114"/>
      <c r="Q65" s="31" t="s">
        <v>21</v>
      </c>
      <c r="R65" s="31" t="s">
        <v>21</v>
      </c>
      <c r="S65" s="31" t="s">
        <v>21</v>
      </c>
      <c r="T65" s="31" t="s">
        <v>22</v>
      </c>
      <c r="U65" s="31" t="s">
        <v>22</v>
      </c>
      <c r="V65" s="31" t="s">
        <v>22</v>
      </c>
      <c r="W65" s="115"/>
    </row>
    <row r="66" spans="1:23" ht="15.75" x14ac:dyDescent="0.25">
      <c r="A66" s="5">
        <v>1</v>
      </c>
      <c r="B66" s="21"/>
      <c r="C66" s="20"/>
      <c r="D66" s="36"/>
      <c r="E66" s="21"/>
      <c r="F66" s="21"/>
      <c r="G66" s="21"/>
      <c r="H66" s="21"/>
      <c r="I66" s="21"/>
      <c r="J66" s="21"/>
      <c r="K66" s="24"/>
      <c r="L66" s="29"/>
      <c r="M66" s="57"/>
      <c r="O66" s="21"/>
      <c r="P66" s="21"/>
      <c r="Q66" s="21"/>
      <c r="R66" s="21"/>
      <c r="S66" s="21"/>
      <c r="T66" s="21"/>
      <c r="U66" s="21"/>
      <c r="V66" s="21"/>
      <c r="W66" s="22"/>
    </row>
    <row r="67" spans="1:23" ht="15.75" x14ac:dyDescent="0.25">
      <c r="A67" s="6">
        <v>2</v>
      </c>
      <c r="B67" s="21"/>
      <c r="C67" s="13"/>
      <c r="D67" s="8"/>
      <c r="E67" s="8"/>
      <c r="F67" s="8"/>
      <c r="G67" s="8"/>
      <c r="H67" s="8"/>
      <c r="I67" s="8"/>
      <c r="J67" s="8"/>
      <c r="K67" s="25"/>
      <c r="L67" s="30"/>
      <c r="M67" s="57"/>
      <c r="N67" s="26"/>
      <c r="O67" s="8"/>
      <c r="P67" s="8"/>
      <c r="Q67" s="8"/>
      <c r="R67" s="8"/>
      <c r="S67" s="8"/>
      <c r="T67" s="8"/>
      <c r="U67" s="8"/>
      <c r="V67" s="8"/>
      <c r="W67" s="9"/>
    </row>
    <row r="68" spans="1:23" ht="15.75" x14ac:dyDescent="0.25">
      <c r="A68" s="6">
        <v>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27"/>
      <c r="M68" s="27"/>
      <c r="N68" s="8"/>
      <c r="O68" s="8"/>
      <c r="P68" s="8"/>
      <c r="Q68" s="8"/>
      <c r="R68" s="8"/>
      <c r="S68" s="8"/>
      <c r="T68" s="8"/>
      <c r="U68" s="8"/>
      <c r="V68" s="8"/>
      <c r="W68" s="9"/>
    </row>
    <row r="69" spans="1:23" ht="15.75" x14ac:dyDescent="0.25">
      <c r="A69" s="5">
        <v>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</row>
    <row r="70" spans="1:23" ht="15.75" x14ac:dyDescent="0.25">
      <c r="A70" s="5">
        <v>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</row>
    <row r="71" spans="1:23" ht="16.5" thickBot="1" x14ac:dyDescent="0.3">
      <c r="A71" s="7">
        <v>6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3" spans="1:23" ht="15.75" thickBot="1" x14ac:dyDescent="0.3"/>
    <row r="74" spans="1:23" ht="15.75" x14ac:dyDescent="0.25">
      <c r="A74" s="100" t="s">
        <v>260</v>
      </c>
      <c r="B74" s="101"/>
      <c r="C74" s="111"/>
      <c r="D74" s="112"/>
      <c r="E74" s="111" t="s">
        <v>498</v>
      </c>
      <c r="F74" s="112"/>
      <c r="G74" s="101" t="s">
        <v>4</v>
      </c>
      <c r="H74" s="101"/>
      <c r="I74" s="102"/>
      <c r="J74" s="102"/>
      <c r="K74" s="102"/>
      <c r="L74" s="102"/>
      <c r="M74" s="102"/>
      <c r="N74" s="102"/>
      <c r="O74" s="101" t="s">
        <v>6</v>
      </c>
      <c r="P74" s="101"/>
      <c r="Q74" s="103"/>
      <c r="R74" s="104"/>
      <c r="S74" s="104"/>
      <c r="T74" s="104"/>
      <c r="U74" s="104"/>
      <c r="V74" s="104"/>
      <c r="W74" s="105"/>
    </row>
    <row r="75" spans="1:23" ht="15.75" x14ac:dyDescent="0.25">
      <c r="A75" s="106" t="s">
        <v>7</v>
      </c>
      <c r="B75" s="107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7"/>
      <c r="R75" s="107"/>
      <c r="S75" s="107"/>
      <c r="T75" s="107"/>
      <c r="U75" s="107"/>
      <c r="V75" s="107"/>
      <c r="W75" s="110"/>
    </row>
    <row r="76" spans="1:23" x14ac:dyDescent="0.25">
      <c r="A76" s="113" t="s">
        <v>8</v>
      </c>
      <c r="B76" s="114" t="s">
        <v>9</v>
      </c>
      <c r="C76" s="114" t="s">
        <v>10</v>
      </c>
      <c r="D76" s="114" t="s">
        <v>11</v>
      </c>
      <c r="E76" s="114" t="s">
        <v>12</v>
      </c>
      <c r="F76" s="114" t="s">
        <v>13</v>
      </c>
      <c r="G76" s="114" t="s">
        <v>14</v>
      </c>
      <c r="H76" s="114"/>
      <c r="I76" s="114"/>
      <c r="J76" s="114"/>
      <c r="K76" s="114"/>
      <c r="L76" s="114"/>
      <c r="M76" s="114" t="s">
        <v>15</v>
      </c>
      <c r="N76" s="114" t="s">
        <v>16</v>
      </c>
      <c r="O76" s="114" t="s">
        <v>17</v>
      </c>
      <c r="P76" s="114" t="s">
        <v>18</v>
      </c>
      <c r="Q76" s="114" t="s">
        <v>19</v>
      </c>
      <c r="R76" s="114"/>
      <c r="S76" s="114"/>
      <c r="T76" s="114"/>
      <c r="U76" s="114"/>
      <c r="V76" s="114"/>
      <c r="W76" s="115" t="s">
        <v>20</v>
      </c>
    </row>
    <row r="77" spans="1:23" x14ac:dyDescent="0.25">
      <c r="A77" s="113"/>
      <c r="B77" s="114"/>
      <c r="C77" s="114"/>
      <c r="D77" s="114"/>
      <c r="E77" s="114"/>
      <c r="F77" s="114"/>
      <c r="G77" s="31" t="s">
        <v>21</v>
      </c>
      <c r="H77" s="31" t="s">
        <v>21</v>
      </c>
      <c r="I77" s="31" t="s">
        <v>21</v>
      </c>
      <c r="J77" s="31" t="s">
        <v>22</v>
      </c>
      <c r="K77" s="31" t="s">
        <v>22</v>
      </c>
      <c r="L77" s="32" t="s">
        <v>22</v>
      </c>
      <c r="M77" s="138"/>
      <c r="N77" s="114"/>
      <c r="O77" s="114"/>
      <c r="P77" s="114"/>
      <c r="Q77" s="31" t="s">
        <v>21</v>
      </c>
      <c r="R77" s="31" t="s">
        <v>21</v>
      </c>
      <c r="S77" s="31" t="s">
        <v>21</v>
      </c>
      <c r="T77" s="31" t="s">
        <v>22</v>
      </c>
      <c r="U77" s="31" t="s">
        <v>22</v>
      </c>
      <c r="V77" s="31" t="s">
        <v>22</v>
      </c>
      <c r="W77" s="115"/>
    </row>
    <row r="78" spans="1:23" ht="15.75" x14ac:dyDescent="0.25">
      <c r="A78" s="5">
        <v>1</v>
      </c>
      <c r="B78" s="21"/>
      <c r="C78" s="20"/>
      <c r="D78" s="36"/>
      <c r="E78" s="21"/>
      <c r="F78" s="21"/>
      <c r="G78" s="21"/>
      <c r="H78" s="21"/>
      <c r="I78" s="21"/>
      <c r="J78" s="21"/>
      <c r="K78" s="24"/>
      <c r="L78" s="29"/>
      <c r="M78" s="57"/>
      <c r="O78" s="21"/>
      <c r="P78" s="21"/>
      <c r="Q78" s="21"/>
      <c r="R78" s="21"/>
      <c r="S78" s="21"/>
      <c r="T78" s="21"/>
      <c r="U78" s="21"/>
      <c r="V78" s="21"/>
      <c r="W78" s="22"/>
    </row>
    <row r="79" spans="1:23" ht="15.75" x14ac:dyDescent="0.25">
      <c r="A79" s="6">
        <v>2</v>
      </c>
      <c r="B79" s="21"/>
      <c r="C79" s="13"/>
      <c r="D79" s="8"/>
      <c r="E79" s="8"/>
      <c r="F79" s="8"/>
      <c r="G79" s="8"/>
      <c r="H79" s="8"/>
      <c r="I79" s="8"/>
      <c r="J79" s="8"/>
      <c r="K79" s="25"/>
      <c r="L79" s="30"/>
      <c r="M79" s="57"/>
      <c r="N79" s="26"/>
      <c r="O79" s="8"/>
      <c r="P79" s="8"/>
      <c r="Q79" s="8"/>
      <c r="R79" s="8"/>
      <c r="S79" s="8"/>
      <c r="T79" s="8"/>
      <c r="U79" s="8"/>
      <c r="V79" s="8"/>
      <c r="W79" s="9"/>
    </row>
    <row r="80" spans="1:23" ht="15.75" x14ac:dyDescent="0.25">
      <c r="A80" s="6">
        <v>3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27"/>
      <c r="M80" s="27"/>
      <c r="N80" s="8"/>
      <c r="O80" s="8"/>
      <c r="P80" s="8"/>
      <c r="Q80" s="8"/>
      <c r="R80" s="8"/>
      <c r="S80" s="8"/>
      <c r="T80" s="8"/>
      <c r="U80" s="8"/>
      <c r="V80" s="8"/>
      <c r="W80" s="9"/>
    </row>
    <row r="81" spans="1:23" ht="15.75" x14ac:dyDescent="0.25">
      <c r="A81" s="5">
        <v>4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</row>
    <row r="82" spans="1:23" ht="15.75" x14ac:dyDescent="0.25">
      <c r="A82" s="5">
        <v>5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</row>
    <row r="83" spans="1:23" ht="16.5" thickBot="1" x14ac:dyDescent="0.3">
      <c r="A83" s="7">
        <v>6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5" spans="1:23" ht="15.75" thickBot="1" x14ac:dyDescent="0.3"/>
    <row r="86" spans="1:23" ht="15.75" x14ac:dyDescent="0.25">
      <c r="A86" s="100" t="s">
        <v>260</v>
      </c>
      <c r="B86" s="101"/>
      <c r="C86" s="111"/>
      <c r="D86" s="112"/>
      <c r="E86" s="111" t="s">
        <v>498</v>
      </c>
      <c r="F86" s="112"/>
      <c r="G86" s="101" t="s">
        <v>4</v>
      </c>
      <c r="H86" s="101"/>
      <c r="I86" s="102"/>
      <c r="J86" s="102"/>
      <c r="K86" s="102"/>
      <c r="L86" s="102"/>
      <c r="M86" s="102"/>
      <c r="N86" s="102"/>
      <c r="O86" s="101" t="s">
        <v>6</v>
      </c>
      <c r="P86" s="101"/>
      <c r="Q86" s="103"/>
      <c r="R86" s="104"/>
      <c r="S86" s="104"/>
      <c r="T86" s="104"/>
      <c r="U86" s="104"/>
      <c r="V86" s="104"/>
      <c r="W86" s="105"/>
    </row>
    <row r="87" spans="1:23" ht="15.75" x14ac:dyDescent="0.25">
      <c r="A87" s="106" t="s">
        <v>7</v>
      </c>
      <c r="B87" s="107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7"/>
      <c r="R87" s="107"/>
      <c r="S87" s="107"/>
      <c r="T87" s="107"/>
      <c r="U87" s="107"/>
      <c r="V87" s="107"/>
      <c r="W87" s="110"/>
    </row>
    <row r="88" spans="1:23" x14ac:dyDescent="0.25">
      <c r="A88" s="113" t="s">
        <v>8</v>
      </c>
      <c r="B88" s="114" t="s">
        <v>9</v>
      </c>
      <c r="C88" s="114" t="s">
        <v>10</v>
      </c>
      <c r="D88" s="114" t="s">
        <v>11</v>
      </c>
      <c r="E88" s="114" t="s">
        <v>12</v>
      </c>
      <c r="F88" s="114" t="s">
        <v>13</v>
      </c>
      <c r="G88" s="114" t="s">
        <v>14</v>
      </c>
      <c r="H88" s="114"/>
      <c r="I88" s="114"/>
      <c r="J88" s="114"/>
      <c r="K88" s="114"/>
      <c r="L88" s="114"/>
      <c r="M88" s="114" t="s">
        <v>15</v>
      </c>
      <c r="N88" s="114" t="s">
        <v>16</v>
      </c>
      <c r="O88" s="114" t="s">
        <v>17</v>
      </c>
      <c r="P88" s="114" t="s">
        <v>18</v>
      </c>
      <c r="Q88" s="114" t="s">
        <v>19</v>
      </c>
      <c r="R88" s="114"/>
      <c r="S88" s="114"/>
      <c r="T88" s="114"/>
      <c r="U88" s="114"/>
      <c r="V88" s="114"/>
      <c r="W88" s="115" t="s">
        <v>20</v>
      </c>
    </row>
    <row r="89" spans="1:23" x14ac:dyDescent="0.25">
      <c r="A89" s="113"/>
      <c r="B89" s="114"/>
      <c r="C89" s="114"/>
      <c r="D89" s="114"/>
      <c r="E89" s="114"/>
      <c r="F89" s="114"/>
      <c r="G89" s="31" t="s">
        <v>21</v>
      </c>
      <c r="H89" s="31" t="s">
        <v>21</v>
      </c>
      <c r="I89" s="31" t="s">
        <v>21</v>
      </c>
      <c r="J89" s="31" t="s">
        <v>22</v>
      </c>
      <c r="K89" s="31" t="s">
        <v>22</v>
      </c>
      <c r="L89" s="32" t="s">
        <v>22</v>
      </c>
      <c r="M89" s="138"/>
      <c r="N89" s="114"/>
      <c r="O89" s="114"/>
      <c r="P89" s="114"/>
      <c r="Q89" s="31" t="s">
        <v>21</v>
      </c>
      <c r="R89" s="31" t="s">
        <v>21</v>
      </c>
      <c r="S89" s="31" t="s">
        <v>21</v>
      </c>
      <c r="T89" s="31" t="s">
        <v>22</v>
      </c>
      <c r="U89" s="31" t="s">
        <v>22</v>
      </c>
      <c r="V89" s="31" t="s">
        <v>22</v>
      </c>
      <c r="W89" s="115"/>
    </row>
    <row r="90" spans="1:23" ht="15.75" x14ac:dyDescent="0.25">
      <c r="A90" s="5">
        <v>1</v>
      </c>
      <c r="B90" s="21"/>
      <c r="C90" s="20"/>
      <c r="D90" s="36"/>
      <c r="E90" s="21"/>
      <c r="F90" s="21"/>
      <c r="G90" s="21"/>
      <c r="H90" s="21"/>
      <c r="I90" s="21"/>
      <c r="J90" s="21"/>
      <c r="K90" s="24"/>
      <c r="L90" s="29"/>
      <c r="M90" s="57"/>
      <c r="O90" s="21"/>
      <c r="P90" s="21"/>
      <c r="Q90" s="21"/>
      <c r="R90" s="21"/>
      <c r="S90" s="21"/>
      <c r="T90" s="21"/>
      <c r="U90" s="21"/>
      <c r="V90" s="21"/>
      <c r="W90" s="22"/>
    </row>
    <row r="91" spans="1:23" ht="15.75" x14ac:dyDescent="0.25">
      <c r="A91" s="6">
        <v>2</v>
      </c>
      <c r="B91" s="21"/>
      <c r="C91" s="13"/>
      <c r="D91" s="8"/>
      <c r="E91" s="8"/>
      <c r="F91" s="8"/>
      <c r="G91" s="8"/>
      <c r="H91" s="8"/>
      <c r="I91" s="8"/>
      <c r="J91" s="8"/>
      <c r="K91" s="25"/>
      <c r="L91" s="30"/>
      <c r="M91" s="57"/>
      <c r="N91" s="26"/>
      <c r="O91" s="8"/>
      <c r="P91" s="8"/>
      <c r="Q91" s="8"/>
      <c r="R91" s="8"/>
      <c r="S91" s="8"/>
      <c r="T91" s="8"/>
      <c r="U91" s="8"/>
      <c r="V91" s="8"/>
      <c r="W91" s="9"/>
    </row>
    <row r="92" spans="1:23" ht="15.75" x14ac:dyDescent="0.25">
      <c r="A92" s="6">
        <v>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27"/>
      <c r="M92" s="27"/>
      <c r="N92" s="8"/>
      <c r="O92" s="8"/>
      <c r="P92" s="8"/>
      <c r="Q92" s="8"/>
      <c r="R92" s="8"/>
      <c r="S92" s="8"/>
      <c r="T92" s="8"/>
      <c r="U92" s="8"/>
      <c r="V92" s="8"/>
      <c r="W92" s="9"/>
    </row>
    <row r="93" spans="1:23" ht="15.75" x14ac:dyDescent="0.25">
      <c r="A93" s="5">
        <v>4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</row>
    <row r="94" spans="1:23" ht="15.75" x14ac:dyDescent="0.25">
      <c r="A94" s="5">
        <v>5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</row>
    <row r="95" spans="1:23" ht="16.5" thickBot="1" x14ac:dyDescent="0.3">
      <c r="A95" s="7">
        <v>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7" spans="1:23" ht="15.75" thickBot="1" x14ac:dyDescent="0.3"/>
    <row r="98" spans="1:23" ht="15.75" x14ac:dyDescent="0.25">
      <c r="A98" s="100" t="s">
        <v>260</v>
      </c>
      <c r="B98" s="101"/>
      <c r="C98" s="111"/>
      <c r="D98" s="112"/>
      <c r="E98" s="111" t="s">
        <v>498</v>
      </c>
      <c r="F98" s="112"/>
      <c r="G98" s="101" t="s">
        <v>4</v>
      </c>
      <c r="H98" s="101"/>
      <c r="I98" s="102"/>
      <c r="J98" s="102"/>
      <c r="K98" s="102"/>
      <c r="L98" s="102"/>
      <c r="M98" s="102"/>
      <c r="N98" s="102"/>
      <c r="O98" s="101" t="s">
        <v>6</v>
      </c>
      <c r="P98" s="101"/>
      <c r="Q98" s="103"/>
      <c r="R98" s="104"/>
      <c r="S98" s="104"/>
      <c r="T98" s="104"/>
      <c r="U98" s="104"/>
      <c r="V98" s="104"/>
      <c r="W98" s="105"/>
    </row>
    <row r="99" spans="1:23" ht="15.75" x14ac:dyDescent="0.25">
      <c r="A99" s="106" t="s">
        <v>7</v>
      </c>
      <c r="B99" s="107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7"/>
      <c r="R99" s="107"/>
      <c r="S99" s="107"/>
      <c r="T99" s="107"/>
      <c r="U99" s="107"/>
      <c r="V99" s="107"/>
      <c r="W99" s="110"/>
    </row>
    <row r="100" spans="1:23" x14ac:dyDescent="0.25">
      <c r="A100" s="113" t="s">
        <v>8</v>
      </c>
      <c r="B100" s="114" t="s">
        <v>9</v>
      </c>
      <c r="C100" s="114" t="s">
        <v>10</v>
      </c>
      <c r="D100" s="114" t="s">
        <v>11</v>
      </c>
      <c r="E100" s="114" t="s">
        <v>12</v>
      </c>
      <c r="F100" s="114" t="s">
        <v>13</v>
      </c>
      <c r="G100" s="114" t="s">
        <v>14</v>
      </c>
      <c r="H100" s="114"/>
      <c r="I100" s="114"/>
      <c r="J100" s="114"/>
      <c r="K100" s="114"/>
      <c r="L100" s="114"/>
      <c r="M100" s="114" t="s">
        <v>15</v>
      </c>
      <c r="N100" s="114" t="s">
        <v>16</v>
      </c>
      <c r="O100" s="114" t="s">
        <v>17</v>
      </c>
      <c r="P100" s="114" t="s">
        <v>18</v>
      </c>
      <c r="Q100" s="114" t="s">
        <v>19</v>
      </c>
      <c r="R100" s="114"/>
      <c r="S100" s="114"/>
      <c r="T100" s="114"/>
      <c r="U100" s="114"/>
      <c r="V100" s="114"/>
      <c r="W100" s="115" t="s">
        <v>20</v>
      </c>
    </row>
    <row r="101" spans="1:23" x14ac:dyDescent="0.25">
      <c r="A101" s="113"/>
      <c r="B101" s="114"/>
      <c r="C101" s="114"/>
      <c r="D101" s="114"/>
      <c r="E101" s="114"/>
      <c r="F101" s="114"/>
      <c r="G101" s="31" t="s">
        <v>21</v>
      </c>
      <c r="H101" s="31" t="s">
        <v>21</v>
      </c>
      <c r="I101" s="31" t="s">
        <v>21</v>
      </c>
      <c r="J101" s="31" t="s">
        <v>22</v>
      </c>
      <c r="K101" s="31" t="s">
        <v>22</v>
      </c>
      <c r="L101" s="32" t="s">
        <v>22</v>
      </c>
      <c r="M101" s="138"/>
      <c r="N101" s="114"/>
      <c r="O101" s="114"/>
      <c r="P101" s="114"/>
      <c r="Q101" s="31" t="s">
        <v>21</v>
      </c>
      <c r="R101" s="31" t="s">
        <v>21</v>
      </c>
      <c r="S101" s="31" t="s">
        <v>21</v>
      </c>
      <c r="T101" s="31" t="s">
        <v>22</v>
      </c>
      <c r="U101" s="31" t="s">
        <v>22</v>
      </c>
      <c r="V101" s="31" t="s">
        <v>22</v>
      </c>
      <c r="W101" s="115"/>
    </row>
    <row r="102" spans="1:23" ht="15.75" x14ac:dyDescent="0.25">
      <c r="A102" s="5">
        <v>1</v>
      </c>
      <c r="B102" s="21"/>
      <c r="C102" s="20"/>
      <c r="D102" s="36"/>
      <c r="E102" s="21"/>
      <c r="F102" s="21"/>
      <c r="G102" s="21"/>
      <c r="H102" s="21"/>
      <c r="I102" s="21"/>
      <c r="J102" s="21"/>
      <c r="K102" s="24"/>
      <c r="L102" s="29"/>
      <c r="M102" s="57"/>
      <c r="O102" s="21"/>
      <c r="P102" s="21"/>
      <c r="Q102" s="21"/>
      <c r="R102" s="21"/>
      <c r="S102" s="21"/>
      <c r="T102" s="21"/>
      <c r="U102" s="21"/>
      <c r="V102" s="21"/>
      <c r="W102" s="22"/>
    </row>
    <row r="103" spans="1:23" ht="15.75" x14ac:dyDescent="0.25">
      <c r="A103" s="6">
        <v>2</v>
      </c>
      <c r="B103" s="21"/>
      <c r="C103" s="13"/>
      <c r="D103" s="8"/>
      <c r="E103" s="8"/>
      <c r="F103" s="8"/>
      <c r="G103" s="8"/>
      <c r="H103" s="8"/>
      <c r="I103" s="8"/>
      <c r="J103" s="8"/>
      <c r="K103" s="25"/>
      <c r="L103" s="30"/>
      <c r="M103" s="57"/>
      <c r="N103" s="26"/>
      <c r="O103" s="8"/>
      <c r="P103" s="8"/>
      <c r="Q103" s="8"/>
      <c r="R103" s="8"/>
      <c r="S103" s="8"/>
      <c r="T103" s="8"/>
      <c r="U103" s="8"/>
      <c r="V103" s="8"/>
      <c r="W103" s="9"/>
    </row>
    <row r="104" spans="1:23" ht="15.75" x14ac:dyDescent="0.25">
      <c r="A104" s="6">
        <v>3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27"/>
      <c r="M104" s="27"/>
      <c r="N104" s="8"/>
      <c r="O104" s="8"/>
      <c r="P104" s="8"/>
      <c r="Q104" s="8"/>
      <c r="R104" s="8"/>
      <c r="S104" s="8"/>
      <c r="T104" s="8"/>
      <c r="U104" s="8"/>
      <c r="V104" s="8"/>
      <c r="W104" s="9"/>
    </row>
    <row r="105" spans="1:23" ht="15.75" x14ac:dyDescent="0.25">
      <c r="A105" s="5">
        <v>4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spans="1:23" ht="15.75" x14ac:dyDescent="0.25">
      <c r="A106" s="5">
        <v>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</row>
    <row r="107" spans="1:23" ht="16.5" thickBot="1" x14ac:dyDescent="0.3">
      <c r="A107" s="7">
        <v>6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9" spans="1:23" ht="15.75" thickBot="1" x14ac:dyDescent="0.3"/>
    <row r="110" spans="1:23" ht="15.75" x14ac:dyDescent="0.25">
      <c r="A110" s="100" t="s">
        <v>260</v>
      </c>
      <c r="B110" s="101"/>
      <c r="C110" s="111"/>
      <c r="D110" s="112"/>
      <c r="E110" s="111" t="s">
        <v>498</v>
      </c>
      <c r="F110" s="112"/>
      <c r="G110" s="101" t="s">
        <v>4</v>
      </c>
      <c r="H110" s="101"/>
      <c r="I110" s="102"/>
      <c r="J110" s="102"/>
      <c r="K110" s="102"/>
      <c r="L110" s="102"/>
      <c r="M110" s="102"/>
      <c r="N110" s="102"/>
      <c r="O110" s="101" t="s">
        <v>6</v>
      </c>
      <c r="P110" s="101"/>
      <c r="Q110" s="103"/>
      <c r="R110" s="104"/>
      <c r="S110" s="104"/>
      <c r="T110" s="104"/>
      <c r="U110" s="104"/>
      <c r="V110" s="104"/>
      <c r="W110" s="105"/>
    </row>
    <row r="111" spans="1:23" ht="15.75" x14ac:dyDescent="0.25">
      <c r="A111" s="106" t="s">
        <v>7</v>
      </c>
      <c r="B111" s="107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7"/>
      <c r="R111" s="107"/>
      <c r="S111" s="107"/>
      <c r="T111" s="107"/>
      <c r="U111" s="107"/>
      <c r="V111" s="107"/>
      <c r="W111" s="110"/>
    </row>
    <row r="112" spans="1:23" x14ac:dyDescent="0.25">
      <c r="A112" s="113" t="s">
        <v>8</v>
      </c>
      <c r="B112" s="114" t="s">
        <v>9</v>
      </c>
      <c r="C112" s="114" t="s">
        <v>10</v>
      </c>
      <c r="D112" s="114" t="s">
        <v>11</v>
      </c>
      <c r="E112" s="114" t="s">
        <v>12</v>
      </c>
      <c r="F112" s="114" t="s">
        <v>13</v>
      </c>
      <c r="G112" s="114" t="s">
        <v>14</v>
      </c>
      <c r="H112" s="114"/>
      <c r="I112" s="114"/>
      <c r="J112" s="114"/>
      <c r="K112" s="114"/>
      <c r="L112" s="114"/>
      <c r="M112" s="114" t="s">
        <v>15</v>
      </c>
      <c r="N112" s="114" t="s">
        <v>16</v>
      </c>
      <c r="O112" s="114" t="s">
        <v>17</v>
      </c>
      <c r="P112" s="114" t="s">
        <v>18</v>
      </c>
      <c r="Q112" s="114" t="s">
        <v>19</v>
      </c>
      <c r="R112" s="114"/>
      <c r="S112" s="114"/>
      <c r="T112" s="114"/>
      <c r="U112" s="114"/>
      <c r="V112" s="114"/>
      <c r="W112" s="115" t="s">
        <v>20</v>
      </c>
    </row>
    <row r="113" spans="1:23" x14ac:dyDescent="0.25">
      <c r="A113" s="113"/>
      <c r="B113" s="114"/>
      <c r="C113" s="114"/>
      <c r="D113" s="114"/>
      <c r="E113" s="114"/>
      <c r="F113" s="114"/>
      <c r="G113" s="31" t="s">
        <v>21</v>
      </c>
      <c r="H113" s="31" t="s">
        <v>21</v>
      </c>
      <c r="I113" s="31" t="s">
        <v>21</v>
      </c>
      <c r="J113" s="31" t="s">
        <v>22</v>
      </c>
      <c r="K113" s="31" t="s">
        <v>22</v>
      </c>
      <c r="L113" s="32" t="s">
        <v>22</v>
      </c>
      <c r="M113" s="138"/>
      <c r="N113" s="114"/>
      <c r="O113" s="114"/>
      <c r="P113" s="114"/>
      <c r="Q113" s="31" t="s">
        <v>21</v>
      </c>
      <c r="R113" s="31" t="s">
        <v>21</v>
      </c>
      <c r="S113" s="31" t="s">
        <v>21</v>
      </c>
      <c r="T113" s="31" t="s">
        <v>22</v>
      </c>
      <c r="U113" s="31" t="s">
        <v>22</v>
      </c>
      <c r="V113" s="31" t="s">
        <v>22</v>
      </c>
      <c r="W113" s="115"/>
    </row>
    <row r="114" spans="1:23" ht="15.75" x14ac:dyDescent="0.25">
      <c r="A114" s="5">
        <v>1</v>
      </c>
      <c r="B114" s="21"/>
      <c r="C114" s="20"/>
      <c r="D114" s="36"/>
      <c r="E114" s="21"/>
      <c r="F114" s="21"/>
      <c r="G114" s="21"/>
      <c r="H114" s="21"/>
      <c r="I114" s="21"/>
      <c r="J114" s="21"/>
      <c r="K114" s="24"/>
      <c r="L114" s="29"/>
      <c r="M114" s="57"/>
      <c r="O114" s="21"/>
      <c r="P114" s="21"/>
      <c r="Q114" s="21"/>
      <c r="R114" s="21"/>
      <c r="S114" s="21"/>
      <c r="T114" s="21"/>
      <c r="U114" s="21"/>
      <c r="V114" s="21"/>
      <c r="W114" s="22"/>
    </row>
    <row r="115" spans="1:23" ht="15.75" x14ac:dyDescent="0.25">
      <c r="A115" s="6">
        <v>2</v>
      </c>
      <c r="B115" s="21"/>
      <c r="C115" s="13"/>
      <c r="D115" s="8"/>
      <c r="E115" s="8"/>
      <c r="F115" s="8"/>
      <c r="G115" s="8"/>
      <c r="H115" s="8"/>
      <c r="I115" s="8"/>
      <c r="J115" s="8"/>
      <c r="K115" s="25"/>
      <c r="L115" s="30"/>
      <c r="M115" s="57"/>
      <c r="N115" s="26"/>
      <c r="O115" s="8"/>
      <c r="P115" s="8"/>
      <c r="Q115" s="8"/>
      <c r="R115" s="8"/>
      <c r="S115" s="8"/>
      <c r="T115" s="8"/>
      <c r="U115" s="8"/>
      <c r="V115" s="8"/>
      <c r="W115" s="9"/>
    </row>
    <row r="116" spans="1:23" ht="15.75" x14ac:dyDescent="0.25">
      <c r="A116" s="6">
        <v>3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27"/>
      <c r="M116" s="27"/>
      <c r="N116" s="8"/>
      <c r="O116" s="8"/>
      <c r="P116" s="8"/>
      <c r="Q116" s="8"/>
      <c r="R116" s="8"/>
      <c r="S116" s="8"/>
      <c r="T116" s="8"/>
      <c r="U116" s="8"/>
      <c r="V116" s="8"/>
      <c r="W116" s="9"/>
    </row>
    <row r="117" spans="1:23" ht="15.75" x14ac:dyDescent="0.25">
      <c r="A117" s="5">
        <v>4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</row>
    <row r="118" spans="1:23" ht="15.75" x14ac:dyDescent="0.25">
      <c r="A118" s="5">
        <v>5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</row>
    <row r="119" spans="1:23" ht="16.5" thickBot="1" x14ac:dyDescent="0.3">
      <c r="A119" s="7">
        <v>6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</sheetData>
  <mergeCells count="240">
    <mergeCell ref="Q2:W2"/>
    <mergeCell ref="A3:B3"/>
    <mergeCell ref="C3:N3"/>
    <mergeCell ref="O3:P3"/>
    <mergeCell ref="Q3:W3"/>
    <mergeCell ref="A4:A5"/>
    <mergeCell ref="B4:B5"/>
    <mergeCell ref="C4:C5"/>
    <mergeCell ref="D4:D5"/>
    <mergeCell ref="E4:E5"/>
    <mergeCell ref="A2:B2"/>
    <mergeCell ref="C2:D2"/>
    <mergeCell ref="E2:F2"/>
    <mergeCell ref="G2:H2"/>
    <mergeCell ref="I2:N2"/>
    <mergeCell ref="O2:P2"/>
    <mergeCell ref="Q4:V4"/>
    <mergeCell ref="W4:W5"/>
    <mergeCell ref="A14:B14"/>
    <mergeCell ref="C14:D14"/>
    <mergeCell ref="E14:F14"/>
    <mergeCell ref="G14:H14"/>
    <mergeCell ref="I14:N14"/>
    <mergeCell ref="O14:P14"/>
    <mergeCell ref="Q14:W14"/>
    <mergeCell ref="F4:F5"/>
    <mergeCell ref="G4:L4"/>
    <mergeCell ref="M4:M5"/>
    <mergeCell ref="N4:N5"/>
    <mergeCell ref="O4:O5"/>
    <mergeCell ref="P4:P5"/>
    <mergeCell ref="A15:B15"/>
    <mergeCell ref="C15:N15"/>
    <mergeCell ref="O15:P15"/>
    <mergeCell ref="Q15:W15"/>
    <mergeCell ref="A16:A17"/>
    <mergeCell ref="B16:B17"/>
    <mergeCell ref="C16:C17"/>
    <mergeCell ref="D16:D17"/>
    <mergeCell ref="E16:E17"/>
    <mergeCell ref="F16:F17"/>
    <mergeCell ref="W16:W17"/>
    <mergeCell ref="A26:B26"/>
    <mergeCell ref="C26:D26"/>
    <mergeCell ref="E26:F26"/>
    <mergeCell ref="G26:H26"/>
    <mergeCell ref="I26:N26"/>
    <mergeCell ref="O26:P26"/>
    <mergeCell ref="Q26:W26"/>
    <mergeCell ref="G16:L16"/>
    <mergeCell ref="M16:M17"/>
    <mergeCell ref="N16:N17"/>
    <mergeCell ref="O16:O17"/>
    <mergeCell ref="P16:P17"/>
    <mergeCell ref="Q16:V16"/>
    <mergeCell ref="A27:B27"/>
    <mergeCell ref="C27:N27"/>
    <mergeCell ref="O27:P27"/>
    <mergeCell ref="Q27:W27"/>
    <mergeCell ref="A28:A29"/>
    <mergeCell ref="B28:B29"/>
    <mergeCell ref="C28:C29"/>
    <mergeCell ref="D28:D29"/>
    <mergeCell ref="E28:E29"/>
    <mergeCell ref="F28:F29"/>
    <mergeCell ref="W28:W29"/>
    <mergeCell ref="A38:B38"/>
    <mergeCell ref="C38:D38"/>
    <mergeCell ref="E38:F38"/>
    <mergeCell ref="G38:H38"/>
    <mergeCell ref="I38:N38"/>
    <mergeCell ref="O38:P38"/>
    <mergeCell ref="Q38:W38"/>
    <mergeCell ref="G28:L28"/>
    <mergeCell ref="M28:M29"/>
    <mergeCell ref="N28:N29"/>
    <mergeCell ref="O28:O29"/>
    <mergeCell ref="P28:P29"/>
    <mergeCell ref="Q28:V28"/>
    <mergeCell ref="A39:B39"/>
    <mergeCell ref="C39:N39"/>
    <mergeCell ref="O39:P39"/>
    <mergeCell ref="Q39:W39"/>
    <mergeCell ref="A40:A41"/>
    <mergeCell ref="B40:B41"/>
    <mergeCell ref="C40:C41"/>
    <mergeCell ref="D40:D41"/>
    <mergeCell ref="E40:E41"/>
    <mergeCell ref="F40:F41"/>
    <mergeCell ref="W40:W41"/>
    <mergeCell ref="A50:B50"/>
    <mergeCell ref="C50:D50"/>
    <mergeCell ref="E50:F50"/>
    <mergeCell ref="G50:H50"/>
    <mergeCell ref="I50:N50"/>
    <mergeCell ref="O50:P50"/>
    <mergeCell ref="Q50:W50"/>
    <mergeCell ref="G40:L40"/>
    <mergeCell ref="M40:M41"/>
    <mergeCell ref="N40:N41"/>
    <mergeCell ref="O40:O41"/>
    <mergeCell ref="P40:P41"/>
    <mergeCell ref="Q40:V40"/>
    <mergeCell ref="A51:B51"/>
    <mergeCell ref="C51:N51"/>
    <mergeCell ref="O51:P51"/>
    <mergeCell ref="Q51:W51"/>
    <mergeCell ref="A52:A53"/>
    <mergeCell ref="B52:B53"/>
    <mergeCell ref="C52:C53"/>
    <mergeCell ref="D52:D53"/>
    <mergeCell ref="E52:E53"/>
    <mergeCell ref="F52:F53"/>
    <mergeCell ref="W52:W53"/>
    <mergeCell ref="A62:B62"/>
    <mergeCell ref="C62:D62"/>
    <mergeCell ref="E62:F62"/>
    <mergeCell ref="G62:H62"/>
    <mergeCell ref="I62:N62"/>
    <mergeCell ref="O62:P62"/>
    <mergeCell ref="Q62:W62"/>
    <mergeCell ref="G52:L52"/>
    <mergeCell ref="M52:M53"/>
    <mergeCell ref="N52:N53"/>
    <mergeCell ref="O52:O53"/>
    <mergeCell ref="P52:P53"/>
    <mergeCell ref="Q52:V52"/>
    <mergeCell ref="A63:B63"/>
    <mergeCell ref="C63:N63"/>
    <mergeCell ref="O63:P63"/>
    <mergeCell ref="Q63:W63"/>
    <mergeCell ref="A64:A65"/>
    <mergeCell ref="B64:B65"/>
    <mergeCell ref="C64:C65"/>
    <mergeCell ref="D64:D65"/>
    <mergeCell ref="E64:E65"/>
    <mergeCell ref="F64:F65"/>
    <mergeCell ref="W64:W65"/>
    <mergeCell ref="A74:B74"/>
    <mergeCell ref="C74:D74"/>
    <mergeCell ref="E74:F74"/>
    <mergeCell ref="G74:H74"/>
    <mergeCell ref="I74:N74"/>
    <mergeCell ref="O74:P74"/>
    <mergeCell ref="Q74:W74"/>
    <mergeCell ref="G64:L64"/>
    <mergeCell ref="M64:M65"/>
    <mergeCell ref="N64:N65"/>
    <mergeCell ref="O64:O65"/>
    <mergeCell ref="P64:P65"/>
    <mergeCell ref="Q64:V64"/>
    <mergeCell ref="A75:B75"/>
    <mergeCell ref="C75:N75"/>
    <mergeCell ref="O75:P75"/>
    <mergeCell ref="Q75:W75"/>
    <mergeCell ref="A76:A77"/>
    <mergeCell ref="B76:B77"/>
    <mergeCell ref="C76:C77"/>
    <mergeCell ref="D76:D77"/>
    <mergeCell ref="E76:E77"/>
    <mergeCell ref="F76:F77"/>
    <mergeCell ref="W76:W77"/>
    <mergeCell ref="A86:B86"/>
    <mergeCell ref="C86:D86"/>
    <mergeCell ref="E86:F86"/>
    <mergeCell ref="G86:H86"/>
    <mergeCell ref="I86:N86"/>
    <mergeCell ref="O86:P86"/>
    <mergeCell ref="Q86:W86"/>
    <mergeCell ref="G76:L76"/>
    <mergeCell ref="M76:M77"/>
    <mergeCell ref="N76:N77"/>
    <mergeCell ref="O76:O77"/>
    <mergeCell ref="P76:P77"/>
    <mergeCell ref="Q76:V76"/>
    <mergeCell ref="A87:B87"/>
    <mergeCell ref="C87:N87"/>
    <mergeCell ref="O87:P87"/>
    <mergeCell ref="Q87:W87"/>
    <mergeCell ref="A88:A89"/>
    <mergeCell ref="B88:B89"/>
    <mergeCell ref="C88:C89"/>
    <mergeCell ref="D88:D89"/>
    <mergeCell ref="E88:E89"/>
    <mergeCell ref="F88:F89"/>
    <mergeCell ref="W88:W89"/>
    <mergeCell ref="A98:B98"/>
    <mergeCell ref="C98:D98"/>
    <mergeCell ref="E98:F98"/>
    <mergeCell ref="G98:H98"/>
    <mergeCell ref="I98:N98"/>
    <mergeCell ref="O98:P98"/>
    <mergeCell ref="Q98:W98"/>
    <mergeCell ref="G88:L88"/>
    <mergeCell ref="M88:M89"/>
    <mergeCell ref="N88:N89"/>
    <mergeCell ref="O88:O89"/>
    <mergeCell ref="P88:P89"/>
    <mergeCell ref="Q88:V88"/>
    <mergeCell ref="A99:B99"/>
    <mergeCell ref="C99:N99"/>
    <mergeCell ref="O99:P99"/>
    <mergeCell ref="Q99:W99"/>
    <mergeCell ref="A100:A101"/>
    <mergeCell ref="B100:B101"/>
    <mergeCell ref="C100:C101"/>
    <mergeCell ref="D100:D101"/>
    <mergeCell ref="E100:E101"/>
    <mergeCell ref="F100:F101"/>
    <mergeCell ref="W100:W101"/>
    <mergeCell ref="A110:B110"/>
    <mergeCell ref="C110:D110"/>
    <mergeCell ref="E110:F110"/>
    <mergeCell ref="G110:H110"/>
    <mergeCell ref="I110:N110"/>
    <mergeCell ref="O110:P110"/>
    <mergeCell ref="Q110:W110"/>
    <mergeCell ref="G100:L100"/>
    <mergeCell ref="M100:M101"/>
    <mergeCell ref="N100:N101"/>
    <mergeCell ref="O100:O101"/>
    <mergeCell ref="P100:P101"/>
    <mergeCell ref="Q100:V100"/>
    <mergeCell ref="W112:W113"/>
    <mergeCell ref="G112:L112"/>
    <mergeCell ref="M112:M113"/>
    <mergeCell ref="N112:N113"/>
    <mergeCell ref="O112:O113"/>
    <mergeCell ref="P112:P113"/>
    <mergeCell ref="Q112:V112"/>
    <mergeCell ref="A111:B111"/>
    <mergeCell ref="C111:N111"/>
    <mergeCell ref="O111:P111"/>
    <mergeCell ref="Q111:W111"/>
    <mergeCell ref="A112:A113"/>
    <mergeCell ref="B112:B113"/>
    <mergeCell ref="C112:C113"/>
    <mergeCell ref="D112:D113"/>
    <mergeCell ref="E112:E113"/>
    <mergeCell ref="F112:F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U01-U20</vt:lpstr>
      <vt:lpstr>U21-U40</vt:lpstr>
      <vt:lpstr>U41-U60</vt:lpstr>
      <vt:lpstr>U61-U80</vt:lpstr>
      <vt:lpstr>U81-U100</vt:lpstr>
      <vt:lpstr>U101-U121</vt:lpstr>
      <vt:lpstr>U122-U141</vt:lpstr>
      <vt:lpstr>U142-U161</vt:lpstr>
      <vt:lpstr>U162-U180</vt:lpstr>
      <vt:lpstr>U181-U191</vt:lpstr>
      <vt:lpstr>U192...</vt:lpstr>
      <vt:lpstr>U266...</vt:lpstr>
      <vt:lpstr>U274...</vt:lpstr>
      <vt:lpstr>U287</vt:lpstr>
      <vt:lpstr>305</vt:lpstr>
      <vt:lpstr>U336</vt:lpstr>
      <vt:lpstr>U345</vt:lpstr>
      <vt:lpstr>U385</vt:lpstr>
      <vt:lpstr>437</vt:lpstr>
      <vt:lpstr>429</vt:lpstr>
      <vt:lpstr>U477</vt:lpstr>
      <vt:lpstr>U421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Daniel Juárez</dc:creator>
  <cp:keywords/>
  <dc:description/>
  <cp:lastModifiedBy>Guder Elvira Perez Mendoza - Docente Zoot</cp:lastModifiedBy>
  <cp:revision/>
  <dcterms:created xsi:type="dcterms:W3CDTF">2025-09-15T20:11:12Z</dcterms:created>
  <dcterms:modified xsi:type="dcterms:W3CDTF">2026-08-10T19:14:37Z</dcterms:modified>
  <cp:category/>
  <cp:contentStatus/>
</cp:coreProperties>
</file>